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Figures" sheetId="1" r:id="rId5"/>
    <sheet state="visible" name="Actual Figures" sheetId="2" r:id="rId6"/>
    <sheet state="visible" name="Cashflow Variances" sheetId="3" r:id="rId7"/>
    <sheet state="visible" name="Reports" sheetId="4" r:id="rId8"/>
  </sheets>
  <definedNames/>
  <calcPr/>
</workbook>
</file>

<file path=xl/sharedStrings.xml><?xml version="1.0" encoding="utf-8"?>
<sst xmlns="http://schemas.openxmlformats.org/spreadsheetml/2006/main" count="85" uniqueCount="62">
  <si>
    <t xml:space="preserve">FORECAST MONTHLY CASHFLOW: </t>
  </si>
  <si>
    <t>Goods &amp; Sales Tax %</t>
  </si>
  <si>
    <t>Year to Date</t>
  </si>
  <si>
    <t>DEPOSITS</t>
  </si>
  <si>
    <t>Sales</t>
  </si>
  <si>
    <t>Tax Rebates</t>
  </si>
  <si>
    <t>Interest Received</t>
  </si>
  <si>
    <t>Capital Introduced</t>
  </si>
  <si>
    <t>Other</t>
  </si>
  <si>
    <t>Non GST Related Sales</t>
  </si>
  <si>
    <t>SUBTOTAL DEPOSITS:</t>
  </si>
  <si>
    <t>WITHDRAWALS (Expenses)</t>
  </si>
  <si>
    <t>Car</t>
  </si>
  <si>
    <t>Bank Fees</t>
  </si>
  <si>
    <t>Credit Card Charges</t>
  </si>
  <si>
    <t>Computer ( Hardware &amp; Software)</t>
  </si>
  <si>
    <t>Entertainment</t>
  </si>
  <si>
    <t>General Expenses</t>
  </si>
  <si>
    <t xml:space="preserve">Printing </t>
  </si>
  <si>
    <t>Stationary &amp; Supplies</t>
  </si>
  <si>
    <t>Vehicle Leases</t>
  </si>
  <si>
    <t>Telephone, Tolls &amp; E-Mail</t>
  </si>
  <si>
    <t>Cell Phone</t>
  </si>
  <si>
    <t>Travelling &amp; Accomodation</t>
  </si>
  <si>
    <t>Insurance</t>
  </si>
  <si>
    <t>Accounting</t>
  </si>
  <si>
    <t>Provision for Taxation</t>
  </si>
  <si>
    <t>Fringe Benefit Tax</t>
  </si>
  <si>
    <t>Legal</t>
  </si>
  <si>
    <t>Low Cost Assets</t>
  </si>
  <si>
    <t>Plant &amp; Equipment</t>
  </si>
  <si>
    <t>Drawings</t>
  </si>
  <si>
    <t>Principle Loan Repayments</t>
  </si>
  <si>
    <t>Other 1</t>
  </si>
  <si>
    <t>Other 2</t>
  </si>
  <si>
    <t>Other 3</t>
  </si>
  <si>
    <t>Other 4</t>
  </si>
  <si>
    <t>Other 5</t>
  </si>
  <si>
    <t>Other 6</t>
  </si>
  <si>
    <t>NON GST RELATED WITHDRAWALS</t>
  </si>
  <si>
    <t>Wages</t>
  </si>
  <si>
    <t>Interest Only Loan Payments</t>
  </si>
  <si>
    <t>SUBTOTAL WITHDRAWALS:</t>
  </si>
  <si>
    <t>GST Related Deposits</t>
  </si>
  <si>
    <t>GST Related Withdrawals</t>
  </si>
  <si>
    <t>GST MOVEMENTS</t>
  </si>
  <si>
    <t>Input (Expense Related)</t>
  </si>
  <si>
    <t>Output (Income Related)</t>
  </si>
  <si>
    <t>NET CASH RELATED TO GST</t>
  </si>
  <si>
    <t>NET CHANGE IN BANK BALANCE</t>
  </si>
  <si>
    <t>Opening Bank Balance:</t>
  </si>
  <si>
    <t>Add Total (Net) Deposits</t>
  </si>
  <si>
    <t>Less Total (Net) Withdrawals</t>
  </si>
  <si>
    <t>Closing Bank Balance</t>
  </si>
  <si>
    <t xml:space="preserve">ACTUAL MONTHLY CASHFLOW: </t>
  </si>
  <si>
    <t>Add Total Deposits</t>
  </si>
  <si>
    <t>Less Total Withdrawals</t>
  </si>
  <si>
    <t xml:space="preserve">VARIANCES TO FORECASTED CASHFLOW: </t>
  </si>
  <si>
    <t>Budget Revenue</t>
  </si>
  <si>
    <t>Actual Revenue</t>
  </si>
  <si>
    <t>Budget Expenses</t>
  </si>
  <si>
    <t>Actual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</si>
</sst>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_-* #,##0_-;\(#,##0\)_-;_-* &quot;-&quot;_-;_-@"/>
    <numFmt numFmtId="166" formatCode="_(&quot;$&quot;* #,##0_);_(&quot;$&quot;* \(#,##0\);_(&quot;$&quot;* &quot;-&quot;??_);_(@_)"/>
  </numFmts>
  <fonts count="20">
    <font>
      <sz val="10.0"/>
      <color rgb="FF000000"/>
      <name val="Calibri"/>
      <scheme val="minor"/>
    </font>
    <font>
      <b/>
      <sz val="11.0"/>
      <color rgb="FFFFFFFF"/>
      <name val="Open Sans"/>
    </font>
    <font>
      <color theme="1"/>
      <name val="Open Sans"/>
    </font>
    <font>
      <b/>
      <sz val="8.0"/>
      <color theme="1"/>
      <name val="Open Sans"/>
    </font>
    <font>
      <color theme="0"/>
      <name val="Open Sans"/>
    </font>
    <font/>
    <font>
      <b/>
      <sz val="10.0"/>
      <color rgb="FFFFFFFF"/>
      <name val="Open Sans"/>
    </font>
    <font>
      <b/>
      <u/>
      <sz val="9.0"/>
      <color theme="1"/>
      <name val="Open Sans"/>
    </font>
    <font>
      <b/>
      <u/>
      <sz val="9.0"/>
      <color theme="1"/>
      <name val="Open Sans"/>
    </font>
    <font>
      <sz val="10.0"/>
      <color rgb="FF000000"/>
      <name val="Open Sans"/>
    </font>
    <font>
      <sz val="10.0"/>
      <color rgb="FFFFFFFF"/>
      <name val="Open Sans"/>
    </font>
    <font>
      <sz val="10.0"/>
      <color theme="1"/>
      <name val="Open Sans"/>
    </font>
    <font>
      <sz val="10.0"/>
      <color rgb="FF333333"/>
      <name val="Open Sans"/>
    </font>
    <font>
      <sz val="10.0"/>
      <color theme="0"/>
      <name val="Open Sans"/>
    </font>
    <font>
      <b/>
      <u/>
      <sz val="10.0"/>
      <color rgb="FFFFFFFF"/>
      <name val="Open Sans"/>
    </font>
    <font>
      <b/>
      <sz val="10.0"/>
      <color theme="0"/>
      <name val="Open Sans"/>
    </font>
    <font>
      <b/>
      <u/>
      <sz val="10.0"/>
      <color rgb="FFFFFFFF"/>
      <name val="Open Sans"/>
    </font>
    <font>
      <b/>
      <u/>
      <sz val="9.0"/>
      <color rgb="FFFFFFFF"/>
      <name val="Open Sans"/>
    </font>
    <font>
      <b/>
      <u/>
      <sz val="10.0"/>
      <color theme="1"/>
      <name val="Open Sans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2B64"/>
        <bgColor rgb="FF002B64"/>
      </patternFill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  <fill>
      <patternFill patternType="solid">
        <fgColor rgb="FFCFE2F3"/>
        <bgColor rgb="FFCFE2F3"/>
      </patternFill>
    </fill>
    <fill>
      <patternFill patternType="solid">
        <fgColor rgb="FF7FD3F1"/>
        <bgColor rgb="FF7FD3F1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</fills>
  <borders count="11">
    <border/>
    <border>
      <left/>
      <top/>
    </border>
    <border>
      <left/>
      <right/>
      <top/>
      <bottom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/>
      <bottom/>
    </border>
    <border>
      <top/>
      <bottom/>
    </border>
    <border>
      <right/>
      <top/>
      <bottom/>
    </border>
    <border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quotePrefix="1" borderId="1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0" fillId="3" fontId="4" numFmtId="0" xfId="0" applyAlignment="1" applyFont="1">
      <alignment horizontal="center" readingOrder="0" shrinkToFit="0" vertical="center" wrapText="1"/>
    </xf>
    <xf borderId="3" fillId="0" fontId="2" numFmtId="10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3" fillId="0" fontId="7" numFmtId="16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quotePrefix="1" borderId="1" fillId="3" fontId="6" numFmtId="0" xfId="0" applyAlignment="1" applyBorder="1" applyFont="1">
      <alignment horizontal="left" vertical="center"/>
    </xf>
    <xf borderId="0" fillId="4" fontId="9" numFmtId="0" xfId="0" applyAlignment="1" applyFill="1" applyFont="1">
      <alignment vertical="center"/>
    </xf>
    <xf borderId="3" fillId="4" fontId="9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0" fillId="3" fontId="10" numFmtId="165" xfId="0" applyAlignment="1" applyFont="1" applyNumberFormat="1">
      <alignment vertical="center"/>
    </xf>
    <xf borderId="3" fillId="4" fontId="1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4" fontId="12" numFmtId="0" xfId="0" applyAlignment="1" applyBorder="1" applyFont="1">
      <alignment readingOrder="0" vertical="center"/>
    </xf>
    <xf borderId="4" fillId="3" fontId="13" numFmtId="0" xfId="0" applyAlignment="1" applyBorder="1" applyFont="1">
      <alignment readingOrder="0" vertical="center"/>
    </xf>
    <xf borderId="0" fillId="3" fontId="14" numFmtId="0" xfId="0" applyAlignment="1" applyFont="1">
      <alignment vertical="center"/>
    </xf>
    <xf borderId="7" fillId="3" fontId="10" numFmtId="166" xfId="0" applyAlignment="1" applyBorder="1" applyFont="1" applyNumberFormat="1">
      <alignment vertical="center"/>
    </xf>
    <xf borderId="0" fillId="0" fontId="11" numFmtId="165" xfId="0" applyAlignment="1" applyFont="1" applyNumberFormat="1">
      <alignment vertical="center"/>
    </xf>
    <xf borderId="2" fillId="5" fontId="6" numFmtId="0" xfId="0" applyAlignment="1" applyBorder="1" applyFill="1" applyFont="1">
      <alignment readingOrder="0" vertical="center"/>
    </xf>
    <xf borderId="3" fillId="0" fontId="11" numFmtId="0" xfId="0" applyAlignment="1" applyBorder="1" applyFont="1">
      <alignment vertical="center"/>
    </xf>
    <xf borderId="3" fillId="0" fontId="11" numFmtId="0" xfId="0" applyAlignment="1" applyBorder="1" applyFont="1">
      <alignment readingOrder="0" vertical="center"/>
    </xf>
    <xf borderId="0" fillId="4" fontId="11" numFmtId="0" xfId="0" applyAlignment="1" applyFont="1">
      <alignment vertical="center"/>
    </xf>
    <xf borderId="0" fillId="5" fontId="15" numFmtId="0" xfId="0" applyAlignment="1" applyFont="1">
      <alignment readingOrder="0" vertical="center"/>
    </xf>
    <xf borderId="3" fillId="4" fontId="2" numFmtId="0" xfId="0" applyAlignment="1" applyBorder="1" applyFont="1">
      <alignment readingOrder="0" vertical="center"/>
    </xf>
    <xf borderId="0" fillId="3" fontId="16" numFmtId="0" xfId="0" applyAlignment="1" applyFont="1">
      <alignment readingOrder="0" vertical="center"/>
    </xf>
    <xf borderId="0" fillId="5" fontId="6" numFmtId="0" xfId="0" applyAlignment="1" applyFont="1">
      <alignment readingOrder="0" vertical="center"/>
    </xf>
    <xf borderId="0" fillId="5" fontId="13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2" fillId="5" fontId="6" numFmtId="0" xfId="0" applyAlignment="1" applyBorder="1" applyFont="1">
      <alignment vertical="center"/>
    </xf>
    <xf borderId="0" fillId="6" fontId="11" numFmtId="165" xfId="0" applyAlignment="1" applyFill="1" applyFont="1" applyNumberFormat="1">
      <alignment vertical="center"/>
    </xf>
    <xf borderId="0" fillId="0" fontId="11" numFmtId="166" xfId="0" applyAlignment="1" applyFont="1" applyNumberFormat="1">
      <alignment vertical="center"/>
    </xf>
    <xf borderId="0" fillId="7" fontId="2" numFmtId="0" xfId="0" applyAlignment="1" applyFill="1" applyFont="1">
      <alignment vertical="center"/>
    </xf>
    <xf borderId="2" fillId="8" fontId="11" numFmtId="165" xfId="0" applyAlignment="1" applyBorder="1" applyFill="1" applyFont="1" applyNumberFormat="1">
      <alignment readingOrder="0" vertical="center"/>
    </xf>
    <xf borderId="0" fillId="7" fontId="2" numFmtId="0" xfId="0" applyAlignment="1" applyFont="1">
      <alignment readingOrder="0" vertical="center"/>
    </xf>
    <xf borderId="8" fillId="6" fontId="11" numFmtId="165" xfId="0" applyAlignment="1" applyBorder="1" applyFont="1" applyNumberFormat="1">
      <alignment vertical="center"/>
    </xf>
    <xf borderId="0" fillId="3" fontId="4" numFmtId="0" xfId="0" applyAlignment="1" applyFont="1">
      <alignment horizontal="center" shrinkToFit="0" vertical="center" wrapText="1"/>
    </xf>
    <xf borderId="0" fillId="3" fontId="4" numFmtId="10" xfId="0" applyAlignment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0" fillId="9" fontId="17" numFmtId="164" xfId="0" applyAlignment="1" applyFill="1" applyFont="1" applyNumberFormat="1">
      <alignment horizontal="center" vertical="center"/>
    </xf>
    <xf quotePrefix="1" borderId="2" fillId="3" fontId="6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center"/>
    </xf>
    <xf borderId="9" fillId="4" fontId="11" numFmtId="0" xfId="0" applyAlignment="1" applyBorder="1" applyFont="1">
      <alignment vertical="center"/>
    </xf>
    <xf borderId="9" fillId="6" fontId="11" numFmtId="0" xfId="0" applyAlignment="1" applyBorder="1" applyFont="1">
      <alignment vertical="center"/>
    </xf>
    <xf borderId="2" fillId="3" fontId="13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5" fontId="13" numFmtId="0" xfId="0" applyAlignment="1" applyBorder="1" applyFont="1">
      <alignment vertical="center"/>
    </xf>
    <xf borderId="2" fillId="4" fontId="11" numFmtId="0" xfId="0" applyAlignment="1" applyBorder="1" applyFont="1">
      <alignment vertical="center"/>
    </xf>
    <xf borderId="0" fillId="0" fontId="10" numFmtId="165" xfId="0" applyAlignment="1" applyFont="1" applyNumberFormat="1">
      <alignment vertical="center"/>
    </xf>
    <xf borderId="9" fillId="0" fontId="11" numFmtId="0" xfId="0" applyAlignment="1" applyBorder="1" applyFont="1">
      <alignment vertical="center"/>
    </xf>
    <xf borderId="9" fillId="3" fontId="13" numFmtId="0" xfId="0" applyAlignment="1" applyBorder="1" applyFont="1">
      <alignment vertical="center"/>
    </xf>
    <xf borderId="7" fillId="3" fontId="10" numFmtId="165" xfId="0" applyAlignment="1" applyBorder="1" applyFont="1" applyNumberFormat="1">
      <alignment vertical="center"/>
    </xf>
    <xf borderId="9" fillId="5" fontId="13" numFmtId="0" xfId="0" applyAlignment="1" applyBorder="1" applyFont="1">
      <alignment vertical="center"/>
    </xf>
    <xf borderId="0" fillId="7" fontId="18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4" fontId="11" numFmtId="165" xfId="0" applyAlignment="1" applyFont="1" applyNumberFormat="1">
      <alignment vertical="center"/>
    </xf>
    <xf borderId="0" fillId="7" fontId="11" numFmtId="0" xfId="0" applyAlignment="1" applyFont="1">
      <alignment vertical="center"/>
    </xf>
    <xf borderId="0" fillId="3" fontId="13" numFmtId="0" xfId="0" applyAlignment="1" applyFont="1">
      <alignment vertical="center"/>
    </xf>
    <xf borderId="7" fillId="3" fontId="13" numFmtId="165" xfId="0" applyAlignment="1" applyBorder="1" applyFont="1" applyNumberFormat="1">
      <alignment vertical="center"/>
    </xf>
    <xf borderId="0" fillId="5" fontId="13" numFmtId="0" xfId="0" applyAlignment="1" applyFont="1">
      <alignment vertical="center"/>
    </xf>
    <xf borderId="10" fillId="6" fontId="11" numFmtId="165" xfId="0" applyAlignment="1" applyBorder="1" applyFont="1" applyNumberFormat="1">
      <alignment vertical="center"/>
    </xf>
    <xf borderId="7" fillId="6" fontId="11" numFmtId="165" xfId="0" applyAlignment="1" applyBorder="1" applyFont="1" applyNumberFormat="1">
      <alignment vertical="center"/>
    </xf>
    <xf borderId="0" fillId="2" fontId="19" numFmtId="0" xfId="0" applyFont="1"/>
    <xf borderId="0" fillId="0" fontId="19" numFmtId="164" xfId="0" applyAlignment="1" applyFont="1" applyNumberFormat="1">
      <alignment horizontal="center" vertical="center"/>
    </xf>
    <xf borderId="0" fillId="0" fontId="19" numFmtId="0" xfId="0" applyAlignment="1" applyFont="1">
      <alignment readingOrder="0"/>
    </xf>
    <xf borderId="0" fillId="0" fontId="19" numFmtId="166" xfId="0" applyFont="1" applyNumberFormat="1"/>
    <xf borderId="0" fillId="0" fontId="19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r>
              <a:rPr b="0">
                <a:solidFill>
                  <a:srgbClr val="D9D9D9"/>
                </a:solidFill>
                <a:latin typeface="+mn-lt"/>
              </a:rPr>
              <a:t>Budget Revenue and Actual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Reports!$D$65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Reports!$E$64:$P$64</c:f>
            </c:strRef>
          </c:cat>
          <c:val>
            <c:numRef>
              <c:f>Reports!$E$65:$P$65</c:f>
              <c:numCache/>
            </c:numRef>
          </c:val>
        </c:ser>
        <c:axId val="1250913340"/>
        <c:axId val="1060135898"/>
      </c:barChart>
      <c:lineChart>
        <c:varyColors val="0"/>
        <c:ser>
          <c:idx val="1"/>
          <c:order val="1"/>
          <c:tx>
            <c:strRef>
              <c:f>Reports!$D$66</c:f>
            </c:strRef>
          </c:tx>
          <c:spPr>
            <a:ln cmpd="sng" w="38100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Reports!$E$64:$P$64</c:f>
            </c:strRef>
          </c:cat>
          <c:val>
            <c:numRef>
              <c:f>Reports!$E$66:$P$66</c:f>
              <c:numCache/>
            </c:numRef>
          </c:val>
          <c:smooth val="0"/>
        </c:ser>
        <c:axId val="1250913340"/>
        <c:axId val="1060135898"/>
      </c:lineChart>
      <c:catAx>
        <c:axId val="1250913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60135898"/>
      </c:catAx>
      <c:valAx>
        <c:axId val="10601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509133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r>
              <a:rPr b="0">
                <a:solidFill>
                  <a:srgbClr val="D9D9D9"/>
                </a:solidFill>
                <a:latin typeface="+mn-lt"/>
              </a:rPr>
              <a:t>Budget Expenses and Actual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Reports!$D$71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Reports!$E$64:$P$64</c:f>
            </c:strRef>
          </c:cat>
          <c:val>
            <c:numRef>
              <c:f>Reports!$E$71:$P$71</c:f>
              <c:numCache/>
            </c:numRef>
          </c:val>
        </c:ser>
        <c:axId val="551264594"/>
        <c:axId val="945367206"/>
      </c:barChart>
      <c:lineChart>
        <c:varyColors val="0"/>
        <c:ser>
          <c:idx val="1"/>
          <c:order val="1"/>
          <c:tx>
            <c:strRef>
              <c:f>Reports!$D$72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Reports!$E$64:$P$64</c:f>
            </c:strRef>
          </c:cat>
          <c:val>
            <c:numRef>
              <c:f>Reports!$E$72:$P$72</c:f>
              <c:numCache/>
            </c:numRef>
          </c:val>
          <c:smooth val="0"/>
        </c:ser>
        <c:axId val="551264594"/>
        <c:axId val="945367206"/>
      </c:lineChart>
      <c:catAx>
        <c:axId val="551264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45367206"/>
      </c:catAx>
      <c:valAx>
        <c:axId val="945367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512645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14497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22</xdr:row>
      <xdr:rowOff>180975</xdr:rowOff>
    </xdr:from>
    <xdr:ext cx="144970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2.57"/>
    <col customWidth="1" min="3" max="3" width="36.71"/>
    <col customWidth="1" min="4" max="15" width="13.86"/>
    <col customWidth="1" min="16" max="16" width="2.14"/>
    <col customWidth="1" min="17" max="17" width="14.14"/>
    <col customWidth="1" min="18" max="19" width="2.57"/>
    <col customWidth="1" min="20" max="20" width="31.14"/>
    <col customWidth="1" min="21" max="21" width="13.57"/>
    <col customWidth="1" min="22" max="31" width="8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ht="12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75" customHeight="1">
      <c r="A3" s="1"/>
      <c r="B3" s="3"/>
      <c r="C3" s="4" t="s"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  <c r="Q3" s="5"/>
      <c r="R3" s="2"/>
      <c r="S3" s="1"/>
      <c r="T3" s="2"/>
      <c r="U3" s="6" t="s">
        <v>1</v>
      </c>
      <c r="V3" s="7">
        <v>0.15</v>
      </c>
      <c r="W3" s="2"/>
      <c r="X3" s="2"/>
      <c r="Y3" s="2"/>
      <c r="Z3" s="2"/>
      <c r="AA3" s="2"/>
      <c r="AB3" s="2"/>
      <c r="AC3" s="2"/>
      <c r="AD3" s="2"/>
      <c r="AE3" s="2"/>
    </row>
    <row r="4" ht="12.75" customHeight="1">
      <c r="A4" s="1"/>
      <c r="B4" s="3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  <c r="Q4" s="10"/>
      <c r="R4" s="2"/>
      <c r="S4" s="1"/>
      <c r="T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2.75" customHeight="1">
      <c r="A5" s="1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5.75" customHeight="1">
      <c r="A6" s="1"/>
      <c r="B6" s="3"/>
      <c r="C6" s="11"/>
      <c r="D6" s="12">
        <v>44287.0</v>
      </c>
      <c r="E6" s="12">
        <v>44317.0</v>
      </c>
      <c r="F6" s="12">
        <v>44348.0</v>
      </c>
      <c r="G6" s="12">
        <v>44378.0</v>
      </c>
      <c r="H6" s="12">
        <v>44409.0</v>
      </c>
      <c r="I6" s="12">
        <v>44440.0</v>
      </c>
      <c r="J6" s="12">
        <v>44470.0</v>
      </c>
      <c r="K6" s="12">
        <v>44501.0</v>
      </c>
      <c r="L6" s="12">
        <v>44531.0</v>
      </c>
      <c r="M6" s="12">
        <v>44562.0</v>
      </c>
      <c r="N6" s="12">
        <v>44593.0</v>
      </c>
      <c r="O6" s="12">
        <v>44621.0</v>
      </c>
      <c r="P6" s="3"/>
      <c r="Q6" s="13" t="s">
        <v>2</v>
      </c>
      <c r="R6" s="2"/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7.25" customHeight="1">
      <c r="A7" s="1"/>
      <c r="B7" s="3"/>
      <c r="C7" s="14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2.75" customHeight="1">
      <c r="A8" s="1"/>
      <c r="B8" s="3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2.75" customHeight="1">
      <c r="A9" s="1"/>
      <c r="B9" s="3"/>
      <c r="C9" s="16" t="s">
        <v>4</v>
      </c>
      <c r="D9" s="17">
        <v>25000.0</v>
      </c>
      <c r="E9" s="17">
        <v>35000.0</v>
      </c>
      <c r="F9" s="17">
        <v>45000.0</v>
      </c>
      <c r="G9" s="17">
        <v>15000.0</v>
      </c>
      <c r="H9" s="17">
        <v>25000.0</v>
      </c>
      <c r="I9" s="17">
        <v>30000.0</v>
      </c>
      <c r="J9" s="17">
        <v>12500.0</v>
      </c>
      <c r="K9" s="17">
        <v>25000.0</v>
      </c>
      <c r="L9" s="17">
        <v>35000.0</v>
      </c>
      <c r="M9" s="17">
        <v>40000.0</v>
      </c>
      <c r="N9" s="17">
        <v>25000.0</v>
      </c>
      <c r="O9" s="17">
        <v>35800.0</v>
      </c>
      <c r="P9" s="3"/>
      <c r="Q9" s="18">
        <f t="shared" ref="Q9:Q14" si="1">SUM(D9:O9)</f>
        <v>348300</v>
      </c>
      <c r="R9" s="2"/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2.75" customHeight="1">
      <c r="A10" s="1"/>
      <c r="B10" s="3"/>
      <c r="C10" s="19" t="s">
        <v>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"/>
      <c r="Q10" s="18">
        <f t="shared" si="1"/>
        <v>0</v>
      </c>
      <c r="R10" s="2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2.75" customHeight="1">
      <c r="A11" s="1"/>
      <c r="B11" s="3"/>
      <c r="C11" s="19" t="s">
        <v>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3"/>
      <c r="Q11" s="18">
        <f t="shared" si="1"/>
        <v>0</v>
      </c>
      <c r="R11" s="2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75" customHeight="1">
      <c r="A12" s="1"/>
      <c r="B12" s="3"/>
      <c r="C12" s="19" t="s">
        <v>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3"/>
      <c r="Q12" s="18">
        <f t="shared" si="1"/>
        <v>0</v>
      </c>
      <c r="R12" s="2"/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2.75" customHeight="1">
      <c r="A13" s="1"/>
      <c r="B13" s="3"/>
      <c r="C13" s="21" t="s">
        <v>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3"/>
      <c r="Q13" s="18">
        <f t="shared" si="1"/>
        <v>0</v>
      </c>
      <c r="R13" s="2"/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2.75" customHeight="1">
      <c r="A14" s="1"/>
      <c r="B14" s="3"/>
      <c r="C14" s="22" t="s">
        <v>9</v>
      </c>
      <c r="D14" s="17">
        <v>250.0</v>
      </c>
      <c r="E14" s="17">
        <v>250.0</v>
      </c>
      <c r="F14" s="17">
        <v>250.0</v>
      </c>
      <c r="G14" s="17">
        <v>250.0</v>
      </c>
      <c r="H14" s="17">
        <v>250.0</v>
      </c>
      <c r="I14" s="17">
        <v>250.0</v>
      </c>
      <c r="J14" s="17">
        <v>250.0</v>
      </c>
      <c r="K14" s="17">
        <v>250.0</v>
      </c>
      <c r="L14" s="17">
        <v>250.0</v>
      </c>
      <c r="M14" s="17">
        <v>250.0</v>
      </c>
      <c r="N14" s="17">
        <v>250.0</v>
      </c>
      <c r="O14" s="17">
        <v>250.0</v>
      </c>
      <c r="P14" s="3"/>
      <c r="Q14" s="18">
        <f t="shared" si="1"/>
        <v>3000</v>
      </c>
      <c r="R14" s="2"/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2.75" customHeight="1">
      <c r="A15" s="1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2.75" customHeight="1">
      <c r="A16" s="1"/>
      <c r="B16" s="3"/>
      <c r="C16" s="23" t="s">
        <v>10</v>
      </c>
      <c r="D16" s="24">
        <f t="shared" ref="D16:O16" si="2">SUM(D9:D14)</f>
        <v>25250</v>
      </c>
      <c r="E16" s="24">
        <f t="shared" si="2"/>
        <v>35250</v>
      </c>
      <c r="F16" s="24">
        <f t="shared" si="2"/>
        <v>45250</v>
      </c>
      <c r="G16" s="24">
        <f t="shared" si="2"/>
        <v>15250</v>
      </c>
      <c r="H16" s="24">
        <f t="shared" si="2"/>
        <v>25250</v>
      </c>
      <c r="I16" s="24">
        <f t="shared" si="2"/>
        <v>30250</v>
      </c>
      <c r="J16" s="24">
        <f t="shared" si="2"/>
        <v>12750</v>
      </c>
      <c r="K16" s="24">
        <f t="shared" si="2"/>
        <v>25250</v>
      </c>
      <c r="L16" s="24">
        <f t="shared" si="2"/>
        <v>35250</v>
      </c>
      <c r="M16" s="24">
        <f t="shared" si="2"/>
        <v>40250</v>
      </c>
      <c r="N16" s="24">
        <f t="shared" si="2"/>
        <v>25250</v>
      </c>
      <c r="O16" s="24">
        <f t="shared" si="2"/>
        <v>36050</v>
      </c>
      <c r="P16" s="3"/>
      <c r="Q16" s="24">
        <f>SUM(D16:O16)</f>
        <v>351300</v>
      </c>
      <c r="R16" s="2"/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2.75" customHeight="1">
      <c r="A17" s="1"/>
      <c r="B17" s="3"/>
      <c r="C17" s="2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"/>
      <c r="Q17" s="25"/>
      <c r="R17" s="2"/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2.75" customHeight="1">
      <c r="A18" s="1"/>
      <c r="B18" s="3"/>
      <c r="C18" s="26" t="s">
        <v>11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"/>
      <c r="Q18" s="25"/>
      <c r="R18" s="2"/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2.75" customHeight="1">
      <c r="A19" s="1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2.75" customHeight="1">
      <c r="A20" s="1"/>
      <c r="B20" s="3"/>
      <c r="C20" s="27" t="s">
        <v>12</v>
      </c>
      <c r="D20" s="17">
        <v>500.0</v>
      </c>
      <c r="E20" s="17">
        <v>500.0</v>
      </c>
      <c r="F20" s="17">
        <v>500.0</v>
      </c>
      <c r="G20" s="17">
        <v>500.0</v>
      </c>
      <c r="H20" s="17">
        <v>500.0</v>
      </c>
      <c r="I20" s="17">
        <v>500.0</v>
      </c>
      <c r="J20" s="17">
        <v>500.0</v>
      </c>
      <c r="K20" s="17">
        <v>500.0</v>
      </c>
      <c r="L20" s="17">
        <v>500.0</v>
      </c>
      <c r="M20" s="17">
        <v>500.0</v>
      </c>
      <c r="N20" s="17">
        <v>500.0</v>
      </c>
      <c r="O20" s="17">
        <v>500.0</v>
      </c>
      <c r="P20" s="3"/>
      <c r="Q20" s="18">
        <f t="shared" ref="Q20:Q46" si="3">SUM(D20:O20)</f>
        <v>6000</v>
      </c>
      <c r="R20" s="2"/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2.75" customHeight="1">
      <c r="A21" s="1"/>
      <c r="B21" s="3"/>
      <c r="C21" s="27" t="s">
        <v>13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"/>
      <c r="Q21" s="18">
        <f t="shared" si="3"/>
        <v>0</v>
      </c>
      <c r="R21" s="2"/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2.75" customHeight="1">
      <c r="A22" s="1"/>
      <c r="B22" s="3"/>
      <c r="C22" s="27" t="s">
        <v>14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3"/>
      <c r="Q22" s="18">
        <f t="shared" si="3"/>
        <v>0</v>
      </c>
      <c r="R22" s="2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2.75" customHeight="1">
      <c r="A23" s="1"/>
      <c r="B23" s="3"/>
      <c r="C23" s="27" t="s">
        <v>15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3"/>
      <c r="Q23" s="18">
        <f t="shared" si="3"/>
        <v>0</v>
      </c>
      <c r="R23" s="2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2.75" customHeight="1">
      <c r="A24" s="1"/>
      <c r="B24" s="3"/>
      <c r="C24" s="27" t="s">
        <v>16</v>
      </c>
      <c r="D24" s="17">
        <v>150.0</v>
      </c>
      <c r="E24" s="17">
        <v>150.0</v>
      </c>
      <c r="F24" s="17">
        <v>150.0</v>
      </c>
      <c r="G24" s="17">
        <v>150.0</v>
      </c>
      <c r="H24" s="17">
        <v>150.0</v>
      </c>
      <c r="I24" s="17">
        <v>150.0</v>
      </c>
      <c r="J24" s="17">
        <v>150.0</v>
      </c>
      <c r="K24" s="17">
        <v>150.0</v>
      </c>
      <c r="L24" s="17">
        <v>150.0</v>
      </c>
      <c r="M24" s="17">
        <v>150.0</v>
      </c>
      <c r="N24" s="17">
        <v>150.0</v>
      </c>
      <c r="O24" s="17">
        <v>150.0</v>
      </c>
      <c r="P24" s="3"/>
      <c r="Q24" s="18">
        <f t="shared" si="3"/>
        <v>1800</v>
      </c>
      <c r="R24" s="2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2.75" customHeight="1">
      <c r="A25" s="1"/>
      <c r="B25" s="3"/>
      <c r="C25" s="27" t="s">
        <v>17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3"/>
      <c r="Q25" s="18">
        <f t="shared" si="3"/>
        <v>0</v>
      </c>
      <c r="R25" s="2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2.75" customHeight="1">
      <c r="A26" s="1"/>
      <c r="B26" s="3"/>
      <c r="C26" s="27" t="s">
        <v>18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3"/>
      <c r="Q26" s="18">
        <f t="shared" si="3"/>
        <v>0</v>
      </c>
      <c r="R26" s="2"/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2.75" customHeight="1">
      <c r="A27" s="1"/>
      <c r="B27" s="3"/>
      <c r="C27" s="27" t="s">
        <v>19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3"/>
      <c r="Q27" s="18">
        <f t="shared" si="3"/>
        <v>0</v>
      </c>
      <c r="R27" s="2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2.75" customHeight="1">
      <c r="A28" s="1"/>
      <c r="B28" s="3"/>
      <c r="C28" s="27" t="s">
        <v>20</v>
      </c>
      <c r="D28" s="17">
        <v>1000.0</v>
      </c>
      <c r="E28" s="17">
        <v>1000.0</v>
      </c>
      <c r="F28" s="17">
        <v>1000.0</v>
      </c>
      <c r="G28" s="17">
        <v>1000.0</v>
      </c>
      <c r="H28" s="17">
        <v>1000.0</v>
      </c>
      <c r="I28" s="17">
        <v>1000.0</v>
      </c>
      <c r="J28" s="17">
        <v>1000.0</v>
      </c>
      <c r="K28" s="17">
        <v>1000.0</v>
      </c>
      <c r="L28" s="17">
        <v>1000.0</v>
      </c>
      <c r="M28" s="17">
        <v>1000.0</v>
      </c>
      <c r="N28" s="17">
        <v>1000.0</v>
      </c>
      <c r="O28" s="17">
        <v>1000.0</v>
      </c>
      <c r="P28" s="3"/>
      <c r="Q28" s="18">
        <f t="shared" si="3"/>
        <v>12000</v>
      </c>
      <c r="R28" s="2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2.75" customHeight="1">
      <c r="A29" s="1"/>
      <c r="B29" s="3"/>
      <c r="C29" s="27" t="s">
        <v>21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3"/>
      <c r="Q29" s="18">
        <f t="shared" si="3"/>
        <v>0</v>
      </c>
      <c r="R29" s="2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2.75" customHeight="1">
      <c r="A30" s="1"/>
      <c r="B30" s="3"/>
      <c r="C30" s="27" t="s">
        <v>22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3"/>
      <c r="Q30" s="18">
        <f t="shared" si="3"/>
        <v>0</v>
      </c>
      <c r="R30" s="2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2.75" customHeight="1">
      <c r="A31" s="1"/>
      <c r="B31" s="3"/>
      <c r="C31" s="27" t="s">
        <v>23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3"/>
      <c r="Q31" s="18">
        <f t="shared" si="3"/>
        <v>0</v>
      </c>
      <c r="R31" s="2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2.75" customHeight="1">
      <c r="A32" s="1"/>
      <c r="B32" s="3"/>
      <c r="C32" s="27" t="s">
        <v>24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3"/>
      <c r="Q32" s="18">
        <f t="shared" si="3"/>
        <v>0</v>
      </c>
      <c r="R32" s="2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2.75" customHeight="1">
      <c r="A33" s="1"/>
      <c r="B33" s="3"/>
      <c r="C33" s="27" t="s">
        <v>25</v>
      </c>
      <c r="D33" s="17">
        <v>600.0</v>
      </c>
      <c r="E33" s="17">
        <v>600.0</v>
      </c>
      <c r="F33" s="17">
        <v>600.0</v>
      </c>
      <c r="G33" s="17">
        <v>600.0</v>
      </c>
      <c r="H33" s="17">
        <v>600.0</v>
      </c>
      <c r="I33" s="17">
        <v>600.0</v>
      </c>
      <c r="J33" s="17">
        <v>600.0</v>
      </c>
      <c r="K33" s="17">
        <v>600.0</v>
      </c>
      <c r="L33" s="17">
        <v>600.0</v>
      </c>
      <c r="M33" s="17">
        <v>600.0</v>
      </c>
      <c r="N33" s="17">
        <v>600.0</v>
      </c>
      <c r="O33" s="17">
        <v>600.0</v>
      </c>
      <c r="P33" s="3"/>
      <c r="Q33" s="18">
        <f t="shared" si="3"/>
        <v>7200</v>
      </c>
      <c r="R33" s="2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2.75" customHeight="1">
      <c r="A34" s="1"/>
      <c r="B34" s="3"/>
      <c r="C34" s="27" t="s">
        <v>26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3"/>
      <c r="Q34" s="18">
        <f t="shared" si="3"/>
        <v>0</v>
      </c>
      <c r="R34" s="2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2.75" customHeight="1">
      <c r="A35" s="1"/>
      <c r="B35" s="3"/>
      <c r="C35" s="27" t="s">
        <v>27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3"/>
      <c r="Q35" s="18">
        <f t="shared" si="3"/>
        <v>0</v>
      </c>
      <c r="R35" s="2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2.75" customHeight="1">
      <c r="A36" s="1"/>
      <c r="B36" s="3"/>
      <c r="C36" s="27" t="s">
        <v>28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"/>
      <c r="Q36" s="18">
        <f t="shared" si="3"/>
        <v>0</v>
      </c>
      <c r="R36" s="2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2.75" customHeight="1">
      <c r="A37" s="1"/>
      <c r="B37" s="3"/>
      <c r="C37" s="27" t="s">
        <v>29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3"/>
      <c r="Q37" s="18">
        <f t="shared" si="3"/>
        <v>0</v>
      </c>
      <c r="R37" s="2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2.75" customHeight="1">
      <c r="A38" s="1"/>
      <c r="B38" s="3"/>
      <c r="C38" s="27" t="s">
        <v>30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3"/>
      <c r="Q38" s="18">
        <f t="shared" si="3"/>
        <v>0</v>
      </c>
      <c r="R38" s="2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2.75" customHeight="1">
      <c r="A39" s="1"/>
      <c r="B39" s="3"/>
      <c r="C39" s="27" t="s">
        <v>31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3"/>
      <c r="Q39" s="18">
        <f t="shared" si="3"/>
        <v>0</v>
      </c>
      <c r="R39" s="2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2.75" customHeight="1">
      <c r="A40" s="1"/>
      <c r="B40" s="3"/>
      <c r="C40" s="28" t="s">
        <v>32</v>
      </c>
      <c r="D40" s="17">
        <v>500.0</v>
      </c>
      <c r="E40" s="17">
        <v>500.0</v>
      </c>
      <c r="F40" s="17">
        <v>500.0</v>
      </c>
      <c r="G40" s="17">
        <v>500.0</v>
      </c>
      <c r="H40" s="17">
        <v>500.0</v>
      </c>
      <c r="I40" s="17">
        <v>500.0</v>
      </c>
      <c r="J40" s="17">
        <v>500.0</v>
      </c>
      <c r="K40" s="17">
        <v>500.0</v>
      </c>
      <c r="L40" s="17">
        <v>500.0</v>
      </c>
      <c r="M40" s="17">
        <v>500.0</v>
      </c>
      <c r="N40" s="17">
        <v>500.0</v>
      </c>
      <c r="O40" s="17">
        <v>500.0</v>
      </c>
      <c r="P40" s="3"/>
      <c r="Q40" s="18">
        <f t="shared" si="3"/>
        <v>6000</v>
      </c>
      <c r="R40" s="2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75" customHeight="1">
      <c r="A41" s="1"/>
      <c r="B41" s="3"/>
      <c r="C41" s="27" t="s">
        <v>33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3"/>
      <c r="Q41" s="18">
        <f t="shared" si="3"/>
        <v>0</v>
      </c>
      <c r="R41" s="2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75" customHeight="1">
      <c r="A42" s="1"/>
      <c r="B42" s="3"/>
      <c r="C42" s="27" t="s">
        <v>34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3"/>
      <c r="Q42" s="18">
        <f t="shared" si="3"/>
        <v>0</v>
      </c>
      <c r="R42" s="2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2.75" customHeight="1">
      <c r="A43" s="1"/>
      <c r="B43" s="3"/>
      <c r="C43" s="27" t="s">
        <v>35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3"/>
      <c r="Q43" s="18">
        <f t="shared" si="3"/>
        <v>0</v>
      </c>
      <c r="R43" s="2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2.75" customHeight="1">
      <c r="A44" s="1"/>
      <c r="B44" s="3"/>
      <c r="C44" s="27" t="s">
        <v>36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3"/>
      <c r="Q44" s="18">
        <f t="shared" si="3"/>
        <v>0</v>
      </c>
      <c r="R44" s="2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2.75" customHeight="1">
      <c r="A45" s="1"/>
      <c r="B45" s="3"/>
      <c r="C45" s="27" t="s">
        <v>37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3"/>
      <c r="Q45" s="18">
        <f t="shared" si="3"/>
        <v>0</v>
      </c>
      <c r="R45" s="2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2.75" customHeight="1">
      <c r="A46" s="1"/>
      <c r="B46" s="3"/>
      <c r="C46" s="27" t="s">
        <v>38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3"/>
      <c r="Q46" s="18">
        <f t="shared" si="3"/>
        <v>0</v>
      </c>
      <c r="R46" s="2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2.75" customHeight="1">
      <c r="A47" s="1"/>
      <c r="B47" s="3"/>
      <c r="C47" s="29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75" customHeight="1">
      <c r="A48" s="1"/>
      <c r="B48" s="3"/>
      <c r="C48" s="30" t="s">
        <v>39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75" customHeight="1">
      <c r="A49" s="1"/>
      <c r="B49" s="3"/>
      <c r="C49" s="2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75" customHeight="1">
      <c r="A50" s="1"/>
      <c r="B50" s="3"/>
      <c r="C50" s="31" t="s">
        <v>40</v>
      </c>
      <c r="D50" s="17">
        <v>14000.0</v>
      </c>
      <c r="E50" s="17">
        <v>14000.0</v>
      </c>
      <c r="F50" s="17">
        <v>14000.0</v>
      </c>
      <c r="G50" s="17">
        <v>14000.0</v>
      </c>
      <c r="H50" s="17">
        <v>14000.0</v>
      </c>
      <c r="I50" s="17">
        <v>14000.0</v>
      </c>
      <c r="J50" s="17">
        <v>14000.0</v>
      </c>
      <c r="K50" s="17">
        <v>14000.0</v>
      </c>
      <c r="L50" s="17">
        <v>14000.0</v>
      </c>
      <c r="M50" s="17">
        <v>14000.0</v>
      </c>
      <c r="N50" s="17">
        <v>14000.0</v>
      </c>
      <c r="O50" s="17">
        <v>14000.0</v>
      </c>
      <c r="P50" s="3"/>
      <c r="Q50" s="18">
        <f t="shared" ref="Q50:Q54" si="4">SUM(D50:O50)</f>
        <v>168000</v>
      </c>
      <c r="R50" s="2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2.75" customHeight="1">
      <c r="A51" s="1"/>
      <c r="B51" s="3"/>
      <c r="C51" s="31" t="s">
        <v>41</v>
      </c>
      <c r="D51" s="17">
        <v>750.0</v>
      </c>
      <c r="E51" s="17">
        <v>750.0</v>
      </c>
      <c r="F51" s="17">
        <v>750.0</v>
      </c>
      <c r="G51" s="17">
        <v>750.0</v>
      </c>
      <c r="H51" s="17">
        <v>750.0</v>
      </c>
      <c r="I51" s="17">
        <v>750.0</v>
      </c>
      <c r="J51" s="17">
        <v>750.0</v>
      </c>
      <c r="K51" s="17">
        <v>750.0</v>
      </c>
      <c r="L51" s="17">
        <v>750.0</v>
      </c>
      <c r="M51" s="17">
        <v>750.0</v>
      </c>
      <c r="N51" s="17">
        <v>750.0</v>
      </c>
      <c r="O51" s="17">
        <v>750.0</v>
      </c>
      <c r="P51" s="3"/>
      <c r="Q51" s="18">
        <f t="shared" si="4"/>
        <v>9000</v>
      </c>
      <c r="R51" s="2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75" customHeight="1">
      <c r="A52" s="1"/>
      <c r="B52" s="3"/>
      <c r="C52" s="31" t="s">
        <v>33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3"/>
      <c r="Q52" s="18">
        <f t="shared" si="4"/>
        <v>0</v>
      </c>
      <c r="R52" s="2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75" customHeight="1">
      <c r="A53" s="1"/>
      <c r="B53" s="3"/>
      <c r="C53" s="31" t="s">
        <v>34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3"/>
      <c r="Q53" s="18">
        <f t="shared" si="4"/>
        <v>0</v>
      </c>
      <c r="R53" s="2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75" customHeight="1">
      <c r="A54" s="1"/>
      <c r="B54" s="3"/>
      <c r="C54" s="31" t="s">
        <v>35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3"/>
      <c r="Q54" s="18">
        <f t="shared" si="4"/>
        <v>0</v>
      </c>
      <c r="R54" s="2"/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75" customHeight="1">
      <c r="A55" s="1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75" customHeight="1">
      <c r="A56" s="1"/>
      <c r="B56" s="3"/>
      <c r="C56" s="32" t="s">
        <v>42</v>
      </c>
      <c r="D56" s="24">
        <f t="shared" ref="D56:O56" si="5">SUM(D20:D54)</f>
        <v>17500</v>
      </c>
      <c r="E56" s="24">
        <f t="shared" si="5"/>
        <v>17500</v>
      </c>
      <c r="F56" s="24">
        <f t="shared" si="5"/>
        <v>17500</v>
      </c>
      <c r="G56" s="24">
        <f t="shared" si="5"/>
        <v>17500</v>
      </c>
      <c r="H56" s="24">
        <f t="shared" si="5"/>
        <v>17500</v>
      </c>
      <c r="I56" s="24">
        <f t="shared" si="5"/>
        <v>17500</v>
      </c>
      <c r="J56" s="24">
        <f t="shared" si="5"/>
        <v>17500</v>
      </c>
      <c r="K56" s="24">
        <f t="shared" si="5"/>
        <v>17500</v>
      </c>
      <c r="L56" s="24">
        <f t="shared" si="5"/>
        <v>17500</v>
      </c>
      <c r="M56" s="24">
        <f t="shared" si="5"/>
        <v>17500</v>
      </c>
      <c r="N56" s="24">
        <f t="shared" si="5"/>
        <v>17500</v>
      </c>
      <c r="O56" s="24">
        <f t="shared" si="5"/>
        <v>17500</v>
      </c>
      <c r="P56" s="3"/>
      <c r="Q56" s="24">
        <f>SUM(D56:O56)</f>
        <v>210000</v>
      </c>
      <c r="R56" s="2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75" customHeight="1">
      <c r="A57" s="1"/>
      <c r="B57" s="3"/>
      <c r="C57" s="2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3"/>
      <c r="Q57" s="25"/>
      <c r="R57" s="2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75" customHeight="1">
      <c r="A58" s="1"/>
      <c r="B58" s="3"/>
      <c r="C58" s="33" t="s">
        <v>43</v>
      </c>
      <c r="D58" s="34">
        <f t="shared" ref="D58:O58" si="6">D9+D11+D13</f>
        <v>25000</v>
      </c>
      <c r="E58" s="34">
        <f t="shared" si="6"/>
        <v>35000</v>
      </c>
      <c r="F58" s="34">
        <f t="shared" si="6"/>
        <v>45000</v>
      </c>
      <c r="G58" s="34">
        <f t="shared" si="6"/>
        <v>15000</v>
      </c>
      <c r="H58" s="34">
        <f t="shared" si="6"/>
        <v>25000</v>
      </c>
      <c r="I58" s="34">
        <f t="shared" si="6"/>
        <v>30000</v>
      </c>
      <c r="J58" s="34">
        <f t="shared" si="6"/>
        <v>12500</v>
      </c>
      <c r="K58" s="34">
        <f t="shared" si="6"/>
        <v>25000</v>
      </c>
      <c r="L58" s="34">
        <f t="shared" si="6"/>
        <v>35000</v>
      </c>
      <c r="M58" s="34">
        <f t="shared" si="6"/>
        <v>40000</v>
      </c>
      <c r="N58" s="34">
        <f t="shared" si="6"/>
        <v>25000</v>
      </c>
      <c r="O58" s="34">
        <f t="shared" si="6"/>
        <v>35800</v>
      </c>
      <c r="P58" s="3"/>
      <c r="Q58" s="25"/>
      <c r="R58" s="2"/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75" customHeight="1">
      <c r="A59" s="1"/>
      <c r="B59" s="3"/>
      <c r="C59" s="33" t="s">
        <v>44</v>
      </c>
      <c r="D59" s="34">
        <f t="shared" ref="D59:O59" si="7">sum(D20:D46)</f>
        <v>2750</v>
      </c>
      <c r="E59" s="34">
        <f t="shared" si="7"/>
        <v>2750</v>
      </c>
      <c r="F59" s="34">
        <f t="shared" si="7"/>
        <v>2750</v>
      </c>
      <c r="G59" s="34">
        <f t="shared" si="7"/>
        <v>2750</v>
      </c>
      <c r="H59" s="34">
        <f t="shared" si="7"/>
        <v>2750</v>
      </c>
      <c r="I59" s="34">
        <f t="shared" si="7"/>
        <v>2750</v>
      </c>
      <c r="J59" s="34">
        <f t="shared" si="7"/>
        <v>2750</v>
      </c>
      <c r="K59" s="34">
        <f t="shared" si="7"/>
        <v>2750</v>
      </c>
      <c r="L59" s="34">
        <f t="shared" si="7"/>
        <v>2750</v>
      </c>
      <c r="M59" s="34">
        <f t="shared" si="7"/>
        <v>2750</v>
      </c>
      <c r="N59" s="34">
        <f t="shared" si="7"/>
        <v>2750</v>
      </c>
      <c r="O59" s="34">
        <f t="shared" si="7"/>
        <v>2750</v>
      </c>
      <c r="P59" s="3"/>
      <c r="Q59" s="25"/>
      <c r="R59" s="2"/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75" customHeight="1">
      <c r="A60" s="1"/>
      <c r="B60" s="3"/>
      <c r="C60" s="3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3"/>
      <c r="Q60" s="25"/>
      <c r="R60" s="2"/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75" customHeight="1">
      <c r="A61" s="1"/>
      <c r="B61" s="3"/>
      <c r="C61" s="36" t="s">
        <v>45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3"/>
      <c r="Q61" s="25"/>
      <c r="R61" s="2"/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75" customHeight="1">
      <c r="A62" s="1"/>
      <c r="B62" s="3"/>
      <c r="C62" s="2" t="s">
        <v>46</v>
      </c>
      <c r="D62" s="37">
        <f t="shared" ref="D62:O62" si="8">D59-(D59/(1+$V$3))</f>
        <v>358.6956522</v>
      </c>
      <c r="E62" s="37">
        <f t="shared" si="8"/>
        <v>358.6956522</v>
      </c>
      <c r="F62" s="37">
        <f t="shared" si="8"/>
        <v>358.6956522</v>
      </c>
      <c r="G62" s="37">
        <f t="shared" si="8"/>
        <v>358.6956522</v>
      </c>
      <c r="H62" s="37">
        <f t="shared" si="8"/>
        <v>358.6956522</v>
      </c>
      <c r="I62" s="37">
        <f t="shared" si="8"/>
        <v>358.6956522</v>
      </c>
      <c r="J62" s="37">
        <f t="shared" si="8"/>
        <v>358.6956522</v>
      </c>
      <c r="K62" s="37">
        <f t="shared" si="8"/>
        <v>358.6956522</v>
      </c>
      <c r="L62" s="37">
        <f t="shared" si="8"/>
        <v>358.6956522</v>
      </c>
      <c r="M62" s="37">
        <f t="shared" si="8"/>
        <v>358.6956522</v>
      </c>
      <c r="N62" s="37">
        <f t="shared" si="8"/>
        <v>358.6956522</v>
      </c>
      <c r="O62" s="37">
        <f t="shared" si="8"/>
        <v>358.6956522</v>
      </c>
      <c r="P62" s="3"/>
      <c r="Q62" s="18">
        <f t="shared" ref="Q62:Q64" si="10">SUM(D62:O62)</f>
        <v>4304.347826</v>
      </c>
      <c r="R62" s="2"/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75" customHeight="1">
      <c r="A63" s="1"/>
      <c r="B63" s="3"/>
      <c r="C63" s="2" t="s">
        <v>47</v>
      </c>
      <c r="D63" s="37">
        <f t="shared" ref="D63:O63" si="9">D58-(D58/(1+$V$3))</f>
        <v>3260.869565</v>
      </c>
      <c r="E63" s="37">
        <f t="shared" si="9"/>
        <v>4565.217391</v>
      </c>
      <c r="F63" s="37">
        <f t="shared" si="9"/>
        <v>5869.565217</v>
      </c>
      <c r="G63" s="37">
        <f t="shared" si="9"/>
        <v>1956.521739</v>
      </c>
      <c r="H63" s="37">
        <f t="shared" si="9"/>
        <v>3260.869565</v>
      </c>
      <c r="I63" s="37">
        <f t="shared" si="9"/>
        <v>3913.043478</v>
      </c>
      <c r="J63" s="37">
        <f t="shared" si="9"/>
        <v>1630.434783</v>
      </c>
      <c r="K63" s="37">
        <f t="shared" si="9"/>
        <v>3260.869565</v>
      </c>
      <c r="L63" s="37">
        <f t="shared" si="9"/>
        <v>4565.217391</v>
      </c>
      <c r="M63" s="37">
        <f t="shared" si="9"/>
        <v>5217.391304</v>
      </c>
      <c r="N63" s="37">
        <f t="shared" si="9"/>
        <v>3260.869565</v>
      </c>
      <c r="O63" s="37">
        <f t="shared" si="9"/>
        <v>4669.565217</v>
      </c>
      <c r="P63" s="3"/>
      <c r="Q63" s="18">
        <f t="shared" si="10"/>
        <v>45430.43478</v>
      </c>
      <c r="R63" s="2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75" customHeight="1">
      <c r="A64" s="1"/>
      <c r="B64" s="3"/>
      <c r="C64" s="23" t="s">
        <v>48</v>
      </c>
      <c r="D64" s="24">
        <f t="shared" ref="D64:O64" si="11">D62-D63</f>
        <v>-2902.173913</v>
      </c>
      <c r="E64" s="24">
        <f t="shared" si="11"/>
        <v>-4206.521739</v>
      </c>
      <c r="F64" s="24">
        <f t="shared" si="11"/>
        <v>-5510.869565</v>
      </c>
      <c r="G64" s="24">
        <f t="shared" si="11"/>
        <v>-1597.826087</v>
      </c>
      <c r="H64" s="24">
        <f t="shared" si="11"/>
        <v>-2902.173913</v>
      </c>
      <c r="I64" s="24">
        <f t="shared" si="11"/>
        <v>-3554.347826</v>
      </c>
      <c r="J64" s="24">
        <f t="shared" si="11"/>
        <v>-1271.73913</v>
      </c>
      <c r="K64" s="24">
        <f t="shared" si="11"/>
        <v>-2902.173913</v>
      </c>
      <c r="L64" s="24">
        <f t="shared" si="11"/>
        <v>-4206.521739</v>
      </c>
      <c r="M64" s="24">
        <f t="shared" si="11"/>
        <v>-4858.695652</v>
      </c>
      <c r="N64" s="24">
        <f t="shared" si="11"/>
        <v>-2902.173913</v>
      </c>
      <c r="O64" s="24">
        <f t="shared" si="11"/>
        <v>-4310.869565</v>
      </c>
      <c r="P64" s="3"/>
      <c r="Q64" s="24">
        <f t="shared" si="10"/>
        <v>-41126.08696</v>
      </c>
      <c r="R64" s="2"/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75" customHeight="1">
      <c r="A65" s="1"/>
      <c r="B65" s="3"/>
      <c r="C65" s="2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"/>
      <c r="Q65" s="38"/>
      <c r="R65" s="2"/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75" customHeight="1">
      <c r="A66" s="1"/>
      <c r="B66" s="3"/>
      <c r="C66" s="23" t="s">
        <v>49</v>
      </c>
      <c r="D66" s="24">
        <f t="shared" ref="D66:O66" si="12">D16-(D56+D64)</f>
        <v>10652.17391</v>
      </c>
      <c r="E66" s="24">
        <f t="shared" si="12"/>
        <v>21956.52174</v>
      </c>
      <c r="F66" s="24">
        <f t="shared" si="12"/>
        <v>33260.86957</v>
      </c>
      <c r="G66" s="24">
        <f t="shared" si="12"/>
        <v>-652.173913</v>
      </c>
      <c r="H66" s="24">
        <f t="shared" si="12"/>
        <v>10652.17391</v>
      </c>
      <c r="I66" s="24">
        <f t="shared" si="12"/>
        <v>16304.34783</v>
      </c>
      <c r="J66" s="24">
        <f t="shared" si="12"/>
        <v>-3478.26087</v>
      </c>
      <c r="K66" s="24">
        <f t="shared" si="12"/>
        <v>10652.17391</v>
      </c>
      <c r="L66" s="24">
        <f t="shared" si="12"/>
        <v>21956.52174</v>
      </c>
      <c r="M66" s="24">
        <f t="shared" si="12"/>
        <v>27608.69565</v>
      </c>
      <c r="N66" s="24">
        <f t="shared" si="12"/>
        <v>10652.17391</v>
      </c>
      <c r="O66" s="24">
        <f t="shared" si="12"/>
        <v>22860.86957</v>
      </c>
      <c r="P66" s="3"/>
      <c r="Q66" s="24">
        <f>SUM(D66:O66)</f>
        <v>182426.087</v>
      </c>
      <c r="R66" s="2"/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75" customHeight="1">
      <c r="A67" s="1"/>
      <c r="B67" s="3"/>
      <c r="C67" s="2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3"/>
      <c r="Q67" s="25"/>
      <c r="R67" s="2"/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75" customHeight="1">
      <c r="A68" s="1"/>
      <c r="B68" s="3"/>
      <c r="C68" s="39" t="s">
        <v>50</v>
      </c>
      <c r="D68" s="40">
        <v>10000.0</v>
      </c>
      <c r="E68" s="37">
        <f t="shared" ref="E68:O68" si="13">D72</f>
        <v>20652.17391</v>
      </c>
      <c r="F68" s="37">
        <f t="shared" si="13"/>
        <v>42608.69565</v>
      </c>
      <c r="G68" s="37">
        <f t="shared" si="13"/>
        <v>75869.56522</v>
      </c>
      <c r="H68" s="37">
        <f t="shared" si="13"/>
        <v>75217.3913</v>
      </c>
      <c r="I68" s="37">
        <f t="shared" si="13"/>
        <v>85869.56522</v>
      </c>
      <c r="J68" s="37">
        <f t="shared" si="13"/>
        <v>102173.913</v>
      </c>
      <c r="K68" s="37">
        <f t="shared" si="13"/>
        <v>98695.65217</v>
      </c>
      <c r="L68" s="37">
        <f t="shared" si="13"/>
        <v>109347.8261</v>
      </c>
      <c r="M68" s="37">
        <f t="shared" si="13"/>
        <v>131304.3478</v>
      </c>
      <c r="N68" s="37">
        <f t="shared" si="13"/>
        <v>158913.0435</v>
      </c>
      <c r="O68" s="37">
        <f t="shared" si="13"/>
        <v>169565.2174</v>
      </c>
      <c r="P68" s="3"/>
      <c r="Q68" s="25"/>
      <c r="R68" s="2"/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75" customHeight="1">
      <c r="A69" s="1"/>
      <c r="B69" s="3"/>
      <c r="C69" s="41" t="s">
        <v>51</v>
      </c>
      <c r="D69" s="42">
        <f t="shared" ref="D69:O69" si="14">D16+D63</f>
        <v>28510.86957</v>
      </c>
      <c r="E69" s="42">
        <f t="shared" si="14"/>
        <v>39815.21739</v>
      </c>
      <c r="F69" s="42">
        <f t="shared" si="14"/>
        <v>51119.56522</v>
      </c>
      <c r="G69" s="42">
        <f t="shared" si="14"/>
        <v>17206.52174</v>
      </c>
      <c r="H69" s="42">
        <f t="shared" si="14"/>
        <v>28510.86957</v>
      </c>
      <c r="I69" s="42">
        <f t="shared" si="14"/>
        <v>34163.04348</v>
      </c>
      <c r="J69" s="42">
        <f t="shared" si="14"/>
        <v>14380.43478</v>
      </c>
      <c r="K69" s="42">
        <f t="shared" si="14"/>
        <v>28510.86957</v>
      </c>
      <c r="L69" s="42">
        <f t="shared" si="14"/>
        <v>39815.21739</v>
      </c>
      <c r="M69" s="42">
        <f t="shared" si="14"/>
        <v>45467.3913</v>
      </c>
      <c r="N69" s="42">
        <f t="shared" si="14"/>
        <v>28510.86957</v>
      </c>
      <c r="O69" s="42">
        <f t="shared" si="14"/>
        <v>40719.56522</v>
      </c>
      <c r="P69" s="3"/>
      <c r="Q69" s="25"/>
      <c r="R69" s="2"/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75" customHeight="1">
      <c r="A70" s="1"/>
      <c r="B70" s="3"/>
      <c r="C70" s="2"/>
      <c r="D70" s="37">
        <f t="shared" ref="D70:O70" si="15">SUM(D68:D69)</f>
        <v>38510.86957</v>
      </c>
      <c r="E70" s="37">
        <f t="shared" si="15"/>
        <v>60467.3913</v>
      </c>
      <c r="F70" s="37">
        <f t="shared" si="15"/>
        <v>93728.26087</v>
      </c>
      <c r="G70" s="37">
        <f t="shared" si="15"/>
        <v>93076.08696</v>
      </c>
      <c r="H70" s="37">
        <f t="shared" si="15"/>
        <v>103728.2609</v>
      </c>
      <c r="I70" s="37">
        <f t="shared" si="15"/>
        <v>120032.6087</v>
      </c>
      <c r="J70" s="37">
        <f t="shared" si="15"/>
        <v>116554.3478</v>
      </c>
      <c r="K70" s="37">
        <f t="shared" si="15"/>
        <v>127206.5217</v>
      </c>
      <c r="L70" s="37">
        <f t="shared" si="15"/>
        <v>149163.0435</v>
      </c>
      <c r="M70" s="37">
        <f t="shared" si="15"/>
        <v>176771.7391</v>
      </c>
      <c r="N70" s="37">
        <f t="shared" si="15"/>
        <v>187423.913</v>
      </c>
      <c r="O70" s="37">
        <f t="shared" si="15"/>
        <v>210284.7826</v>
      </c>
      <c r="P70" s="3"/>
      <c r="Q70" s="25"/>
      <c r="R70" s="2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75" customHeight="1">
      <c r="A71" s="1"/>
      <c r="B71" s="3"/>
      <c r="C71" s="41" t="s">
        <v>52</v>
      </c>
      <c r="D71" s="37">
        <f t="shared" ref="D71:O71" si="16">D56+D62</f>
        <v>17858.69565</v>
      </c>
      <c r="E71" s="37">
        <f t="shared" si="16"/>
        <v>17858.69565</v>
      </c>
      <c r="F71" s="37">
        <f t="shared" si="16"/>
        <v>17858.69565</v>
      </c>
      <c r="G71" s="37">
        <f t="shared" si="16"/>
        <v>17858.69565</v>
      </c>
      <c r="H71" s="37">
        <f t="shared" si="16"/>
        <v>17858.69565</v>
      </c>
      <c r="I71" s="37">
        <f t="shared" si="16"/>
        <v>17858.69565</v>
      </c>
      <c r="J71" s="37">
        <f t="shared" si="16"/>
        <v>17858.69565</v>
      </c>
      <c r="K71" s="37">
        <f t="shared" si="16"/>
        <v>17858.69565</v>
      </c>
      <c r="L71" s="37">
        <f t="shared" si="16"/>
        <v>17858.69565</v>
      </c>
      <c r="M71" s="37">
        <f t="shared" si="16"/>
        <v>17858.69565</v>
      </c>
      <c r="N71" s="37">
        <f t="shared" si="16"/>
        <v>17858.69565</v>
      </c>
      <c r="O71" s="37">
        <f t="shared" si="16"/>
        <v>17858.69565</v>
      </c>
      <c r="P71" s="3"/>
      <c r="Q71" s="25"/>
      <c r="R71" s="2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75" customHeight="1">
      <c r="A72" s="1"/>
      <c r="B72" s="3"/>
      <c r="C72" s="23" t="s">
        <v>53</v>
      </c>
      <c r="D72" s="24">
        <f t="shared" ref="D72:O72" si="17">D70-D71</f>
        <v>20652.17391</v>
      </c>
      <c r="E72" s="24">
        <f t="shared" si="17"/>
        <v>42608.69565</v>
      </c>
      <c r="F72" s="24">
        <f t="shared" si="17"/>
        <v>75869.56522</v>
      </c>
      <c r="G72" s="24">
        <f t="shared" si="17"/>
        <v>75217.3913</v>
      </c>
      <c r="H72" s="24">
        <f t="shared" si="17"/>
        <v>85869.56522</v>
      </c>
      <c r="I72" s="24">
        <f t="shared" si="17"/>
        <v>102173.913</v>
      </c>
      <c r="J72" s="24">
        <f t="shared" si="17"/>
        <v>98695.65217</v>
      </c>
      <c r="K72" s="24">
        <f t="shared" si="17"/>
        <v>109347.8261</v>
      </c>
      <c r="L72" s="24">
        <f t="shared" si="17"/>
        <v>131304.3478</v>
      </c>
      <c r="M72" s="24">
        <f t="shared" si="17"/>
        <v>158913.0435</v>
      </c>
      <c r="N72" s="24">
        <f t="shared" si="17"/>
        <v>169565.2174</v>
      </c>
      <c r="O72" s="24">
        <f t="shared" si="17"/>
        <v>192426.087</v>
      </c>
      <c r="P72" s="3"/>
      <c r="Q72" s="25"/>
      <c r="R72" s="2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2.75" customHeight="1">
      <c r="A73" s="1"/>
      <c r="B73" s="3"/>
      <c r="C73" s="2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3"/>
      <c r="Q73" s="25"/>
      <c r="R73" s="2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75" customHeight="1">
      <c r="A74" s="1"/>
      <c r="B74" s="3"/>
      <c r="C74" s="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3"/>
      <c r="Q74" s="25"/>
      <c r="R74" s="2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75" customHeight="1">
      <c r="A144" s="2"/>
      <c r="B144" s="2"/>
      <c r="C144" s="2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75" customHeight="1">
      <c r="A145" s="2"/>
      <c r="B145" s="2"/>
      <c r="C145" s="2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75" customHeight="1">
      <c r="A146" s="2"/>
      <c r="B146" s="2"/>
      <c r="C146" s="2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75" customHeight="1">
      <c r="A147" s="2"/>
      <c r="B147" s="2"/>
      <c r="C147" s="2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75" customHeight="1">
      <c r="A148" s="2"/>
      <c r="B148" s="2"/>
      <c r="C148" s="2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75" customHeight="1">
      <c r="A149" s="2"/>
      <c r="B149" s="2"/>
      <c r="C149" s="2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75" customHeight="1">
      <c r="A150" s="2"/>
      <c r="B150" s="2"/>
      <c r="C150" s="2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75" customHeight="1">
      <c r="A151" s="2"/>
      <c r="B151" s="2"/>
      <c r="C151" s="2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75" customHeight="1">
      <c r="A152" s="2"/>
      <c r="B152" s="2"/>
      <c r="C152" s="2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75" customHeight="1">
      <c r="A153" s="2"/>
      <c r="B153" s="2"/>
      <c r="C153" s="2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75" customHeight="1">
      <c r="A154" s="2"/>
      <c r="B154" s="2"/>
      <c r="C154" s="2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75" customHeight="1">
      <c r="A155" s="2"/>
      <c r="B155" s="2"/>
      <c r="C155" s="2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75" customHeight="1">
      <c r="A156" s="2"/>
      <c r="B156" s="2"/>
      <c r="C156" s="2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75" customHeight="1">
      <c r="A157" s="2"/>
      <c r="B157" s="2"/>
      <c r="C157" s="2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75" customHeight="1">
      <c r="A158" s="2"/>
      <c r="B158" s="2"/>
      <c r="C158" s="2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75" customHeight="1">
      <c r="A159" s="2"/>
      <c r="B159" s="2"/>
      <c r="C159" s="2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2.75" customHeight="1">
      <c r="A160" s="2"/>
      <c r="B160" s="2"/>
      <c r="C160" s="2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2.75" customHeight="1">
      <c r="A161" s="2"/>
      <c r="B161" s="2"/>
      <c r="C161" s="2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2.75" customHeight="1">
      <c r="A162" s="2"/>
      <c r="B162" s="2"/>
      <c r="C162" s="2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75" customHeight="1">
      <c r="A163" s="2"/>
      <c r="B163" s="2"/>
      <c r="C163" s="2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75" customHeight="1">
      <c r="A164" s="2"/>
      <c r="B164" s="2"/>
      <c r="C164" s="2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75" customHeight="1">
      <c r="A165" s="2"/>
      <c r="B165" s="2"/>
      <c r="C165" s="2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75" customHeight="1">
      <c r="A166" s="2"/>
      <c r="B166" s="2"/>
      <c r="C166" s="2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75" customHeight="1">
      <c r="A167" s="2"/>
      <c r="B167" s="2"/>
      <c r="C167" s="2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75" customHeight="1">
      <c r="A168" s="2"/>
      <c r="B168" s="2"/>
      <c r="C168" s="2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75" customHeight="1">
      <c r="A169" s="2"/>
      <c r="B169" s="2"/>
      <c r="C169" s="2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75" customHeight="1">
      <c r="A170" s="2"/>
      <c r="B170" s="2"/>
      <c r="C170" s="2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75" customHeight="1">
      <c r="A171" s="2"/>
      <c r="B171" s="2"/>
      <c r="C171" s="2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75" customHeight="1">
      <c r="A172" s="2"/>
      <c r="B172" s="2"/>
      <c r="C172" s="2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75" customHeight="1">
      <c r="A173" s="2"/>
      <c r="B173" s="2"/>
      <c r="C173" s="2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75" customHeight="1">
      <c r="A174" s="2"/>
      <c r="B174" s="2"/>
      <c r="C174" s="2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75" customHeight="1">
      <c r="A175" s="2"/>
      <c r="B175" s="2"/>
      <c r="C175" s="2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75" customHeight="1">
      <c r="A176" s="2"/>
      <c r="B176" s="2"/>
      <c r="C176" s="2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75" customHeight="1">
      <c r="A177" s="2"/>
      <c r="B177" s="2"/>
      <c r="C177" s="2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75" customHeight="1">
      <c r="A178" s="2"/>
      <c r="B178" s="2"/>
      <c r="C178" s="2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75" customHeight="1">
      <c r="A179" s="2"/>
      <c r="B179" s="2"/>
      <c r="C179" s="2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75" customHeight="1">
      <c r="A180" s="2"/>
      <c r="B180" s="2"/>
      <c r="C180" s="2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75" customHeight="1">
      <c r="A181" s="2"/>
      <c r="B181" s="2"/>
      <c r="C181" s="2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75" customHeight="1">
      <c r="A182" s="2"/>
      <c r="B182" s="2"/>
      <c r="C182" s="2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75" customHeight="1">
      <c r="A183" s="2"/>
      <c r="B183" s="2"/>
      <c r="C183" s="2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75" customHeight="1">
      <c r="A184" s="2"/>
      <c r="B184" s="2"/>
      <c r="C184" s="2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75" customHeight="1">
      <c r="A185" s="2"/>
      <c r="B185" s="2"/>
      <c r="C185" s="2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75" customHeight="1">
      <c r="A186" s="2"/>
      <c r="B186" s="2"/>
      <c r="C186" s="2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75" customHeight="1">
      <c r="A187" s="2"/>
      <c r="B187" s="2"/>
      <c r="C187" s="2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75" customHeight="1">
      <c r="A188" s="2"/>
      <c r="B188" s="2"/>
      <c r="C188" s="2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75" customHeight="1">
      <c r="A189" s="2"/>
      <c r="B189" s="2"/>
      <c r="C189" s="2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75" customHeight="1">
      <c r="A190" s="2"/>
      <c r="B190" s="2"/>
      <c r="C190" s="2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75" customHeight="1">
      <c r="A191" s="2"/>
      <c r="B191" s="2"/>
      <c r="C191" s="2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75" customHeight="1">
      <c r="A192" s="2"/>
      <c r="B192" s="2"/>
      <c r="C192" s="2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75" customHeight="1">
      <c r="A193" s="2"/>
      <c r="B193" s="2"/>
      <c r="C193" s="2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75" customHeight="1">
      <c r="A194" s="2"/>
      <c r="B194" s="2"/>
      <c r="C194" s="2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75" customHeight="1">
      <c r="A195" s="2"/>
      <c r="B195" s="2"/>
      <c r="C195" s="2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75" customHeight="1">
      <c r="A196" s="2"/>
      <c r="B196" s="2"/>
      <c r="C196" s="2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75" customHeight="1">
      <c r="A197" s="2"/>
      <c r="B197" s="2"/>
      <c r="C197" s="2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75" customHeight="1">
      <c r="A198" s="2"/>
      <c r="B198" s="2"/>
      <c r="C198" s="2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75" customHeight="1">
      <c r="A199" s="2"/>
      <c r="B199" s="2"/>
      <c r="C199" s="2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75" customHeight="1">
      <c r="A200" s="2"/>
      <c r="B200" s="2"/>
      <c r="C200" s="2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75" customHeight="1">
      <c r="A201" s="2"/>
      <c r="B201" s="2"/>
      <c r="C201" s="2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75" customHeight="1">
      <c r="A202" s="2"/>
      <c r="B202" s="2"/>
      <c r="C202" s="2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75" customHeight="1">
      <c r="A203" s="2"/>
      <c r="B203" s="2"/>
      <c r="C203" s="2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75" customHeight="1">
      <c r="A204" s="2"/>
      <c r="B204" s="2"/>
      <c r="C204" s="2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75" customHeight="1">
      <c r="A205" s="2"/>
      <c r="B205" s="2"/>
      <c r="C205" s="2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75" customHeight="1">
      <c r="A206" s="2"/>
      <c r="B206" s="2"/>
      <c r="C206" s="2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75" customHeight="1">
      <c r="A207" s="2"/>
      <c r="B207" s="2"/>
      <c r="C207" s="2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75" customHeight="1">
      <c r="A208" s="2"/>
      <c r="B208" s="2"/>
      <c r="C208" s="2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75" customHeight="1">
      <c r="A209" s="2"/>
      <c r="B209" s="2"/>
      <c r="C209" s="2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75" customHeight="1">
      <c r="A210" s="2"/>
      <c r="B210" s="2"/>
      <c r="C210" s="2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75" customHeight="1">
      <c r="A211" s="2"/>
      <c r="B211" s="2"/>
      <c r="C211" s="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75" customHeight="1">
      <c r="A212" s="2"/>
      <c r="B212" s="2"/>
      <c r="C212" s="2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75" customHeight="1">
      <c r="A213" s="2"/>
      <c r="B213" s="2"/>
      <c r="C213" s="2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75" customHeight="1">
      <c r="A214" s="2"/>
      <c r="B214" s="2"/>
      <c r="C214" s="2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75" customHeight="1">
      <c r="A215" s="2"/>
      <c r="B215" s="2"/>
      <c r="C215" s="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75" customHeight="1">
      <c r="A216" s="2"/>
      <c r="B216" s="2"/>
      <c r="C216" s="2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75" customHeight="1">
      <c r="A217" s="2"/>
      <c r="B217" s="2"/>
      <c r="C217" s="2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75" customHeight="1">
      <c r="A218" s="2"/>
      <c r="B218" s="2"/>
      <c r="C218" s="2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75" customHeight="1">
      <c r="A219" s="2"/>
      <c r="B219" s="2"/>
      <c r="C219" s="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75" customHeight="1">
      <c r="A220" s="2"/>
      <c r="B220" s="2"/>
      <c r="C220" s="2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75" customHeight="1">
      <c r="A221" s="2"/>
      <c r="B221" s="2"/>
      <c r="C221" s="2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75" customHeight="1">
      <c r="A222" s="2"/>
      <c r="B222" s="2"/>
      <c r="C222" s="2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75" customHeight="1">
      <c r="A223" s="2"/>
      <c r="B223" s="2"/>
      <c r="C223" s="2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75" customHeight="1">
      <c r="A224" s="2"/>
      <c r="B224" s="2"/>
      <c r="C224" s="2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75" customHeight="1">
      <c r="A225" s="2"/>
      <c r="B225" s="2"/>
      <c r="C225" s="2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75" customHeight="1">
      <c r="A226" s="2"/>
      <c r="B226" s="2"/>
      <c r="C226" s="2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75" customHeight="1">
      <c r="A227" s="2"/>
      <c r="B227" s="2"/>
      <c r="C227" s="2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75" customHeight="1">
      <c r="A228" s="2"/>
      <c r="B228" s="2"/>
      <c r="C228" s="2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75" customHeight="1">
      <c r="A229" s="2"/>
      <c r="B229" s="2"/>
      <c r="C229" s="2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75" customHeight="1">
      <c r="A230" s="2"/>
      <c r="B230" s="2"/>
      <c r="C230" s="2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75" customHeight="1">
      <c r="A231" s="2"/>
      <c r="B231" s="2"/>
      <c r="C231" s="2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75" customHeight="1">
      <c r="A232" s="2"/>
      <c r="B232" s="2"/>
      <c r="C232" s="2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75" customHeight="1">
      <c r="A233" s="2"/>
      <c r="B233" s="2"/>
      <c r="C233" s="2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75" customHeight="1">
      <c r="A234" s="2"/>
      <c r="B234" s="2"/>
      <c r="C234" s="2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75" customHeight="1">
      <c r="A235" s="2"/>
      <c r="B235" s="2"/>
      <c r="C235" s="2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75" customHeight="1">
      <c r="A236" s="2"/>
      <c r="B236" s="2"/>
      <c r="C236" s="2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75" customHeight="1">
      <c r="A237" s="2"/>
      <c r="B237" s="2"/>
      <c r="C237" s="2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75" customHeight="1">
      <c r="A238" s="2"/>
      <c r="B238" s="2"/>
      <c r="C238" s="2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75" customHeight="1">
      <c r="A239" s="2"/>
      <c r="B239" s="2"/>
      <c r="C239" s="2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75" customHeight="1">
      <c r="A240" s="2"/>
      <c r="B240" s="2"/>
      <c r="C240" s="2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75" customHeight="1">
      <c r="A241" s="2"/>
      <c r="B241" s="2"/>
      <c r="C241" s="2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75" customHeight="1">
      <c r="A242" s="2"/>
      <c r="B242" s="2"/>
      <c r="C242" s="2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75" customHeight="1">
      <c r="A243" s="2"/>
      <c r="B243" s="2"/>
      <c r="C243" s="2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75" customHeight="1">
      <c r="A244" s="2"/>
      <c r="B244" s="2"/>
      <c r="C244" s="2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75" customHeight="1">
      <c r="A245" s="2"/>
      <c r="B245" s="2"/>
      <c r="C245" s="2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75" customHeight="1">
      <c r="A246" s="2"/>
      <c r="B246" s="2"/>
      <c r="C246" s="2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75" customHeight="1">
      <c r="A247" s="2"/>
      <c r="B247" s="2"/>
      <c r="C247" s="2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75" customHeight="1">
      <c r="A248" s="2"/>
      <c r="B248" s="2"/>
      <c r="C248" s="2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75" customHeight="1">
      <c r="A249" s="2"/>
      <c r="B249" s="2"/>
      <c r="C249" s="2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75" customHeight="1">
      <c r="A250" s="2"/>
      <c r="B250" s="2"/>
      <c r="C250" s="2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75" customHeight="1">
      <c r="A251" s="2"/>
      <c r="B251" s="2"/>
      <c r="C251" s="2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75" customHeight="1">
      <c r="A252" s="2"/>
      <c r="B252" s="2"/>
      <c r="C252" s="2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75" customHeight="1">
      <c r="A253" s="2"/>
      <c r="B253" s="2"/>
      <c r="C253" s="2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75" customHeight="1">
      <c r="A254" s="2"/>
      <c r="B254" s="2"/>
      <c r="C254" s="2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75" customHeight="1">
      <c r="A255" s="2"/>
      <c r="B255" s="2"/>
      <c r="C255" s="2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75" customHeight="1">
      <c r="A256" s="2"/>
      <c r="B256" s="2"/>
      <c r="C256" s="2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75" customHeight="1">
      <c r="A257" s="2"/>
      <c r="B257" s="2"/>
      <c r="C257" s="2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75" customHeight="1">
      <c r="A258" s="2"/>
      <c r="B258" s="2"/>
      <c r="C258" s="2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75" customHeight="1">
      <c r="A259" s="2"/>
      <c r="B259" s="2"/>
      <c r="C259" s="2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75" customHeight="1">
      <c r="A260" s="2"/>
      <c r="B260" s="2"/>
      <c r="C260" s="2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75" customHeight="1">
      <c r="A261" s="2"/>
      <c r="B261" s="2"/>
      <c r="C261" s="2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75" customHeight="1">
      <c r="A262" s="2"/>
      <c r="B262" s="2"/>
      <c r="C262" s="2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75" customHeight="1">
      <c r="A263" s="2"/>
      <c r="B263" s="2"/>
      <c r="C263" s="2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75" customHeight="1">
      <c r="A264" s="2"/>
      <c r="B264" s="2"/>
      <c r="C264" s="2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75" customHeight="1">
      <c r="A265" s="2"/>
      <c r="B265" s="2"/>
      <c r="C265" s="2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75" customHeight="1">
      <c r="A266" s="2"/>
      <c r="B266" s="2"/>
      <c r="C266" s="2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75" customHeight="1">
      <c r="A267" s="2"/>
      <c r="B267" s="2"/>
      <c r="C267" s="2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75" customHeight="1">
      <c r="A268" s="2"/>
      <c r="B268" s="2"/>
      <c r="C268" s="2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75" customHeight="1">
      <c r="A269" s="2"/>
      <c r="B269" s="2"/>
      <c r="C269" s="2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75" customHeight="1">
      <c r="A270" s="2"/>
      <c r="B270" s="2"/>
      <c r="C270" s="2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75" customHeight="1">
      <c r="A271" s="2"/>
      <c r="B271" s="2"/>
      <c r="C271" s="2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75" customHeight="1">
      <c r="A272" s="2"/>
      <c r="B272" s="2"/>
      <c r="C272" s="2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</sheetData>
  <mergeCells count="2">
    <mergeCell ref="C3:C4"/>
    <mergeCell ref="U3:U4"/>
  </mergeCells>
  <printOptions/>
  <pageMargins bottom="0.47" footer="0.0" header="0.0" left="0.2" right="0.21" top="0.34"/>
  <pageSetup paperSize="9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3.0"/>
    <col customWidth="1" min="3" max="3" width="34.71"/>
    <col customWidth="1" min="4" max="15" width="14.14"/>
    <col customWidth="1" min="16" max="16" width="2.86"/>
    <col customWidth="1" min="17" max="17" width="15.57"/>
    <col customWidth="1" min="18" max="19" width="3.0"/>
    <col customWidth="1" min="20" max="20" width="24.29"/>
    <col customWidth="1" min="21" max="21" width="15.43"/>
    <col customWidth="1" min="22" max="31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ht="12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75" customHeight="1">
      <c r="A3" s="1"/>
      <c r="B3" s="3"/>
      <c r="C3" s="4" t="s">
        <v>54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  <c r="Q3" s="5"/>
      <c r="R3" s="2"/>
      <c r="S3" s="1"/>
      <c r="T3" s="2"/>
      <c r="U3" s="43" t="str">
        <f>'Budget Figures'!U3</f>
        <v>Goods &amp; Sales Tax %</v>
      </c>
      <c r="V3" s="44">
        <f>'Budget Figures'!V3</f>
        <v>0.15</v>
      </c>
      <c r="W3" s="2"/>
      <c r="X3" s="2"/>
      <c r="Y3" s="2"/>
      <c r="Z3" s="2"/>
      <c r="AA3" s="2"/>
      <c r="AB3" s="2"/>
      <c r="AC3" s="2"/>
      <c r="AD3" s="2"/>
      <c r="AE3" s="2"/>
    </row>
    <row r="4" ht="12.75" customHeight="1">
      <c r="A4" s="1"/>
      <c r="B4" s="3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  <c r="Q4" s="10"/>
      <c r="R4" s="2"/>
      <c r="S4" s="1"/>
      <c r="T4" s="2"/>
      <c r="W4" s="2"/>
      <c r="X4" s="2"/>
      <c r="Y4" s="2"/>
      <c r="Z4" s="2"/>
      <c r="AA4" s="2"/>
      <c r="AB4" s="2"/>
      <c r="AC4" s="2"/>
      <c r="AD4" s="2"/>
      <c r="AE4" s="2"/>
    </row>
    <row r="5" ht="12.75" customHeight="1">
      <c r="A5" s="1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6.5" customHeight="1">
      <c r="A6" s="1"/>
      <c r="B6" s="3"/>
      <c r="C6" s="45"/>
      <c r="D6" s="46">
        <f>'Budget Figures'!D6</f>
        <v>44287</v>
      </c>
      <c r="E6" s="46">
        <f>'Budget Figures'!E6</f>
        <v>44317</v>
      </c>
      <c r="F6" s="46">
        <f>'Budget Figures'!F6</f>
        <v>44348</v>
      </c>
      <c r="G6" s="46">
        <f>'Budget Figures'!G6</f>
        <v>44378</v>
      </c>
      <c r="H6" s="46">
        <f>'Budget Figures'!H6</f>
        <v>44409</v>
      </c>
      <c r="I6" s="46">
        <f>'Budget Figures'!I6</f>
        <v>44440</v>
      </c>
      <c r="J6" s="46">
        <f>'Budget Figures'!J6</f>
        <v>44470</v>
      </c>
      <c r="K6" s="46">
        <f>'Budget Figures'!K6</f>
        <v>44501</v>
      </c>
      <c r="L6" s="46">
        <f>'Budget Figures'!L6</f>
        <v>44531</v>
      </c>
      <c r="M6" s="46">
        <f>'Budget Figures'!M6</f>
        <v>44562</v>
      </c>
      <c r="N6" s="46">
        <f>'Budget Figures'!N6</f>
        <v>44593</v>
      </c>
      <c r="O6" s="46">
        <f>'Budget Figures'!O6</f>
        <v>44621</v>
      </c>
      <c r="P6" s="3"/>
      <c r="Q6" s="13" t="s">
        <v>2</v>
      </c>
      <c r="R6" s="2"/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5.0" customHeight="1">
      <c r="A7" s="1"/>
      <c r="B7" s="3"/>
      <c r="C7" s="47" t="s">
        <v>3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3"/>
      <c r="Q7" s="2"/>
      <c r="R7" s="2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2.75" customHeight="1">
      <c r="A8" s="1"/>
      <c r="B8" s="3"/>
      <c r="C8" s="49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3"/>
      <c r="Q8" s="2"/>
      <c r="R8" s="2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2.75" customHeight="1">
      <c r="A9" s="1"/>
      <c r="B9" s="3"/>
      <c r="C9" s="50" t="str">
        <f>'Budget Figures'!C9</f>
        <v>Sales</v>
      </c>
      <c r="D9" s="17">
        <v>15000.0</v>
      </c>
      <c r="E9" s="17">
        <v>18000.0</v>
      </c>
      <c r="F9" s="17">
        <v>20000.0</v>
      </c>
      <c r="G9" s="17">
        <v>14000.0</v>
      </c>
      <c r="H9" s="17">
        <v>25000.0</v>
      </c>
      <c r="I9" s="17">
        <v>26000.0</v>
      </c>
      <c r="J9" s="17">
        <v>27000.0</v>
      </c>
      <c r="K9" s="17">
        <v>28000.0</v>
      </c>
      <c r="L9" s="17">
        <v>30000.0</v>
      </c>
      <c r="M9" s="17">
        <v>31000.0</v>
      </c>
      <c r="N9" s="17">
        <v>32000.0</v>
      </c>
      <c r="O9" s="17">
        <v>33000.0</v>
      </c>
      <c r="P9" s="3"/>
      <c r="Q9" s="18">
        <f t="shared" ref="Q9:Q13" si="1">SUM(D9:O9)</f>
        <v>299000</v>
      </c>
      <c r="R9" s="2"/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2.75" customHeight="1">
      <c r="A10" s="1"/>
      <c r="B10" s="3"/>
      <c r="C10" s="50" t="str">
        <f>'Budget Figures'!C10</f>
        <v>Tax Rebates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"/>
      <c r="Q10" s="18">
        <f t="shared" si="1"/>
        <v>0</v>
      </c>
      <c r="R10" s="2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2.75" customHeight="1">
      <c r="A11" s="1"/>
      <c r="B11" s="3"/>
      <c r="C11" s="50" t="str">
        <f>'Budget Figures'!C11</f>
        <v>Interest Received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3"/>
      <c r="Q11" s="18">
        <f t="shared" si="1"/>
        <v>0</v>
      </c>
      <c r="R11" s="2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75" customHeight="1">
      <c r="A12" s="1"/>
      <c r="B12" s="3"/>
      <c r="C12" s="50" t="str">
        <f>'Budget Figures'!C12</f>
        <v>Capital Introduced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3"/>
      <c r="Q12" s="18">
        <f t="shared" si="1"/>
        <v>0</v>
      </c>
      <c r="R12" s="2"/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2.75" customHeight="1">
      <c r="A13" s="1"/>
      <c r="B13" s="3"/>
      <c r="C13" s="50" t="str">
        <f>'Budget Figures'!C13</f>
        <v>Other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3"/>
      <c r="Q13" s="18">
        <f t="shared" si="1"/>
        <v>0</v>
      </c>
      <c r="R13" s="2"/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2.75" customHeight="1">
      <c r="A14" s="1"/>
      <c r="B14" s="3"/>
      <c r="C14" s="51" t="str">
        <f>'Budget Figures'!C14</f>
        <v>Non GST Related Sales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2.75" customHeight="1">
      <c r="A15" s="1"/>
      <c r="B15" s="3"/>
      <c r="C15" s="52" t="str">
        <f>'Budget Figures'!C15</f>
        <v/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2.75" customHeight="1">
      <c r="A16" s="1"/>
      <c r="B16" s="3"/>
      <c r="C16" s="51" t="str">
        <f>'Budget Figures'!C16</f>
        <v>SUBTOTAL DEPOSITS:</v>
      </c>
      <c r="D16" s="24">
        <f t="shared" ref="D16:O16" si="2">SUM(D9:D13)</f>
        <v>15000</v>
      </c>
      <c r="E16" s="24">
        <f t="shared" si="2"/>
        <v>18000</v>
      </c>
      <c r="F16" s="24">
        <f t="shared" si="2"/>
        <v>20000</v>
      </c>
      <c r="G16" s="24">
        <f t="shared" si="2"/>
        <v>14000</v>
      </c>
      <c r="H16" s="24">
        <f t="shared" si="2"/>
        <v>25000</v>
      </c>
      <c r="I16" s="24">
        <f t="shared" si="2"/>
        <v>26000</v>
      </c>
      <c r="J16" s="24">
        <f t="shared" si="2"/>
        <v>27000</v>
      </c>
      <c r="K16" s="24">
        <f t="shared" si="2"/>
        <v>28000</v>
      </c>
      <c r="L16" s="24">
        <f t="shared" si="2"/>
        <v>30000</v>
      </c>
      <c r="M16" s="24">
        <f t="shared" si="2"/>
        <v>31000</v>
      </c>
      <c r="N16" s="24">
        <f t="shared" si="2"/>
        <v>32000</v>
      </c>
      <c r="O16" s="24">
        <f t="shared" si="2"/>
        <v>33000</v>
      </c>
      <c r="P16" s="3"/>
      <c r="Q16" s="24">
        <f>SUM(D16:O16)</f>
        <v>299000</v>
      </c>
      <c r="R16" s="2"/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2.75" customHeight="1">
      <c r="A17" s="1"/>
      <c r="B17" s="3"/>
      <c r="C17" s="52" t="str">
        <f>'Budget Figures'!C17</f>
        <v/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"/>
      <c r="Q17" s="25"/>
      <c r="R17" s="2"/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2.75" customHeight="1">
      <c r="A18" s="1"/>
      <c r="B18" s="3"/>
      <c r="C18" s="53" t="str">
        <f>'Budget Figures'!C18</f>
        <v>WITHDRAWALS (Expenses)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"/>
      <c r="Q18" s="25"/>
      <c r="R18" s="2"/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2.75" customHeight="1">
      <c r="A19" s="1"/>
      <c r="B19" s="3"/>
      <c r="C19" s="52" t="str">
        <f>'Budget Figures'!C19</f>
        <v/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2.75" customHeight="1">
      <c r="A20" s="1"/>
      <c r="B20" s="3"/>
      <c r="C20" s="50" t="str">
        <f>'Budget Figures'!C20</f>
        <v>Car</v>
      </c>
      <c r="D20" s="17">
        <v>450.0</v>
      </c>
      <c r="E20" s="17">
        <v>450.0</v>
      </c>
      <c r="F20" s="17">
        <v>450.0</v>
      </c>
      <c r="G20" s="17">
        <v>450.0</v>
      </c>
      <c r="H20" s="17">
        <v>450.0</v>
      </c>
      <c r="I20" s="17">
        <v>450.0</v>
      </c>
      <c r="J20" s="17">
        <v>450.0</v>
      </c>
      <c r="K20" s="17">
        <v>450.0</v>
      </c>
      <c r="L20" s="17">
        <v>450.0</v>
      </c>
      <c r="M20" s="17">
        <v>450.0</v>
      </c>
      <c r="N20" s="17">
        <v>450.0</v>
      </c>
      <c r="O20" s="17">
        <v>450.0</v>
      </c>
      <c r="P20" s="3"/>
      <c r="Q20" s="18">
        <f t="shared" ref="Q20:Q46" si="3">SUM(D20:O20)</f>
        <v>5400</v>
      </c>
      <c r="R20" s="2"/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2.75" customHeight="1">
      <c r="A21" s="1"/>
      <c r="B21" s="3"/>
      <c r="C21" s="50" t="str">
        <f>'Budget Figures'!C21</f>
        <v>Bank Fees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"/>
      <c r="Q21" s="18">
        <f t="shared" si="3"/>
        <v>0</v>
      </c>
      <c r="R21" s="2"/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2.75" customHeight="1">
      <c r="A22" s="1"/>
      <c r="B22" s="3"/>
      <c r="C22" s="50" t="str">
        <f>'Budget Figures'!C22</f>
        <v>Credit Card Charges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3"/>
      <c r="Q22" s="18">
        <f t="shared" si="3"/>
        <v>0</v>
      </c>
      <c r="R22" s="2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2.75" customHeight="1">
      <c r="A23" s="1"/>
      <c r="B23" s="3"/>
      <c r="C23" s="50" t="str">
        <f>'Budget Figures'!C23</f>
        <v>Computer ( Hardware &amp; Software)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3"/>
      <c r="Q23" s="18">
        <f t="shared" si="3"/>
        <v>0</v>
      </c>
      <c r="R23" s="2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2.75" customHeight="1">
      <c r="A24" s="1"/>
      <c r="B24" s="3"/>
      <c r="C24" s="50" t="str">
        <f>'Budget Figures'!C24</f>
        <v>Entertainment</v>
      </c>
      <c r="D24" s="17">
        <v>250.0</v>
      </c>
      <c r="E24" s="17">
        <v>250.0</v>
      </c>
      <c r="F24" s="17">
        <v>250.0</v>
      </c>
      <c r="G24" s="17">
        <v>250.0</v>
      </c>
      <c r="H24" s="17">
        <v>250.0</v>
      </c>
      <c r="I24" s="17">
        <v>250.0</v>
      </c>
      <c r="J24" s="17">
        <v>250.0</v>
      </c>
      <c r="K24" s="17">
        <v>250.0</v>
      </c>
      <c r="L24" s="17">
        <v>250.0</v>
      </c>
      <c r="M24" s="17">
        <v>250.0</v>
      </c>
      <c r="N24" s="17">
        <v>250.0</v>
      </c>
      <c r="O24" s="17">
        <v>250.0</v>
      </c>
      <c r="P24" s="3"/>
      <c r="Q24" s="18">
        <f t="shared" si="3"/>
        <v>3000</v>
      </c>
      <c r="R24" s="2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2.75" customHeight="1">
      <c r="A25" s="1"/>
      <c r="B25" s="3"/>
      <c r="C25" s="50" t="str">
        <f>'Budget Figures'!C25</f>
        <v>General Expenses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3"/>
      <c r="Q25" s="18">
        <f t="shared" si="3"/>
        <v>0</v>
      </c>
      <c r="R25" s="2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2.75" customHeight="1">
      <c r="A26" s="1"/>
      <c r="B26" s="3"/>
      <c r="C26" s="50" t="str">
        <f>'Budget Figures'!C26</f>
        <v>Printing </v>
      </c>
      <c r="D26" s="17">
        <v>175.0</v>
      </c>
      <c r="E26" s="17">
        <v>175.0</v>
      </c>
      <c r="F26" s="17">
        <v>175.0</v>
      </c>
      <c r="G26" s="17">
        <v>175.0</v>
      </c>
      <c r="H26" s="17">
        <v>175.0</v>
      </c>
      <c r="I26" s="17">
        <v>175.0</v>
      </c>
      <c r="J26" s="17">
        <v>175.0</v>
      </c>
      <c r="K26" s="17">
        <v>175.0</v>
      </c>
      <c r="L26" s="17">
        <v>175.0</v>
      </c>
      <c r="M26" s="17">
        <v>175.0</v>
      </c>
      <c r="N26" s="17">
        <v>175.0</v>
      </c>
      <c r="O26" s="17">
        <v>175.0</v>
      </c>
      <c r="P26" s="3"/>
      <c r="Q26" s="18">
        <f t="shared" si="3"/>
        <v>2100</v>
      </c>
      <c r="R26" s="2"/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2.75" customHeight="1">
      <c r="A27" s="1"/>
      <c r="B27" s="3"/>
      <c r="C27" s="50" t="str">
        <f>'Budget Figures'!C27</f>
        <v>Stationary &amp; Supplies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3"/>
      <c r="Q27" s="18">
        <f t="shared" si="3"/>
        <v>0</v>
      </c>
      <c r="R27" s="2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2.75" customHeight="1">
      <c r="A28" s="1"/>
      <c r="B28" s="3"/>
      <c r="C28" s="50" t="str">
        <f>'Budget Figures'!C28</f>
        <v>Vehicle Leases</v>
      </c>
      <c r="D28" s="17">
        <v>1050.0</v>
      </c>
      <c r="E28" s="17">
        <v>1050.0</v>
      </c>
      <c r="F28" s="17">
        <v>1050.0</v>
      </c>
      <c r="G28" s="17">
        <v>1050.0</v>
      </c>
      <c r="H28" s="17">
        <v>1050.0</v>
      </c>
      <c r="I28" s="17">
        <v>1050.0</v>
      </c>
      <c r="J28" s="17">
        <v>1050.0</v>
      </c>
      <c r="K28" s="17">
        <v>1050.0</v>
      </c>
      <c r="L28" s="17">
        <v>1050.0</v>
      </c>
      <c r="M28" s="17">
        <v>1050.0</v>
      </c>
      <c r="N28" s="17">
        <v>1050.0</v>
      </c>
      <c r="O28" s="17">
        <v>1050.0</v>
      </c>
      <c r="P28" s="3"/>
      <c r="Q28" s="18">
        <f t="shared" si="3"/>
        <v>12600</v>
      </c>
      <c r="R28" s="2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2.75" customHeight="1">
      <c r="A29" s="1"/>
      <c r="B29" s="3"/>
      <c r="C29" s="50" t="str">
        <f>'Budget Figures'!C29</f>
        <v>Telephone, Tolls &amp; E-Mail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3"/>
      <c r="Q29" s="18">
        <f t="shared" si="3"/>
        <v>0</v>
      </c>
      <c r="R29" s="2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2.75" customHeight="1">
      <c r="A30" s="1"/>
      <c r="B30" s="3"/>
      <c r="C30" s="50" t="str">
        <f>'Budget Figures'!C30</f>
        <v>Cell Phone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3"/>
      <c r="Q30" s="18">
        <f t="shared" si="3"/>
        <v>0</v>
      </c>
      <c r="R30" s="2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2.75" customHeight="1">
      <c r="A31" s="1"/>
      <c r="B31" s="3"/>
      <c r="C31" s="50" t="str">
        <f>'Budget Figures'!C31</f>
        <v>Travelling &amp; Accomodation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3"/>
      <c r="Q31" s="18">
        <f t="shared" si="3"/>
        <v>0</v>
      </c>
      <c r="R31" s="2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2.75" customHeight="1">
      <c r="A32" s="1"/>
      <c r="B32" s="3"/>
      <c r="C32" s="50" t="str">
        <f>'Budget Figures'!C32</f>
        <v>Insurance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3"/>
      <c r="Q32" s="18">
        <f t="shared" si="3"/>
        <v>0</v>
      </c>
      <c r="R32" s="2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2.75" customHeight="1">
      <c r="A33" s="1"/>
      <c r="B33" s="3"/>
      <c r="C33" s="50" t="str">
        <f>'Budget Figures'!C33</f>
        <v>Accounting</v>
      </c>
      <c r="D33" s="17">
        <v>600.0</v>
      </c>
      <c r="E33" s="17">
        <v>600.0</v>
      </c>
      <c r="F33" s="17">
        <v>600.0</v>
      </c>
      <c r="G33" s="17">
        <v>600.0</v>
      </c>
      <c r="H33" s="17">
        <v>600.0</v>
      </c>
      <c r="I33" s="17">
        <v>600.0</v>
      </c>
      <c r="J33" s="17">
        <v>600.0</v>
      </c>
      <c r="K33" s="17">
        <v>600.0</v>
      </c>
      <c r="L33" s="17">
        <v>600.0</v>
      </c>
      <c r="M33" s="17">
        <v>600.0</v>
      </c>
      <c r="N33" s="17">
        <v>600.0</v>
      </c>
      <c r="O33" s="17">
        <v>600.0</v>
      </c>
      <c r="P33" s="3"/>
      <c r="Q33" s="18">
        <f t="shared" si="3"/>
        <v>7200</v>
      </c>
      <c r="R33" s="2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2.75" customHeight="1">
      <c r="A34" s="1"/>
      <c r="B34" s="3"/>
      <c r="C34" s="50" t="str">
        <f>'Budget Figures'!C34</f>
        <v>Provision for Taxation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3"/>
      <c r="Q34" s="18">
        <f t="shared" si="3"/>
        <v>0</v>
      </c>
      <c r="R34" s="2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2.75" customHeight="1">
      <c r="A35" s="1"/>
      <c r="B35" s="3"/>
      <c r="C35" s="50" t="str">
        <f>'Budget Figures'!C35</f>
        <v>Fringe Benefit Tax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3"/>
      <c r="Q35" s="18">
        <f t="shared" si="3"/>
        <v>0</v>
      </c>
      <c r="R35" s="2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2.75" customHeight="1">
      <c r="A36" s="1"/>
      <c r="B36" s="3"/>
      <c r="C36" s="50" t="str">
        <f>'Budget Figures'!C36</f>
        <v>Legal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"/>
      <c r="Q36" s="18">
        <f t="shared" si="3"/>
        <v>0</v>
      </c>
      <c r="R36" s="2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2.75" customHeight="1">
      <c r="A37" s="1"/>
      <c r="B37" s="3"/>
      <c r="C37" s="50" t="str">
        <f>'Budget Figures'!C37</f>
        <v>Low Cost Assets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3"/>
      <c r="Q37" s="18">
        <f t="shared" si="3"/>
        <v>0</v>
      </c>
      <c r="R37" s="2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2.75" customHeight="1">
      <c r="A38" s="1"/>
      <c r="B38" s="3"/>
      <c r="C38" s="50" t="str">
        <f>'Budget Figures'!C38</f>
        <v>Plant &amp; Equipment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3"/>
      <c r="Q38" s="18">
        <f t="shared" si="3"/>
        <v>0</v>
      </c>
      <c r="R38" s="2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2.75" customHeight="1">
      <c r="A39" s="1"/>
      <c r="B39" s="3"/>
      <c r="C39" s="50" t="str">
        <f>'Budget Figures'!C39</f>
        <v>Drawings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3"/>
      <c r="Q39" s="18">
        <f t="shared" si="3"/>
        <v>0</v>
      </c>
      <c r="R39" s="2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2.75" customHeight="1">
      <c r="A40" s="1"/>
      <c r="B40" s="3"/>
      <c r="C40" s="50" t="str">
        <f>'Budget Figures'!C40</f>
        <v>Principle Loan Repayments</v>
      </c>
      <c r="D40" s="17">
        <v>500.0</v>
      </c>
      <c r="E40" s="17">
        <v>500.0</v>
      </c>
      <c r="F40" s="17">
        <v>500.0</v>
      </c>
      <c r="G40" s="17">
        <v>500.0</v>
      </c>
      <c r="H40" s="17">
        <v>500.0</v>
      </c>
      <c r="I40" s="17">
        <v>500.0</v>
      </c>
      <c r="J40" s="17">
        <v>500.0</v>
      </c>
      <c r="K40" s="17">
        <v>500.0</v>
      </c>
      <c r="L40" s="17">
        <v>500.0</v>
      </c>
      <c r="M40" s="17">
        <v>500.0</v>
      </c>
      <c r="N40" s="17">
        <v>500.0</v>
      </c>
      <c r="O40" s="17">
        <v>500.0</v>
      </c>
      <c r="P40" s="3"/>
      <c r="Q40" s="18">
        <f t="shared" si="3"/>
        <v>6000</v>
      </c>
      <c r="R40" s="2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75" customHeight="1">
      <c r="A41" s="1"/>
      <c r="B41" s="3"/>
      <c r="C41" s="50" t="str">
        <f>'Budget Figures'!C41</f>
        <v>Other 1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3"/>
      <c r="Q41" s="18">
        <f t="shared" si="3"/>
        <v>0</v>
      </c>
      <c r="R41" s="2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75" customHeight="1">
      <c r="A42" s="1"/>
      <c r="B42" s="3"/>
      <c r="C42" s="50" t="str">
        <f>'Budget Figures'!C42</f>
        <v>Other 2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3"/>
      <c r="Q42" s="18">
        <f t="shared" si="3"/>
        <v>0</v>
      </c>
      <c r="R42" s="2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2.75" customHeight="1">
      <c r="A43" s="1"/>
      <c r="B43" s="3"/>
      <c r="C43" s="50" t="str">
        <f>'Budget Figures'!C43</f>
        <v>Other 3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3"/>
      <c r="Q43" s="18">
        <f t="shared" si="3"/>
        <v>0</v>
      </c>
      <c r="R43" s="2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2.75" customHeight="1">
      <c r="A44" s="1"/>
      <c r="B44" s="3"/>
      <c r="C44" s="50" t="str">
        <f>'Budget Figures'!C44</f>
        <v>Other 4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3"/>
      <c r="Q44" s="18">
        <f t="shared" si="3"/>
        <v>0</v>
      </c>
      <c r="R44" s="2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2.75" customHeight="1">
      <c r="A45" s="1"/>
      <c r="B45" s="3"/>
      <c r="C45" s="50" t="str">
        <f>'Budget Figures'!C45</f>
        <v>Other 5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3"/>
      <c r="Q45" s="18">
        <f t="shared" si="3"/>
        <v>0</v>
      </c>
      <c r="R45" s="2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2.75" customHeight="1">
      <c r="A46" s="1"/>
      <c r="B46" s="3"/>
      <c r="C46" s="50" t="str">
        <f>'Budget Figures'!C46</f>
        <v>Other 6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3"/>
      <c r="Q46" s="18">
        <f t="shared" si="3"/>
        <v>0</v>
      </c>
      <c r="R46" s="2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2.75" customHeight="1">
      <c r="A47" s="1"/>
      <c r="B47" s="3"/>
      <c r="C47" s="54" t="str">
        <f>'Budget Figures'!C47</f>
        <v/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55"/>
      <c r="R47" s="2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75" customHeight="1">
      <c r="A48" s="1"/>
      <c r="B48" s="3"/>
      <c r="C48" s="53" t="str">
        <f>'Budget Figures'!C48</f>
        <v>NON GST RELATED WITHDRAWALS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55"/>
      <c r="R48" s="2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75" customHeight="1">
      <c r="A49" s="1"/>
      <c r="B49" s="3"/>
      <c r="C49" s="54" t="str">
        <f>'Budget Figures'!C49</f>
        <v/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55"/>
      <c r="R49" s="2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75" customHeight="1">
      <c r="A50" s="1"/>
      <c r="B50" s="3"/>
      <c r="C50" s="50" t="str">
        <f>'Budget Figures'!C50</f>
        <v>Wages</v>
      </c>
      <c r="D50" s="17">
        <v>12500.0</v>
      </c>
      <c r="E50" s="17">
        <v>12500.0</v>
      </c>
      <c r="F50" s="17">
        <v>12500.0</v>
      </c>
      <c r="G50" s="17">
        <v>12500.0</v>
      </c>
      <c r="H50" s="17">
        <v>12500.0</v>
      </c>
      <c r="I50" s="17">
        <v>12500.0</v>
      </c>
      <c r="J50" s="17">
        <v>12500.0</v>
      </c>
      <c r="K50" s="17">
        <v>12500.0</v>
      </c>
      <c r="L50" s="17">
        <v>12500.0</v>
      </c>
      <c r="M50" s="17">
        <v>12500.0</v>
      </c>
      <c r="N50" s="17">
        <v>12500.0</v>
      </c>
      <c r="O50" s="17">
        <v>12500.0</v>
      </c>
      <c r="P50" s="3"/>
      <c r="Q50" s="18">
        <f t="shared" ref="Q50:Q54" si="4">SUM(D50:O50)</f>
        <v>150000</v>
      </c>
      <c r="R50" s="2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2.75" customHeight="1">
      <c r="A51" s="1"/>
      <c r="B51" s="3"/>
      <c r="C51" s="50" t="str">
        <f>'Budget Figures'!C51</f>
        <v>Interest Only Loan Payments</v>
      </c>
      <c r="D51" s="17">
        <v>825.0</v>
      </c>
      <c r="E51" s="17">
        <v>825.0</v>
      </c>
      <c r="F51" s="17">
        <v>825.0</v>
      </c>
      <c r="G51" s="17">
        <v>825.0</v>
      </c>
      <c r="H51" s="17">
        <v>825.0</v>
      </c>
      <c r="I51" s="17">
        <v>825.0</v>
      </c>
      <c r="J51" s="17">
        <v>825.0</v>
      </c>
      <c r="K51" s="17">
        <v>825.0</v>
      </c>
      <c r="L51" s="17">
        <v>825.0</v>
      </c>
      <c r="M51" s="17">
        <v>825.0</v>
      </c>
      <c r="N51" s="17">
        <v>825.0</v>
      </c>
      <c r="O51" s="17">
        <v>825.0</v>
      </c>
      <c r="P51" s="3"/>
      <c r="Q51" s="18">
        <f t="shared" si="4"/>
        <v>9900</v>
      </c>
      <c r="R51" s="2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75" customHeight="1">
      <c r="A52" s="1"/>
      <c r="B52" s="3"/>
      <c r="C52" s="50" t="str">
        <f>'Budget Figures'!C52</f>
        <v>Other 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3"/>
      <c r="Q52" s="18">
        <f t="shared" si="4"/>
        <v>0</v>
      </c>
      <c r="R52" s="2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75" customHeight="1">
      <c r="A53" s="1"/>
      <c r="B53" s="3"/>
      <c r="C53" s="50" t="str">
        <f>'Budget Figures'!C53</f>
        <v>Other 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3"/>
      <c r="Q53" s="18">
        <f t="shared" si="4"/>
        <v>0</v>
      </c>
      <c r="R53" s="2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75" customHeight="1">
      <c r="A54" s="1"/>
      <c r="B54" s="3"/>
      <c r="C54" s="50" t="str">
        <f>'Budget Figures'!C54</f>
        <v>Other 3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3"/>
      <c r="Q54" s="18">
        <f t="shared" si="4"/>
        <v>0</v>
      </c>
      <c r="R54" s="2"/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75" customHeight="1">
      <c r="A55" s="1"/>
      <c r="B55" s="3"/>
      <c r="C55" s="56" t="str">
        <f>'Budget Figures'!C55</f>
        <v/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3"/>
      <c r="Q55" s="25"/>
      <c r="R55" s="2"/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75" customHeight="1">
      <c r="A56" s="1"/>
      <c r="B56" s="3"/>
      <c r="C56" s="57" t="str">
        <f>'Budget Figures'!C56</f>
        <v>SUBTOTAL WITHDRAWALS:</v>
      </c>
      <c r="D56" s="58">
        <f t="shared" ref="D56:O56" si="5">SUM(D20:D46)</f>
        <v>3025</v>
      </c>
      <c r="E56" s="58">
        <f t="shared" si="5"/>
        <v>3025</v>
      </c>
      <c r="F56" s="58">
        <f t="shared" si="5"/>
        <v>3025</v>
      </c>
      <c r="G56" s="58">
        <f t="shared" si="5"/>
        <v>3025</v>
      </c>
      <c r="H56" s="58">
        <f t="shared" si="5"/>
        <v>3025</v>
      </c>
      <c r="I56" s="58">
        <f t="shared" si="5"/>
        <v>3025</v>
      </c>
      <c r="J56" s="58">
        <f t="shared" si="5"/>
        <v>3025</v>
      </c>
      <c r="K56" s="58">
        <f t="shared" si="5"/>
        <v>3025</v>
      </c>
      <c r="L56" s="58">
        <f t="shared" si="5"/>
        <v>3025</v>
      </c>
      <c r="M56" s="58">
        <f t="shared" si="5"/>
        <v>3025</v>
      </c>
      <c r="N56" s="58">
        <f t="shared" si="5"/>
        <v>3025</v>
      </c>
      <c r="O56" s="58">
        <f t="shared" si="5"/>
        <v>3025</v>
      </c>
      <c r="P56" s="3"/>
      <c r="Q56" s="58">
        <f>SUM(D56:O56)</f>
        <v>36300</v>
      </c>
      <c r="R56" s="2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75" customHeight="1">
      <c r="A57" s="1"/>
      <c r="B57" s="3"/>
      <c r="C57" s="56" t="str">
        <f>'Budget Figures'!C57</f>
        <v/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3"/>
      <c r="Q57" s="25"/>
      <c r="R57" s="2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75" customHeight="1">
      <c r="A58" s="1"/>
      <c r="B58" s="3"/>
      <c r="C58" s="59" t="str">
        <f>'Budget Figures'!C58</f>
        <v>GST Related Deposits</v>
      </c>
      <c r="D58" s="34">
        <f t="shared" ref="D58:O58" si="6">D9+D11+D13</f>
        <v>15000</v>
      </c>
      <c r="E58" s="34">
        <f t="shared" si="6"/>
        <v>18000</v>
      </c>
      <c r="F58" s="34">
        <f t="shared" si="6"/>
        <v>20000</v>
      </c>
      <c r="G58" s="34">
        <f t="shared" si="6"/>
        <v>14000</v>
      </c>
      <c r="H58" s="34">
        <f t="shared" si="6"/>
        <v>25000</v>
      </c>
      <c r="I58" s="34">
        <f t="shared" si="6"/>
        <v>26000</v>
      </c>
      <c r="J58" s="34">
        <f t="shared" si="6"/>
        <v>27000</v>
      </c>
      <c r="K58" s="34">
        <f t="shared" si="6"/>
        <v>28000</v>
      </c>
      <c r="L58" s="34">
        <f t="shared" si="6"/>
        <v>30000</v>
      </c>
      <c r="M58" s="34">
        <f t="shared" si="6"/>
        <v>31000</v>
      </c>
      <c r="N58" s="34">
        <f t="shared" si="6"/>
        <v>32000</v>
      </c>
      <c r="O58" s="34">
        <f t="shared" si="6"/>
        <v>33000</v>
      </c>
      <c r="P58" s="3"/>
      <c r="Q58" s="25"/>
      <c r="R58" s="2"/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75" customHeight="1">
      <c r="A59" s="1"/>
      <c r="B59" s="3"/>
      <c r="C59" s="59" t="str">
        <f>'Budget Figures'!C59</f>
        <v>GST Related Withdrawals</v>
      </c>
      <c r="D59" s="34">
        <f t="shared" ref="D59:O59" si="7">sum(D20:D46)</f>
        <v>3025</v>
      </c>
      <c r="E59" s="34">
        <f t="shared" si="7"/>
        <v>3025</v>
      </c>
      <c r="F59" s="34">
        <f t="shared" si="7"/>
        <v>3025</v>
      </c>
      <c r="G59" s="34">
        <f t="shared" si="7"/>
        <v>3025</v>
      </c>
      <c r="H59" s="34">
        <f t="shared" si="7"/>
        <v>3025</v>
      </c>
      <c r="I59" s="34">
        <f t="shared" si="7"/>
        <v>3025</v>
      </c>
      <c r="J59" s="34">
        <f t="shared" si="7"/>
        <v>3025</v>
      </c>
      <c r="K59" s="34">
        <f t="shared" si="7"/>
        <v>3025</v>
      </c>
      <c r="L59" s="34">
        <f t="shared" si="7"/>
        <v>3025</v>
      </c>
      <c r="M59" s="34">
        <f t="shared" si="7"/>
        <v>3025</v>
      </c>
      <c r="N59" s="34">
        <f t="shared" si="7"/>
        <v>3025</v>
      </c>
      <c r="O59" s="34">
        <f t="shared" si="7"/>
        <v>3025</v>
      </c>
      <c r="P59" s="3"/>
      <c r="Q59" s="25"/>
      <c r="R59" s="2"/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75" customHeight="1">
      <c r="A60" s="1"/>
      <c r="B60" s="3"/>
      <c r="C60" s="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3"/>
      <c r="Q60" s="25"/>
      <c r="R60" s="2"/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75" customHeight="1">
      <c r="A61" s="1"/>
      <c r="B61" s="3"/>
      <c r="C61" s="36" t="s">
        <v>45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3"/>
      <c r="Q61" s="25"/>
      <c r="R61" s="2"/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75" customHeight="1">
      <c r="A62" s="1"/>
      <c r="B62" s="3"/>
      <c r="C62" s="2" t="s">
        <v>46</v>
      </c>
      <c r="D62" s="37">
        <f t="shared" ref="D62:O62" si="8">D59-(D59/(1+$V$3))</f>
        <v>394.5652174</v>
      </c>
      <c r="E62" s="37">
        <f t="shared" si="8"/>
        <v>394.5652174</v>
      </c>
      <c r="F62" s="37">
        <f t="shared" si="8"/>
        <v>394.5652174</v>
      </c>
      <c r="G62" s="37">
        <f t="shared" si="8"/>
        <v>394.5652174</v>
      </c>
      <c r="H62" s="37">
        <f t="shared" si="8"/>
        <v>394.5652174</v>
      </c>
      <c r="I62" s="37">
        <f t="shared" si="8"/>
        <v>394.5652174</v>
      </c>
      <c r="J62" s="37">
        <f t="shared" si="8"/>
        <v>394.5652174</v>
      </c>
      <c r="K62" s="37">
        <f t="shared" si="8"/>
        <v>394.5652174</v>
      </c>
      <c r="L62" s="37">
        <f t="shared" si="8"/>
        <v>394.5652174</v>
      </c>
      <c r="M62" s="37">
        <f t="shared" si="8"/>
        <v>394.5652174</v>
      </c>
      <c r="N62" s="37">
        <f t="shared" si="8"/>
        <v>394.5652174</v>
      </c>
      <c r="O62" s="37">
        <f t="shared" si="8"/>
        <v>394.5652174</v>
      </c>
      <c r="P62" s="3"/>
      <c r="Q62" s="18">
        <f t="shared" ref="Q62:Q64" si="10">SUM(D62:O62)</f>
        <v>4734.782609</v>
      </c>
      <c r="R62" s="2"/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75" customHeight="1">
      <c r="A63" s="1"/>
      <c r="B63" s="3"/>
      <c r="C63" s="2" t="s">
        <v>47</v>
      </c>
      <c r="D63" s="37">
        <f t="shared" ref="D63:O63" si="9">D58-(D58/(1+$V$3))</f>
        <v>1956.521739</v>
      </c>
      <c r="E63" s="37">
        <f t="shared" si="9"/>
        <v>2347.826087</v>
      </c>
      <c r="F63" s="37">
        <f t="shared" si="9"/>
        <v>2608.695652</v>
      </c>
      <c r="G63" s="37">
        <f t="shared" si="9"/>
        <v>1826.086957</v>
      </c>
      <c r="H63" s="37">
        <f t="shared" si="9"/>
        <v>3260.869565</v>
      </c>
      <c r="I63" s="37">
        <f t="shared" si="9"/>
        <v>3391.304348</v>
      </c>
      <c r="J63" s="37">
        <f t="shared" si="9"/>
        <v>3521.73913</v>
      </c>
      <c r="K63" s="37">
        <f t="shared" si="9"/>
        <v>3652.173913</v>
      </c>
      <c r="L63" s="37">
        <f t="shared" si="9"/>
        <v>3913.043478</v>
      </c>
      <c r="M63" s="37">
        <f t="shared" si="9"/>
        <v>4043.478261</v>
      </c>
      <c r="N63" s="37">
        <f t="shared" si="9"/>
        <v>4173.913043</v>
      </c>
      <c r="O63" s="37">
        <f t="shared" si="9"/>
        <v>4304.347826</v>
      </c>
      <c r="P63" s="3"/>
      <c r="Q63" s="18">
        <f t="shared" si="10"/>
        <v>39000</v>
      </c>
      <c r="R63" s="2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75" customHeight="1">
      <c r="A64" s="1"/>
      <c r="B64" s="3"/>
      <c r="C64" s="23" t="s">
        <v>48</v>
      </c>
      <c r="D64" s="24">
        <f t="shared" ref="D64:O64" si="11">D62-D63</f>
        <v>-1561.956522</v>
      </c>
      <c r="E64" s="24">
        <f t="shared" si="11"/>
        <v>-1953.26087</v>
      </c>
      <c r="F64" s="24">
        <f t="shared" si="11"/>
        <v>-2214.130435</v>
      </c>
      <c r="G64" s="24">
        <f t="shared" si="11"/>
        <v>-1431.521739</v>
      </c>
      <c r="H64" s="24">
        <f t="shared" si="11"/>
        <v>-2866.304348</v>
      </c>
      <c r="I64" s="24">
        <f t="shared" si="11"/>
        <v>-2996.73913</v>
      </c>
      <c r="J64" s="24">
        <f t="shared" si="11"/>
        <v>-3127.173913</v>
      </c>
      <c r="K64" s="24">
        <f t="shared" si="11"/>
        <v>-3257.608696</v>
      </c>
      <c r="L64" s="24">
        <f t="shared" si="11"/>
        <v>-3518.478261</v>
      </c>
      <c r="M64" s="24">
        <f t="shared" si="11"/>
        <v>-3648.913043</v>
      </c>
      <c r="N64" s="24">
        <f t="shared" si="11"/>
        <v>-3779.347826</v>
      </c>
      <c r="O64" s="24">
        <f t="shared" si="11"/>
        <v>-3909.782609</v>
      </c>
      <c r="P64" s="3"/>
      <c r="Q64" s="58">
        <f t="shared" si="10"/>
        <v>-34265.21739</v>
      </c>
      <c r="R64" s="2"/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75" customHeight="1">
      <c r="A65" s="1"/>
      <c r="B65" s="3"/>
      <c r="C65" s="2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3"/>
      <c r="Q65" s="25"/>
      <c r="R65" s="2"/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75" customHeight="1">
      <c r="A66" s="1"/>
      <c r="B66" s="3"/>
      <c r="C66" s="23" t="s">
        <v>49</v>
      </c>
      <c r="D66" s="24">
        <f t="shared" ref="D66:O66" si="12">D16-(D56+D64)</f>
        <v>13536.95652</v>
      </c>
      <c r="E66" s="24">
        <f t="shared" si="12"/>
        <v>16928.26087</v>
      </c>
      <c r="F66" s="24">
        <f t="shared" si="12"/>
        <v>19189.13043</v>
      </c>
      <c r="G66" s="24">
        <f t="shared" si="12"/>
        <v>12406.52174</v>
      </c>
      <c r="H66" s="24">
        <f t="shared" si="12"/>
        <v>24841.30435</v>
      </c>
      <c r="I66" s="24">
        <f t="shared" si="12"/>
        <v>25971.73913</v>
      </c>
      <c r="J66" s="24">
        <f t="shared" si="12"/>
        <v>27102.17391</v>
      </c>
      <c r="K66" s="24">
        <f t="shared" si="12"/>
        <v>28232.6087</v>
      </c>
      <c r="L66" s="24">
        <f t="shared" si="12"/>
        <v>30493.47826</v>
      </c>
      <c r="M66" s="24">
        <f t="shared" si="12"/>
        <v>31623.91304</v>
      </c>
      <c r="N66" s="24">
        <f t="shared" si="12"/>
        <v>32754.34783</v>
      </c>
      <c r="O66" s="24">
        <f t="shared" si="12"/>
        <v>33884.78261</v>
      </c>
      <c r="P66" s="3"/>
      <c r="Q66" s="58">
        <f>SUM(D66:O66)</f>
        <v>296965.2174</v>
      </c>
      <c r="R66" s="2"/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75" customHeight="1">
      <c r="A67" s="1"/>
      <c r="B67" s="3"/>
      <c r="C67" s="2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3"/>
      <c r="Q67" s="25"/>
      <c r="R67" s="2"/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75" customHeight="1">
      <c r="A68" s="1"/>
      <c r="B68" s="3"/>
      <c r="C68" s="39" t="s">
        <v>50</v>
      </c>
      <c r="D68" s="40">
        <v>6500.0</v>
      </c>
      <c r="E68" s="37">
        <f t="shared" ref="E68:O68" si="13">D72</f>
        <v>20036.95652</v>
      </c>
      <c r="F68" s="37">
        <f t="shared" si="13"/>
        <v>36965.21739</v>
      </c>
      <c r="G68" s="37">
        <f t="shared" si="13"/>
        <v>56154.34783</v>
      </c>
      <c r="H68" s="37">
        <f t="shared" si="13"/>
        <v>68560.86957</v>
      </c>
      <c r="I68" s="37">
        <f t="shared" si="13"/>
        <v>93402.17391</v>
      </c>
      <c r="J68" s="37">
        <f t="shared" si="13"/>
        <v>119373.913</v>
      </c>
      <c r="K68" s="37">
        <f t="shared" si="13"/>
        <v>146476.087</v>
      </c>
      <c r="L68" s="37">
        <f t="shared" si="13"/>
        <v>174708.6957</v>
      </c>
      <c r="M68" s="37">
        <f t="shared" si="13"/>
        <v>205202.1739</v>
      </c>
      <c r="N68" s="37">
        <f t="shared" si="13"/>
        <v>236826.087</v>
      </c>
      <c r="O68" s="37">
        <f t="shared" si="13"/>
        <v>269580.4348</v>
      </c>
      <c r="P68" s="3"/>
      <c r="Q68" s="25"/>
      <c r="R68" s="2"/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75" customHeight="1">
      <c r="A69" s="1"/>
      <c r="B69" s="3"/>
      <c r="C69" s="39" t="s">
        <v>55</v>
      </c>
      <c r="D69" s="42">
        <f t="shared" ref="D69:O69" si="14">D16+D63</f>
        <v>16956.52174</v>
      </c>
      <c r="E69" s="42">
        <f t="shared" si="14"/>
        <v>20347.82609</v>
      </c>
      <c r="F69" s="42">
        <f t="shared" si="14"/>
        <v>22608.69565</v>
      </c>
      <c r="G69" s="42">
        <f t="shared" si="14"/>
        <v>15826.08696</v>
      </c>
      <c r="H69" s="42">
        <f t="shared" si="14"/>
        <v>28260.86957</v>
      </c>
      <c r="I69" s="42">
        <f t="shared" si="14"/>
        <v>29391.30435</v>
      </c>
      <c r="J69" s="42">
        <f t="shared" si="14"/>
        <v>30521.73913</v>
      </c>
      <c r="K69" s="42">
        <f t="shared" si="14"/>
        <v>31652.17391</v>
      </c>
      <c r="L69" s="42">
        <f t="shared" si="14"/>
        <v>33913.04348</v>
      </c>
      <c r="M69" s="42">
        <f t="shared" si="14"/>
        <v>35043.47826</v>
      </c>
      <c r="N69" s="42">
        <f t="shared" si="14"/>
        <v>36173.91304</v>
      </c>
      <c r="O69" s="42">
        <f t="shared" si="14"/>
        <v>37304.34783</v>
      </c>
      <c r="P69" s="3"/>
      <c r="Q69" s="25"/>
      <c r="R69" s="2"/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75" customHeight="1">
      <c r="A70" s="1"/>
      <c r="B70" s="3"/>
      <c r="C70" s="2"/>
      <c r="D70" s="37">
        <f t="shared" ref="D70:O70" si="15">SUM(D68:D69)</f>
        <v>23456.52174</v>
      </c>
      <c r="E70" s="37">
        <f t="shared" si="15"/>
        <v>40384.78261</v>
      </c>
      <c r="F70" s="37">
        <f t="shared" si="15"/>
        <v>59573.91304</v>
      </c>
      <c r="G70" s="37">
        <f t="shared" si="15"/>
        <v>71980.43478</v>
      </c>
      <c r="H70" s="37">
        <f t="shared" si="15"/>
        <v>96821.73913</v>
      </c>
      <c r="I70" s="37">
        <f t="shared" si="15"/>
        <v>122793.4783</v>
      </c>
      <c r="J70" s="37">
        <f t="shared" si="15"/>
        <v>149895.6522</v>
      </c>
      <c r="K70" s="37">
        <f t="shared" si="15"/>
        <v>178128.2609</v>
      </c>
      <c r="L70" s="37">
        <f t="shared" si="15"/>
        <v>208621.7391</v>
      </c>
      <c r="M70" s="37">
        <f t="shared" si="15"/>
        <v>240245.6522</v>
      </c>
      <c r="N70" s="37">
        <f t="shared" si="15"/>
        <v>273000</v>
      </c>
      <c r="O70" s="37">
        <f t="shared" si="15"/>
        <v>306884.7826</v>
      </c>
      <c r="P70" s="3"/>
      <c r="Q70" s="25"/>
      <c r="R70" s="2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75" customHeight="1">
      <c r="A71" s="1"/>
      <c r="B71" s="3"/>
      <c r="C71" s="39" t="s">
        <v>56</v>
      </c>
      <c r="D71" s="37">
        <f t="shared" ref="D71:O71" si="16">D56+D62</f>
        <v>3419.565217</v>
      </c>
      <c r="E71" s="37">
        <f t="shared" si="16"/>
        <v>3419.565217</v>
      </c>
      <c r="F71" s="37">
        <f t="shared" si="16"/>
        <v>3419.565217</v>
      </c>
      <c r="G71" s="37">
        <f t="shared" si="16"/>
        <v>3419.565217</v>
      </c>
      <c r="H71" s="37">
        <f t="shared" si="16"/>
        <v>3419.565217</v>
      </c>
      <c r="I71" s="37">
        <f t="shared" si="16"/>
        <v>3419.565217</v>
      </c>
      <c r="J71" s="37">
        <f t="shared" si="16"/>
        <v>3419.565217</v>
      </c>
      <c r="K71" s="37">
        <f t="shared" si="16"/>
        <v>3419.565217</v>
      </c>
      <c r="L71" s="37">
        <f t="shared" si="16"/>
        <v>3419.565217</v>
      </c>
      <c r="M71" s="37">
        <f t="shared" si="16"/>
        <v>3419.565217</v>
      </c>
      <c r="N71" s="37">
        <f t="shared" si="16"/>
        <v>3419.565217</v>
      </c>
      <c r="O71" s="37">
        <f t="shared" si="16"/>
        <v>3419.565217</v>
      </c>
      <c r="P71" s="3"/>
      <c r="Q71" s="25"/>
      <c r="R71" s="2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75" customHeight="1">
      <c r="A72" s="1"/>
      <c r="B72" s="3"/>
      <c r="C72" s="60" t="s">
        <v>53</v>
      </c>
      <c r="D72" s="58">
        <f t="shared" ref="D72:O72" si="17">D70-D71</f>
        <v>20036.95652</v>
      </c>
      <c r="E72" s="58">
        <f t="shared" si="17"/>
        <v>36965.21739</v>
      </c>
      <c r="F72" s="58">
        <f t="shared" si="17"/>
        <v>56154.34783</v>
      </c>
      <c r="G72" s="58">
        <f t="shared" si="17"/>
        <v>68560.86957</v>
      </c>
      <c r="H72" s="58">
        <f t="shared" si="17"/>
        <v>93402.17391</v>
      </c>
      <c r="I72" s="58">
        <f t="shared" si="17"/>
        <v>119373.913</v>
      </c>
      <c r="J72" s="58">
        <f t="shared" si="17"/>
        <v>146476.087</v>
      </c>
      <c r="K72" s="58">
        <f t="shared" si="17"/>
        <v>174708.6957</v>
      </c>
      <c r="L72" s="58">
        <f t="shared" si="17"/>
        <v>205202.1739</v>
      </c>
      <c r="M72" s="58">
        <f t="shared" si="17"/>
        <v>236826.087</v>
      </c>
      <c r="N72" s="58">
        <f t="shared" si="17"/>
        <v>269580.4348</v>
      </c>
      <c r="O72" s="58">
        <f t="shared" si="17"/>
        <v>303465.2174</v>
      </c>
      <c r="P72" s="3"/>
      <c r="Q72" s="25"/>
      <c r="R72" s="2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2.75" customHeight="1">
      <c r="A73" s="1"/>
      <c r="B73" s="3"/>
      <c r="C73" s="2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3"/>
      <c r="Q73" s="25"/>
      <c r="R73" s="2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75" customHeight="1">
      <c r="A74" s="1"/>
      <c r="B74" s="3"/>
      <c r="C74" s="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3"/>
      <c r="Q74" s="25"/>
      <c r="R74" s="2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75" customHeight="1">
      <c r="A145" s="2"/>
      <c r="B145" s="2"/>
      <c r="C145" s="2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75" customHeight="1">
      <c r="A146" s="2"/>
      <c r="B146" s="2"/>
      <c r="C146" s="2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75" customHeight="1">
      <c r="A147" s="2"/>
      <c r="B147" s="2"/>
      <c r="C147" s="2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75" customHeight="1">
      <c r="A148" s="2"/>
      <c r="B148" s="2"/>
      <c r="C148" s="2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75" customHeight="1">
      <c r="A149" s="2"/>
      <c r="B149" s="2"/>
      <c r="C149" s="2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75" customHeight="1">
      <c r="A150" s="2"/>
      <c r="B150" s="2"/>
      <c r="C150" s="2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75" customHeight="1">
      <c r="A151" s="2"/>
      <c r="B151" s="2"/>
      <c r="C151" s="2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75" customHeight="1">
      <c r="A152" s="2"/>
      <c r="B152" s="2"/>
      <c r="C152" s="2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75" customHeight="1">
      <c r="A153" s="2"/>
      <c r="B153" s="2"/>
      <c r="C153" s="2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75" customHeight="1">
      <c r="A154" s="2"/>
      <c r="B154" s="2"/>
      <c r="C154" s="2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75" customHeight="1">
      <c r="A155" s="2"/>
      <c r="B155" s="2"/>
      <c r="C155" s="2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75" customHeight="1">
      <c r="A156" s="2"/>
      <c r="B156" s="2"/>
      <c r="C156" s="2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75" customHeight="1">
      <c r="A157" s="2"/>
      <c r="B157" s="2"/>
      <c r="C157" s="2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75" customHeight="1">
      <c r="A158" s="2"/>
      <c r="B158" s="2"/>
      <c r="C158" s="2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75" customHeight="1">
      <c r="A159" s="2"/>
      <c r="B159" s="2"/>
      <c r="C159" s="2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2.75" customHeight="1">
      <c r="A160" s="2"/>
      <c r="B160" s="2"/>
      <c r="C160" s="2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2.75" customHeight="1">
      <c r="A161" s="2"/>
      <c r="B161" s="2"/>
      <c r="C161" s="2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2.75" customHeight="1">
      <c r="A162" s="2"/>
      <c r="B162" s="2"/>
      <c r="C162" s="2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75" customHeight="1">
      <c r="A163" s="2"/>
      <c r="B163" s="2"/>
      <c r="C163" s="2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75" customHeight="1">
      <c r="A164" s="2"/>
      <c r="B164" s="2"/>
      <c r="C164" s="2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75" customHeight="1">
      <c r="A165" s="2"/>
      <c r="B165" s="2"/>
      <c r="C165" s="2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75" customHeight="1">
      <c r="A166" s="2"/>
      <c r="B166" s="2"/>
      <c r="C166" s="2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75" customHeight="1">
      <c r="A167" s="2"/>
      <c r="B167" s="2"/>
      <c r="C167" s="2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75" customHeight="1">
      <c r="A168" s="2"/>
      <c r="B168" s="2"/>
      <c r="C168" s="2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75" customHeight="1">
      <c r="A169" s="2"/>
      <c r="B169" s="2"/>
      <c r="C169" s="2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75" customHeight="1">
      <c r="A170" s="2"/>
      <c r="B170" s="2"/>
      <c r="C170" s="2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75" customHeight="1">
      <c r="A171" s="2"/>
      <c r="B171" s="2"/>
      <c r="C171" s="2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75" customHeight="1">
      <c r="A172" s="2"/>
      <c r="B172" s="2"/>
      <c r="C172" s="2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75" customHeight="1">
      <c r="A173" s="2"/>
      <c r="B173" s="2"/>
      <c r="C173" s="2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75" customHeight="1">
      <c r="A174" s="2"/>
      <c r="B174" s="2"/>
      <c r="C174" s="2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75" customHeight="1">
      <c r="A175" s="2"/>
      <c r="B175" s="2"/>
      <c r="C175" s="2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75" customHeight="1">
      <c r="A176" s="2"/>
      <c r="B176" s="2"/>
      <c r="C176" s="2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75" customHeight="1">
      <c r="A177" s="2"/>
      <c r="B177" s="2"/>
      <c r="C177" s="2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75" customHeight="1">
      <c r="A178" s="2"/>
      <c r="B178" s="2"/>
      <c r="C178" s="2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75" customHeight="1">
      <c r="A179" s="2"/>
      <c r="B179" s="2"/>
      <c r="C179" s="2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75" customHeight="1">
      <c r="A180" s="2"/>
      <c r="B180" s="2"/>
      <c r="C180" s="2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75" customHeight="1">
      <c r="A181" s="2"/>
      <c r="B181" s="2"/>
      <c r="C181" s="2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75" customHeight="1">
      <c r="A182" s="2"/>
      <c r="B182" s="2"/>
      <c r="C182" s="2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75" customHeight="1">
      <c r="A183" s="2"/>
      <c r="B183" s="2"/>
      <c r="C183" s="2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75" customHeight="1">
      <c r="A184" s="2"/>
      <c r="B184" s="2"/>
      <c r="C184" s="2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75" customHeight="1">
      <c r="A185" s="2"/>
      <c r="B185" s="2"/>
      <c r="C185" s="2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75" customHeight="1">
      <c r="A186" s="2"/>
      <c r="B186" s="2"/>
      <c r="C186" s="2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75" customHeight="1">
      <c r="A187" s="2"/>
      <c r="B187" s="2"/>
      <c r="C187" s="2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75" customHeight="1">
      <c r="A188" s="2"/>
      <c r="B188" s="2"/>
      <c r="C188" s="2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75" customHeight="1">
      <c r="A189" s="2"/>
      <c r="B189" s="2"/>
      <c r="C189" s="2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75" customHeight="1">
      <c r="A190" s="2"/>
      <c r="B190" s="2"/>
      <c r="C190" s="2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75" customHeight="1">
      <c r="A191" s="2"/>
      <c r="B191" s="2"/>
      <c r="C191" s="2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75" customHeight="1">
      <c r="A192" s="2"/>
      <c r="B192" s="2"/>
      <c r="C192" s="2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75" customHeight="1">
      <c r="A193" s="2"/>
      <c r="B193" s="2"/>
      <c r="C193" s="2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75" customHeight="1">
      <c r="A194" s="2"/>
      <c r="B194" s="2"/>
      <c r="C194" s="2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75" customHeight="1">
      <c r="A195" s="2"/>
      <c r="B195" s="2"/>
      <c r="C195" s="2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75" customHeight="1">
      <c r="A196" s="2"/>
      <c r="B196" s="2"/>
      <c r="C196" s="2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75" customHeight="1">
      <c r="A197" s="2"/>
      <c r="B197" s="2"/>
      <c r="C197" s="2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75" customHeight="1">
      <c r="A198" s="2"/>
      <c r="B198" s="2"/>
      <c r="C198" s="2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75" customHeight="1">
      <c r="A199" s="2"/>
      <c r="B199" s="2"/>
      <c r="C199" s="2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75" customHeight="1">
      <c r="A200" s="2"/>
      <c r="B200" s="2"/>
      <c r="C200" s="2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75" customHeight="1">
      <c r="A201" s="2"/>
      <c r="B201" s="2"/>
      <c r="C201" s="2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75" customHeight="1">
      <c r="A202" s="2"/>
      <c r="B202" s="2"/>
      <c r="C202" s="2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75" customHeight="1">
      <c r="A203" s="2"/>
      <c r="B203" s="2"/>
      <c r="C203" s="2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75" customHeight="1">
      <c r="A204" s="2"/>
      <c r="B204" s="2"/>
      <c r="C204" s="2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75" customHeight="1">
      <c r="A205" s="2"/>
      <c r="B205" s="2"/>
      <c r="C205" s="2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75" customHeight="1">
      <c r="A206" s="2"/>
      <c r="B206" s="2"/>
      <c r="C206" s="2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75" customHeight="1">
      <c r="A207" s="2"/>
      <c r="B207" s="2"/>
      <c r="C207" s="2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75" customHeight="1">
      <c r="A208" s="2"/>
      <c r="B208" s="2"/>
      <c r="C208" s="2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75" customHeight="1">
      <c r="A209" s="2"/>
      <c r="B209" s="2"/>
      <c r="C209" s="2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75" customHeight="1">
      <c r="A210" s="2"/>
      <c r="B210" s="2"/>
      <c r="C210" s="2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75" customHeight="1">
      <c r="A211" s="2"/>
      <c r="B211" s="2"/>
      <c r="C211" s="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75" customHeight="1">
      <c r="A212" s="2"/>
      <c r="B212" s="2"/>
      <c r="C212" s="2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75" customHeight="1">
      <c r="A213" s="2"/>
      <c r="B213" s="2"/>
      <c r="C213" s="2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75" customHeight="1">
      <c r="A214" s="2"/>
      <c r="B214" s="2"/>
      <c r="C214" s="2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75" customHeight="1">
      <c r="A215" s="2"/>
      <c r="B215" s="2"/>
      <c r="C215" s="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75" customHeight="1">
      <c r="A216" s="2"/>
      <c r="B216" s="2"/>
      <c r="C216" s="2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75" customHeight="1">
      <c r="A217" s="2"/>
      <c r="B217" s="2"/>
      <c r="C217" s="2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75" customHeight="1">
      <c r="A218" s="2"/>
      <c r="B218" s="2"/>
      <c r="C218" s="2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75" customHeight="1">
      <c r="A219" s="2"/>
      <c r="B219" s="2"/>
      <c r="C219" s="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75" customHeight="1">
      <c r="A220" s="2"/>
      <c r="B220" s="2"/>
      <c r="C220" s="2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75" customHeight="1">
      <c r="A221" s="2"/>
      <c r="B221" s="2"/>
      <c r="C221" s="2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75" customHeight="1">
      <c r="A222" s="2"/>
      <c r="B222" s="2"/>
      <c r="C222" s="2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75" customHeight="1">
      <c r="A223" s="2"/>
      <c r="B223" s="2"/>
      <c r="C223" s="2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75" customHeight="1">
      <c r="A224" s="2"/>
      <c r="B224" s="2"/>
      <c r="C224" s="2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75" customHeight="1">
      <c r="A225" s="2"/>
      <c r="B225" s="2"/>
      <c r="C225" s="2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75" customHeight="1">
      <c r="A226" s="2"/>
      <c r="B226" s="2"/>
      <c r="C226" s="2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75" customHeight="1">
      <c r="A227" s="2"/>
      <c r="B227" s="2"/>
      <c r="C227" s="2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75" customHeight="1">
      <c r="A228" s="2"/>
      <c r="B228" s="2"/>
      <c r="C228" s="2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75" customHeight="1">
      <c r="A229" s="2"/>
      <c r="B229" s="2"/>
      <c r="C229" s="2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75" customHeight="1">
      <c r="A230" s="2"/>
      <c r="B230" s="2"/>
      <c r="C230" s="2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75" customHeight="1">
      <c r="A231" s="2"/>
      <c r="B231" s="2"/>
      <c r="C231" s="2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75" customHeight="1">
      <c r="A232" s="2"/>
      <c r="B232" s="2"/>
      <c r="C232" s="2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75" customHeight="1">
      <c r="A233" s="2"/>
      <c r="B233" s="2"/>
      <c r="C233" s="2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75" customHeight="1">
      <c r="A234" s="2"/>
      <c r="B234" s="2"/>
      <c r="C234" s="2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75" customHeight="1">
      <c r="A235" s="2"/>
      <c r="B235" s="2"/>
      <c r="C235" s="2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75" customHeight="1">
      <c r="A236" s="2"/>
      <c r="B236" s="2"/>
      <c r="C236" s="2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75" customHeight="1">
      <c r="A237" s="2"/>
      <c r="B237" s="2"/>
      <c r="C237" s="2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75" customHeight="1">
      <c r="A238" s="2"/>
      <c r="B238" s="2"/>
      <c r="C238" s="2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75" customHeight="1">
      <c r="A239" s="2"/>
      <c r="B239" s="2"/>
      <c r="C239" s="2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75" customHeight="1">
      <c r="A240" s="2"/>
      <c r="B240" s="2"/>
      <c r="C240" s="2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75" customHeight="1">
      <c r="A241" s="2"/>
      <c r="B241" s="2"/>
      <c r="C241" s="2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75" customHeight="1">
      <c r="A242" s="2"/>
      <c r="B242" s="2"/>
      <c r="C242" s="2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75" customHeight="1">
      <c r="A243" s="2"/>
      <c r="B243" s="2"/>
      <c r="C243" s="2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75" customHeight="1">
      <c r="A244" s="2"/>
      <c r="B244" s="2"/>
      <c r="C244" s="2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75" customHeight="1">
      <c r="A245" s="2"/>
      <c r="B245" s="2"/>
      <c r="C245" s="2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75" customHeight="1">
      <c r="A246" s="2"/>
      <c r="B246" s="2"/>
      <c r="C246" s="2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75" customHeight="1">
      <c r="A247" s="2"/>
      <c r="B247" s="2"/>
      <c r="C247" s="2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75" customHeight="1">
      <c r="A248" s="2"/>
      <c r="B248" s="2"/>
      <c r="C248" s="2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75" customHeight="1">
      <c r="A249" s="2"/>
      <c r="B249" s="2"/>
      <c r="C249" s="2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75" customHeight="1">
      <c r="A250" s="2"/>
      <c r="B250" s="2"/>
      <c r="C250" s="2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75" customHeight="1">
      <c r="A251" s="2"/>
      <c r="B251" s="2"/>
      <c r="C251" s="2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75" customHeight="1">
      <c r="A252" s="2"/>
      <c r="B252" s="2"/>
      <c r="C252" s="2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75" customHeight="1">
      <c r="A253" s="2"/>
      <c r="B253" s="2"/>
      <c r="C253" s="2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75" customHeight="1">
      <c r="A254" s="2"/>
      <c r="B254" s="2"/>
      <c r="C254" s="2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75" customHeight="1">
      <c r="A255" s="2"/>
      <c r="B255" s="2"/>
      <c r="C255" s="2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75" customHeight="1">
      <c r="A256" s="2"/>
      <c r="B256" s="2"/>
      <c r="C256" s="2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75" customHeight="1">
      <c r="A257" s="2"/>
      <c r="B257" s="2"/>
      <c r="C257" s="2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75" customHeight="1">
      <c r="A258" s="2"/>
      <c r="B258" s="2"/>
      <c r="C258" s="2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75" customHeight="1">
      <c r="A259" s="2"/>
      <c r="B259" s="2"/>
      <c r="C259" s="2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75" customHeight="1">
      <c r="A260" s="2"/>
      <c r="B260" s="2"/>
      <c r="C260" s="2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75" customHeight="1">
      <c r="A261" s="2"/>
      <c r="B261" s="2"/>
      <c r="C261" s="2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75" customHeight="1">
      <c r="A262" s="2"/>
      <c r="B262" s="2"/>
      <c r="C262" s="2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75" customHeight="1">
      <c r="A263" s="2"/>
      <c r="B263" s="2"/>
      <c r="C263" s="2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75" customHeight="1">
      <c r="A264" s="2"/>
      <c r="B264" s="2"/>
      <c r="C264" s="2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75" customHeight="1">
      <c r="A265" s="2"/>
      <c r="B265" s="2"/>
      <c r="C265" s="2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75" customHeight="1">
      <c r="A266" s="2"/>
      <c r="B266" s="2"/>
      <c r="C266" s="2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75" customHeight="1">
      <c r="A267" s="2"/>
      <c r="B267" s="2"/>
      <c r="C267" s="2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75" customHeight="1">
      <c r="A268" s="2"/>
      <c r="B268" s="2"/>
      <c r="C268" s="2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75" customHeight="1">
      <c r="A269" s="2"/>
      <c r="B269" s="2"/>
      <c r="C269" s="2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75" customHeight="1">
      <c r="A270" s="2"/>
      <c r="B270" s="2"/>
      <c r="C270" s="2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75" customHeight="1">
      <c r="A271" s="2"/>
      <c r="B271" s="2"/>
      <c r="C271" s="2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75" customHeight="1">
      <c r="A272" s="2"/>
      <c r="B272" s="2"/>
      <c r="C272" s="2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</sheetData>
  <mergeCells count="3">
    <mergeCell ref="C3:C4"/>
    <mergeCell ref="U3:U4"/>
    <mergeCell ref="V3:V4"/>
  </mergeCells>
  <printOptions/>
  <pageMargins bottom="0.45" footer="0.0" header="0.0" left="0.2" right="0.21" top="0.39"/>
  <pageSetup paperSize="9"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2.57"/>
    <col customWidth="1" min="3" max="3" width="35.0"/>
    <col customWidth="1" min="4" max="15" width="14.43"/>
    <col customWidth="1" min="16" max="16" width="2.71"/>
    <col customWidth="1" min="17" max="17" width="14.43"/>
    <col customWidth="1" min="18" max="19" width="2.57"/>
    <col customWidth="1" min="20" max="29" width="8.71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</row>
    <row r="2" ht="12.75" customHeight="1">
      <c r="A2" s="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1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75" customHeight="1">
      <c r="A3" s="1"/>
      <c r="B3" s="61"/>
      <c r="C3" s="4" t="s">
        <v>57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1"/>
      <c r="Q3" s="5"/>
      <c r="R3" s="2"/>
      <c r="S3" s="1"/>
      <c r="T3" s="2"/>
      <c r="U3" s="2"/>
      <c r="V3" s="2"/>
      <c r="W3" s="2"/>
      <c r="X3" s="2"/>
      <c r="Y3" s="2"/>
      <c r="Z3" s="2"/>
      <c r="AA3" s="2"/>
      <c r="AB3" s="2"/>
      <c r="AC3" s="2"/>
    </row>
    <row r="4" ht="12.75" customHeight="1">
      <c r="A4" s="1"/>
      <c r="B4" s="61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61"/>
      <c r="Q4" s="10"/>
      <c r="R4" s="2"/>
      <c r="S4" s="1"/>
      <c r="T4" s="2"/>
      <c r="U4" s="2"/>
      <c r="V4" s="2"/>
      <c r="W4" s="2"/>
      <c r="X4" s="2"/>
      <c r="Y4" s="2"/>
      <c r="Z4" s="2"/>
      <c r="AA4" s="2"/>
      <c r="AB4" s="2"/>
      <c r="AC4" s="2"/>
    </row>
    <row r="5" ht="12.75" customHeight="1">
      <c r="A5" s="1"/>
      <c r="B5" s="6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61"/>
      <c r="Q5" s="2"/>
      <c r="R5" s="2"/>
      <c r="S5" s="1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0" customHeight="1">
      <c r="A6" s="1"/>
      <c r="B6" s="61"/>
      <c r="C6" s="45"/>
      <c r="D6" s="46">
        <f>'Budget Figures'!D6</f>
        <v>44287</v>
      </c>
      <c r="E6" s="46">
        <f>'Budget Figures'!E6</f>
        <v>44317</v>
      </c>
      <c r="F6" s="46">
        <f>'Budget Figures'!F6</f>
        <v>44348</v>
      </c>
      <c r="G6" s="46">
        <f>'Budget Figures'!G6</f>
        <v>44378</v>
      </c>
      <c r="H6" s="46">
        <f>'Budget Figures'!H6</f>
        <v>44409</v>
      </c>
      <c r="I6" s="46">
        <f>'Budget Figures'!I6</f>
        <v>44440</v>
      </c>
      <c r="J6" s="46">
        <f>'Budget Figures'!J6</f>
        <v>44470</v>
      </c>
      <c r="K6" s="46">
        <f>'Budget Figures'!K6</f>
        <v>44501</v>
      </c>
      <c r="L6" s="46">
        <f>'Budget Figures'!L6</f>
        <v>44531</v>
      </c>
      <c r="M6" s="46">
        <f>'Budget Figures'!M6</f>
        <v>44562</v>
      </c>
      <c r="N6" s="46">
        <f>'Budget Figures'!N6</f>
        <v>44593</v>
      </c>
      <c r="O6" s="46">
        <f>'Budget Figures'!O6</f>
        <v>44621</v>
      </c>
      <c r="P6" s="61"/>
      <c r="Q6" s="13" t="s">
        <v>2</v>
      </c>
      <c r="R6" s="2"/>
      <c r="S6" s="1"/>
      <c r="T6" s="2"/>
      <c r="U6" s="2"/>
      <c r="V6" s="2"/>
      <c r="W6" s="2"/>
      <c r="X6" s="2"/>
      <c r="Y6" s="2"/>
      <c r="Z6" s="2"/>
      <c r="AA6" s="2"/>
      <c r="AB6" s="2"/>
      <c r="AC6" s="2"/>
    </row>
    <row r="7" ht="16.5" customHeight="1">
      <c r="A7" s="1"/>
      <c r="B7" s="61"/>
      <c r="C7" s="47" t="s">
        <v>3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29"/>
      <c r="Q7" s="62"/>
      <c r="R7" s="2"/>
      <c r="S7" s="1"/>
      <c r="T7" s="2"/>
      <c r="U7" s="2"/>
      <c r="V7" s="2"/>
      <c r="W7" s="2"/>
      <c r="X7" s="2"/>
      <c r="Y7" s="2"/>
      <c r="Z7" s="2"/>
      <c r="AA7" s="2"/>
      <c r="AB7" s="2"/>
      <c r="AC7" s="2"/>
    </row>
    <row r="8" ht="12.75" customHeight="1">
      <c r="A8" s="1"/>
      <c r="B8" s="61"/>
      <c r="C8" s="2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29"/>
      <c r="Q8" s="62"/>
      <c r="R8" s="2"/>
      <c r="S8" s="1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1"/>
      <c r="B9" s="61"/>
      <c r="C9" s="63" t="str">
        <f>'Budget Figures'!C9</f>
        <v>Sales</v>
      </c>
      <c r="D9" s="37">
        <f>IF('Actual Figures'!D9&lt;&gt;"",'Actual Figures'!D9-'Budget Figures'!D9,"")</f>
        <v>-10000</v>
      </c>
      <c r="E9" s="37">
        <f>IF('Actual Figures'!E9&lt;&gt;"",'Actual Figures'!E9-'Budget Figures'!E9,"")</f>
        <v>-17000</v>
      </c>
      <c r="F9" s="37">
        <f>IF('Actual Figures'!F9&lt;&gt;"",'Actual Figures'!F9-'Budget Figures'!F9,"")</f>
        <v>-25000</v>
      </c>
      <c r="G9" s="37">
        <f>IF('Actual Figures'!G9&lt;&gt;"",'Actual Figures'!G9-'Budget Figures'!G9,"")</f>
        <v>-1000</v>
      </c>
      <c r="H9" s="37">
        <f>IF('Actual Figures'!H9&lt;&gt;"",'Actual Figures'!H9-'Budget Figures'!H9,"")</f>
        <v>0</v>
      </c>
      <c r="I9" s="37">
        <f>IF('Actual Figures'!I9&lt;&gt;"",'Actual Figures'!I9-'Budget Figures'!I9,"")</f>
        <v>-4000</v>
      </c>
      <c r="J9" s="37">
        <f>IF('Actual Figures'!J9&lt;&gt;"",'Actual Figures'!J9-'Budget Figures'!J9,"")</f>
        <v>14500</v>
      </c>
      <c r="K9" s="37">
        <f>IF('Actual Figures'!K9&lt;&gt;"",'Actual Figures'!K9-'Budget Figures'!K9,"")</f>
        <v>3000</v>
      </c>
      <c r="L9" s="37">
        <f>IF('Actual Figures'!L9&lt;&gt;"",'Actual Figures'!L9-'Budget Figures'!L9,"")</f>
        <v>-5000</v>
      </c>
      <c r="M9" s="37">
        <f>IF('Actual Figures'!M9&lt;&gt;"",'Actual Figures'!M9-'Budget Figures'!M9,"")</f>
        <v>-9000</v>
      </c>
      <c r="N9" s="37">
        <f>IF('Actual Figures'!N9&lt;&gt;"",'Actual Figures'!N9-'Budget Figures'!N9,"")</f>
        <v>7000</v>
      </c>
      <c r="O9" s="37">
        <f>IF('Actual Figures'!O9&lt;&gt;"",'Actual Figures'!O9-'Budget Figures'!O9,"")</f>
        <v>-2800</v>
      </c>
      <c r="P9" s="61"/>
      <c r="Q9" s="37">
        <f t="shared" ref="Q9:Q14" si="1">SUM(D9:O9)</f>
        <v>-49300</v>
      </c>
      <c r="R9" s="2"/>
      <c r="S9" s="1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1"/>
      <c r="B10" s="61"/>
      <c r="C10" s="63" t="str">
        <f>'Budget Figures'!C10</f>
        <v>Tax Rebates</v>
      </c>
      <c r="D10" s="37" t="str">
        <f>IF('Actual Figures'!D10&lt;&gt;"",'Actual Figures'!D10-'Budget Figures'!D10,"")</f>
        <v/>
      </c>
      <c r="E10" s="37" t="str">
        <f>IF('Actual Figures'!E10&lt;&gt;"",'Actual Figures'!E10-'Budget Figures'!E10,"")</f>
        <v/>
      </c>
      <c r="F10" s="37" t="str">
        <f>IF('Actual Figures'!F10&lt;&gt;"",'Actual Figures'!F10-'Budget Figures'!F10,"")</f>
        <v/>
      </c>
      <c r="G10" s="37" t="str">
        <f>IF('Actual Figures'!G10&lt;&gt;"",'Actual Figures'!G10-'Budget Figures'!G10,"")</f>
        <v/>
      </c>
      <c r="H10" s="37" t="str">
        <f>IF('Actual Figures'!H10&lt;&gt;"",'Actual Figures'!H10-'Budget Figures'!H10,"")</f>
        <v/>
      </c>
      <c r="I10" s="37" t="str">
        <f>IF('Actual Figures'!I10&lt;&gt;"",'Actual Figures'!I10-'Budget Figures'!I10,"")</f>
        <v/>
      </c>
      <c r="J10" s="37" t="str">
        <f>IF('Actual Figures'!J10&lt;&gt;"",'Actual Figures'!J10-'Budget Figures'!J10,"")</f>
        <v/>
      </c>
      <c r="K10" s="37" t="str">
        <f>IF('Actual Figures'!K10&lt;&gt;"",'Actual Figures'!K10-'Budget Figures'!K10,"")</f>
        <v/>
      </c>
      <c r="L10" s="37" t="str">
        <f>IF('Actual Figures'!L10&lt;&gt;"",'Actual Figures'!L10-'Budget Figures'!L10,"")</f>
        <v/>
      </c>
      <c r="M10" s="37" t="str">
        <f>IF('Actual Figures'!M10&lt;&gt;"",'Actual Figures'!M10-'Budget Figures'!M10,"")</f>
        <v/>
      </c>
      <c r="N10" s="37" t="str">
        <f>IF('Actual Figures'!N10&lt;&gt;"",'Actual Figures'!N10-'Budget Figures'!N10,"")</f>
        <v/>
      </c>
      <c r="O10" s="37" t="str">
        <f>IF('Actual Figures'!O10&lt;&gt;"",'Actual Figures'!O10-'Budget Figures'!O10,"")</f>
        <v/>
      </c>
      <c r="P10" s="61"/>
      <c r="Q10" s="37">
        <f t="shared" si="1"/>
        <v>0</v>
      </c>
      <c r="R10" s="2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"/>
      <c r="B11" s="61"/>
      <c r="C11" s="63" t="str">
        <f>'Budget Figures'!C11</f>
        <v>Interest Received</v>
      </c>
      <c r="D11" s="37" t="str">
        <f>IF('Actual Figures'!D11&lt;&gt;"",'Actual Figures'!D11-'Budget Figures'!D11,"")</f>
        <v/>
      </c>
      <c r="E11" s="37" t="str">
        <f>IF('Actual Figures'!E11&lt;&gt;"",'Actual Figures'!E11-'Budget Figures'!E11,"")</f>
        <v/>
      </c>
      <c r="F11" s="37" t="str">
        <f>IF('Actual Figures'!F11&lt;&gt;"",'Actual Figures'!F11-'Budget Figures'!F11,"")</f>
        <v/>
      </c>
      <c r="G11" s="37" t="str">
        <f>IF('Actual Figures'!G11&lt;&gt;"",'Actual Figures'!G11-'Budget Figures'!G11,"")</f>
        <v/>
      </c>
      <c r="H11" s="37" t="str">
        <f>IF('Actual Figures'!H11&lt;&gt;"",'Actual Figures'!H11-'Budget Figures'!H11,"")</f>
        <v/>
      </c>
      <c r="I11" s="37" t="str">
        <f>IF('Actual Figures'!I11&lt;&gt;"",'Actual Figures'!I11-'Budget Figures'!I11,"")</f>
        <v/>
      </c>
      <c r="J11" s="37" t="str">
        <f>IF('Actual Figures'!J11&lt;&gt;"",'Actual Figures'!J11-'Budget Figures'!J11,"")</f>
        <v/>
      </c>
      <c r="K11" s="37" t="str">
        <f>IF('Actual Figures'!K11&lt;&gt;"",'Actual Figures'!K11-'Budget Figures'!K11,"")</f>
        <v/>
      </c>
      <c r="L11" s="37" t="str">
        <f>IF('Actual Figures'!L11&lt;&gt;"",'Actual Figures'!L11-'Budget Figures'!L11,"")</f>
        <v/>
      </c>
      <c r="M11" s="37" t="str">
        <f>IF('Actual Figures'!M11&lt;&gt;"",'Actual Figures'!M11-'Budget Figures'!M11,"")</f>
        <v/>
      </c>
      <c r="N11" s="37" t="str">
        <f>IF('Actual Figures'!N11&lt;&gt;"",'Actual Figures'!N11-'Budget Figures'!N11,"")</f>
        <v/>
      </c>
      <c r="O11" s="37" t="str">
        <f>IF('Actual Figures'!O11&lt;&gt;"",'Actual Figures'!O11-'Budget Figures'!O11,"")</f>
        <v/>
      </c>
      <c r="P11" s="61"/>
      <c r="Q11" s="37">
        <f t="shared" si="1"/>
        <v>0</v>
      </c>
      <c r="R11" s="2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1"/>
      <c r="B12" s="61"/>
      <c r="C12" s="63" t="str">
        <f>'Budget Figures'!C12</f>
        <v>Capital Introduced</v>
      </c>
      <c r="D12" s="37" t="str">
        <f>IF('Actual Figures'!D12&lt;&gt;"",'Actual Figures'!D12-'Budget Figures'!D12,"")</f>
        <v/>
      </c>
      <c r="E12" s="37" t="str">
        <f>IF('Actual Figures'!E12&lt;&gt;"",'Actual Figures'!E12-'Budget Figures'!E12,"")</f>
        <v/>
      </c>
      <c r="F12" s="37" t="str">
        <f>IF('Actual Figures'!F12&lt;&gt;"",'Actual Figures'!F12-'Budget Figures'!F12,"")</f>
        <v/>
      </c>
      <c r="G12" s="37" t="str">
        <f>IF('Actual Figures'!G12&lt;&gt;"",'Actual Figures'!G12-'Budget Figures'!G12,"")</f>
        <v/>
      </c>
      <c r="H12" s="37" t="str">
        <f>IF('Actual Figures'!H12&lt;&gt;"",'Actual Figures'!H12-'Budget Figures'!H12,"")</f>
        <v/>
      </c>
      <c r="I12" s="37" t="str">
        <f>IF('Actual Figures'!I12&lt;&gt;"",'Actual Figures'!I12-'Budget Figures'!I12,"")</f>
        <v/>
      </c>
      <c r="J12" s="37" t="str">
        <f>IF('Actual Figures'!J12&lt;&gt;"",'Actual Figures'!J12-'Budget Figures'!J12,"")</f>
        <v/>
      </c>
      <c r="K12" s="37" t="str">
        <f>IF('Actual Figures'!K12&lt;&gt;"",'Actual Figures'!K12-'Budget Figures'!K12,"")</f>
        <v/>
      </c>
      <c r="L12" s="37" t="str">
        <f>IF('Actual Figures'!L12&lt;&gt;"",'Actual Figures'!L12-'Budget Figures'!L12,"")</f>
        <v/>
      </c>
      <c r="M12" s="37" t="str">
        <f>IF('Actual Figures'!M12&lt;&gt;"",'Actual Figures'!M12-'Budget Figures'!M12,"")</f>
        <v/>
      </c>
      <c r="N12" s="37" t="str">
        <f>IF('Actual Figures'!N12&lt;&gt;"",'Actual Figures'!N12-'Budget Figures'!N12,"")</f>
        <v/>
      </c>
      <c r="O12" s="37" t="str">
        <f>IF('Actual Figures'!O12&lt;&gt;"",'Actual Figures'!O12-'Budget Figures'!O12,"")</f>
        <v/>
      </c>
      <c r="P12" s="61"/>
      <c r="Q12" s="37">
        <f t="shared" si="1"/>
        <v>0</v>
      </c>
      <c r="R12" s="2"/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2.75" customHeight="1">
      <c r="A13" s="1"/>
      <c r="B13" s="61"/>
      <c r="C13" s="63" t="str">
        <f>'Budget Figures'!C13</f>
        <v>Other</v>
      </c>
      <c r="D13" s="37" t="str">
        <f>IF('Actual Figures'!D13&lt;&gt;"",'Actual Figures'!D13-'Budget Figures'!D13,"")</f>
        <v/>
      </c>
      <c r="E13" s="37" t="str">
        <f>IF('Actual Figures'!E13&lt;&gt;"",'Actual Figures'!E13-'Budget Figures'!E13,"")</f>
        <v/>
      </c>
      <c r="F13" s="37" t="str">
        <f>IF('Actual Figures'!F13&lt;&gt;"",'Actual Figures'!F13-'Budget Figures'!F13,"")</f>
        <v/>
      </c>
      <c r="G13" s="37" t="str">
        <f>IF('Actual Figures'!G13&lt;&gt;"",'Actual Figures'!G13-'Budget Figures'!G13,"")</f>
        <v/>
      </c>
      <c r="H13" s="37" t="str">
        <f>IF('Actual Figures'!H13&lt;&gt;"",'Actual Figures'!H13-'Budget Figures'!H13,"")</f>
        <v/>
      </c>
      <c r="I13" s="37" t="str">
        <f>IF('Actual Figures'!I13&lt;&gt;"",'Actual Figures'!I13-'Budget Figures'!I13,"")</f>
        <v/>
      </c>
      <c r="J13" s="37" t="str">
        <f>IF('Actual Figures'!J13&lt;&gt;"",'Actual Figures'!J13-'Budget Figures'!J13,"")</f>
        <v/>
      </c>
      <c r="K13" s="37" t="str">
        <f>IF('Actual Figures'!K13&lt;&gt;"",'Actual Figures'!K13-'Budget Figures'!K13,"")</f>
        <v/>
      </c>
      <c r="L13" s="37" t="str">
        <f>IF('Actual Figures'!L13&lt;&gt;"",'Actual Figures'!L13-'Budget Figures'!L13,"")</f>
        <v/>
      </c>
      <c r="M13" s="37" t="str">
        <f>IF('Actual Figures'!M13&lt;&gt;"",'Actual Figures'!M13-'Budget Figures'!M13,"")</f>
        <v/>
      </c>
      <c r="N13" s="37" t="str">
        <f>IF('Actual Figures'!N13&lt;&gt;"",'Actual Figures'!N13-'Budget Figures'!N13,"")</f>
        <v/>
      </c>
      <c r="O13" s="37" t="str">
        <f>IF('Actual Figures'!O13&lt;&gt;"",'Actual Figures'!O13-'Budget Figures'!O13,"")</f>
        <v/>
      </c>
      <c r="P13" s="61"/>
      <c r="Q13" s="37">
        <f t="shared" si="1"/>
        <v>0</v>
      </c>
      <c r="R13" s="2"/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1"/>
      <c r="B14" s="61"/>
      <c r="C14" s="64" t="str">
        <f>'Budget Figures'!C14</f>
        <v>Non GST Related Sales</v>
      </c>
      <c r="D14" s="37" t="str">
        <f>IF('Actual Figures'!D14&lt;&gt;"",'Actual Figures'!D14-'Budget Figures'!D14,"")</f>
        <v/>
      </c>
      <c r="E14" s="37" t="str">
        <f>IF('Actual Figures'!E14&lt;&gt;"",'Actual Figures'!E14-'Budget Figures'!E14,"")</f>
        <v/>
      </c>
      <c r="F14" s="37" t="str">
        <f>IF('Actual Figures'!F14&lt;&gt;"",'Actual Figures'!F14-'Budget Figures'!F14,"")</f>
        <v/>
      </c>
      <c r="G14" s="37" t="str">
        <f>IF('Actual Figures'!G14&lt;&gt;"",'Actual Figures'!G14-'Budget Figures'!G14,"")</f>
        <v/>
      </c>
      <c r="H14" s="37" t="str">
        <f>IF('Actual Figures'!H14&lt;&gt;"",'Actual Figures'!H14-'Budget Figures'!H14,"")</f>
        <v/>
      </c>
      <c r="I14" s="37" t="str">
        <f>IF('Actual Figures'!I14&lt;&gt;"",'Actual Figures'!I14-'Budget Figures'!I14,"")</f>
        <v/>
      </c>
      <c r="J14" s="37" t="str">
        <f>IF('Actual Figures'!J14&lt;&gt;"",'Actual Figures'!J14-'Budget Figures'!J14,"")</f>
        <v/>
      </c>
      <c r="K14" s="37" t="str">
        <f>IF('Actual Figures'!K14&lt;&gt;"",'Actual Figures'!K14-'Budget Figures'!K14,"")</f>
        <v/>
      </c>
      <c r="L14" s="37" t="str">
        <f>IF('Actual Figures'!L14&lt;&gt;"",'Actual Figures'!L14-'Budget Figures'!L14,"")</f>
        <v/>
      </c>
      <c r="M14" s="37" t="str">
        <f>IF('Actual Figures'!M14&lt;&gt;"",'Actual Figures'!M14-'Budget Figures'!M14,"")</f>
        <v/>
      </c>
      <c r="N14" s="37" t="str">
        <f>IF('Actual Figures'!N14&lt;&gt;"",'Actual Figures'!N14-'Budget Figures'!N14,"")</f>
        <v/>
      </c>
      <c r="O14" s="37" t="str">
        <f>IF('Actual Figures'!O14&lt;&gt;"",'Actual Figures'!O14-'Budget Figures'!O14,"")</f>
        <v/>
      </c>
      <c r="P14" s="61"/>
      <c r="Q14" s="37">
        <f t="shared" si="1"/>
        <v>0</v>
      </c>
      <c r="R14" s="2"/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1"/>
      <c r="B15" s="61"/>
      <c r="C15" s="29" t="str">
        <f>'Budget Figures'!C15</f>
        <v/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1"/>
      <c r="Q15" s="2"/>
      <c r="R15" s="2"/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1"/>
      <c r="B16" s="61"/>
      <c r="C16" s="64" t="str">
        <f>'Budget Figures'!C16</f>
        <v>SUBTOTAL DEPOSITS:</v>
      </c>
      <c r="D16" s="65">
        <f t="shared" ref="D16:O16" si="2">SUM(D9:D13)</f>
        <v>-10000</v>
      </c>
      <c r="E16" s="65">
        <f t="shared" si="2"/>
        <v>-17000</v>
      </c>
      <c r="F16" s="65">
        <f t="shared" si="2"/>
        <v>-25000</v>
      </c>
      <c r="G16" s="65">
        <f t="shared" si="2"/>
        <v>-1000</v>
      </c>
      <c r="H16" s="65">
        <f t="shared" si="2"/>
        <v>0</v>
      </c>
      <c r="I16" s="65">
        <f t="shared" si="2"/>
        <v>-4000</v>
      </c>
      <c r="J16" s="65">
        <f t="shared" si="2"/>
        <v>14500</v>
      </c>
      <c r="K16" s="65">
        <f t="shared" si="2"/>
        <v>3000</v>
      </c>
      <c r="L16" s="65">
        <f t="shared" si="2"/>
        <v>-5000</v>
      </c>
      <c r="M16" s="65">
        <f t="shared" si="2"/>
        <v>-9000</v>
      </c>
      <c r="N16" s="65">
        <f t="shared" si="2"/>
        <v>7000</v>
      </c>
      <c r="O16" s="65">
        <f t="shared" si="2"/>
        <v>-2800</v>
      </c>
      <c r="P16" s="61"/>
      <c r="Q16" s="65">
        <f>SUM(D16:O16)</f>
        <v>-49300</v>
      </c>
      <c r="R16" s="2"/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"/>
      <c r="B17" s="61"/>
      <c r="C17" s="29" t="str">
        <f>'Budget Figures'!C17</f>
        <v/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61"/>
      <c r="Q17" s="25"/>
      <c r="R17" s="2"/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1"/>
      <c r="B18" s="61"/>
      <c r="C18" s="66" t="str">
        <f>'Budget Figures'!C18</f>
        <v>WITHDRAWALS (Expenses)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61"/>
      <c r="Q18" s="25"/>
      <c r="R18" s="2"/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0" customHeight="1">
      <c r="A19" s="1"/>
      <c r="B19" s="61"/>
      <c r="C19" s="29" t="str">
        <f>'Budget Figures'!C19</f>
        <v/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61"/>
      <c r="Q19" s="2"/>
      <c r="R19" s="2"/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1"/>
      <c r="B20" s="61"/>
      <c r="C20" s="63" t="str">
        <f>'Budget Figures'!C20</f>
        <v>Car</v>
      </c>
      <c r="D20" s="37">
        <f>IF('Actual Figures'!D20&lt;&gt;"",'Actual Figures'!D20-'Budget Figures'!D20,"")</f>
        <v>-50</v>
      </c>
      <c r="E20" s="37">
        <f>IF('Actual Figures'!E20&lt;&gt;"",'Actual Figures'!E20-'Budget Figures'!E20,"")</f>
        <v>-50</v>
      </c>
      <c r="F20" s="37">
        <f>IF('Actual Figures'!F20&lt;&gt;"",'Actual Figures'!F20-'Budget Figures'!F20,"")</f>
        <v>-50</v>
      </c>
      <c r="G20" s="37">
        <f>IF('Actual Figures'!G20&lt;&gt;"",'Actual Figures'!G20-'Budget Figures'!G20,"")</f>
        <v>-50</v>
      </c>
      <c r="H20" s="37">
        <f>IF('Actual Figures'!H20&lt;&gt;"",'Actual Figures'!H20-'Budget Figures'!H20,"")</f>
        <v>-50</v>
      </c>
      <c r="I20" s="37">
        <f>IF('Actual Figures'!I20&lt;&gt;"",'Actual Figures'!I20-'Budget Figures'!I20,"")</f>
        <v>-50</v>
      </c>
      <c r="J20" s="37">
        <f>IF('Actual Figures'!J20&lt;&gt;"",'Actual Figures'!J20-'Budget Figures'!J20,"")</f>
        <v>-50</v>
      </c>
      <c r="K20" s="37">
        <f>IF('Actual Figures'!K20&lt;&gt;"",'Actual Figures'!K20-'Budget Figures'!K20,"")</f>
        <v>-50</v>
      </c>
      <c r="L20" s="37">
        <f>IF('Actual Figures'!L20&lt;&gt;"",'Actual Figures'!L20-'Budget Figures'!L20,"")</f>
        <v>-50</v>
      </c>
      <c r="M20" s="37">
        <f>IF('Actual Figures'!M20&lt;&gt;"",'Actual Figures'!M20-'Budget Figures'!M20,"")</f>
        <v>-50</v>
      </c>
      <c r="N20" s="37">
        <f>IF('Actual Figures'!N20&lt;&gt;"",'Actual Figures'!N20-'Budget Figures'!N20,"")</f>
        <v>-50</v>
      </c>
      <c r="O20" s="37">
        <f>IF('Actual Figures'!O20&lt;&gt;"",'Actual Figures'!O20-'Budget Figures'!O20,"")</f>
        <v>-50</v>
      </c>
      <c r="P20" s="61"/>
      <c r="Q20" s="37">
        <f t="shared" ref="Q20:Q46" si="3">SUM(D20:O20)</f>
        <v>-600</v>
      </c>
      <c r="R20" s="2"/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1"/>
      <c r="B21" s="61"/>
      <c r="C21" s="63" t="str">
        <f>'Budget Figures'!C21</f>
        <v>Bank Fees</v>
      </c>
      <c r="D21" s="37" t="str">
        <f>IF('Actual Figures'!D21&lt;&gt;"",'Actual Figures'!D21-'Budget Figures'!D21,"")</f>
        <v/>
      </c>
      <c r="E21" s="37" t="str">
        <f>IF('Actual Figures'!E21&lt;&gt;"",'Actual Figures'!E21-'Budget Figures'!E21,"")</f>
        <v/>
      </c>
      <c r="F21" s="37" t="str">
        <f>IF('Actual Figures'!F21&lt;&gt;"",'Actual Figures'!F21-'Budget Figures'!F21,"")</f>
        <v/>
      </c>
      <c r="G21" s="37" t="str">
        <f>IF('Actual Figures'!G21&lt;&gt;"",'Actual Figures'!G21-'Budget Figures'!G21,"")</f>
        <v/>
      </c>
      <c r="H21" s="37" t="str">
        <f>IF('Actual Figures'!H21&lt;&gt;"",'Actual Figures'!H21-'Budget Figures'!H21,"")</f>
        <v/>
      </c>
      <c r="I21" s="37" t="str">
        <f>IF('Actual Figures'!I21&lt;&gt;"",'Actual Figures'!I21-'Budget Figures'!I21,"")</f>
        <v/>
      </c>
      <c r="J21" s="37" t="str">
        <f>IF('Actual Figures'!J21&lt;&gt;"",'Actual Figures'!J21-'Budget Figures'!J21,"")</f>
        <v/>
      </c>
      <c r="K21" s="37" t="str">
        <f>IF('Actual Figures'!K21&lt;&gt;"",'Actual Figures'!K21-'Budget Figures'!K21,"")</f>
        <v/>
      </c>
      <c r="L21" s="37" t="str">
        <f>IF('Actual Figures'!L21&lt;&gt;"",'Actual Figures'!L21-'Budget Figures'!L21,"")</f>
        <v/>
      </c>
      <c r="M21" s="37" t="str">
        <f>IF('Actual Figures'!M21&lt;&gt;"",'Actual Figures'!M21-'Budget Figures'!M21,"")</f>
        <v/>
      </c>
      <c r="N21" s="37" t="str">
        <f>IF('Actual Figures'!N21&lt;&gt;"",'Actual Figures'!N21-'Budget Figures'!N21,"")</f>
        <v/>
      </c>
      <c r="O21" s="37" t="str">
        <f>IF('Actual Figures'!O21&lt;&gt;"",'Actual Figures'!O21-'Budget Figures'!O21,"")</f>
        <v/>
      </c>
      <c r="P21" s="61"/>
      <c r="Q21" s="37">
        <f t="shared" si="3"/>
        <v>0</v>
      </c>
      <c r="R21" s="2"/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1"/>
      <c r="B22" s="61"/>
      <c r="C22" s="63" t="str">
        <f>'Budget Figures'!C22</f>
        <v>Credit Card Charges</v>
      </c>
      <c r="D22" s="37" t="str">
        <f>IF('Actual Figures'!D22&lt;&gt;"",'Actual Figures'!D22-'Budget Figures'!D22,"")</f>
        <v/>
      </c>
      <c r="E22" s="37" t="str">
        <f>IF('Actual Figures'!E22&lt;&gt;"",'Actual Figures'!E22-'Budget Figures'!E22,"")</f>
        <v/>
      </c>
      <c r="F22" s="37" t="str">
        <f>IF('Actual Figures'!F22&lt;&gt;"",'Actual Figures'!F22-'Budget Figures'!F22,"")</f>
        <v/>
      </c>
      <c r="G22" s="37" t="str">
        <f>IF('Actual Figures'!G22&lt;&gt;"",'Actual Figures'!G22-'Budget Figures'!G22,"")</f>
        <v/>
      </c>
      <c r="H22" s="37" t="str">
        <f>IF('Actual Figures'!H22&lt;&gt;"",'Actual Figures'!H22-'Budget Figures'!H22,"")</f>
        <v/>
      </c>
      <c r="I22" s="37" t="str">
        <f>IF('Actual Figures'!I22&lt;&gt;"",'Actual Figures'!I22-'Budget Figures'!I22,"")</f>
        <v/>
      </c>
      <c r="J22" s="37" t="str">
        <f>IF('Actual Figures'!J22&lt;&gt;"",'Actual Figures'!J22-'Budget Figures'!J22,"")</f>
        <v/>
      </c>
      <c r="K22" s="37" t="str">
        <f>IF('Actual Figures'!K22&lt;&gt;"",'Actual Figures'!K22-'Budget Figures'!K22,"")</f>
        <v/>
      </c>
      <c r="L22" s="37" t="str">
        <f>IF('Actual Figures'!L22&lt;&gt;"",'Actual Figures'!L22-'Budget Figures'!L22,"")</f>
        <v/>
      </c>
      <c r="M22" s="37" t="str">
        <f>IF('Actual Figures'!M22&lt;&gt;"",'Actual Figures'!M22-'Budget Figures'!M22,"")</f>
        <v/>
      </c>
      <c r="N22" s="37" t="str">
        <f>IF('Actual Figures'!N22&lt;&gt;"",'Actual Figures'!N22-'Budget Figures'!N22,"")</f>
        <v/>
      </c>
      <c r="O22" s="37" t="str">
        <f>IF('Actual Figures'!O22&lt;&gt;"",'Actual Figures'!O22-'Budget Figures'!O22,"")</f>
        <v/>
      </c>
      <c r="P22" s="61"/>
      <c r="Q22" s="37">
        <f t="shared" si="3"/>
        <v>0</v>
      </c>
      <c r="R22" s="2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1"/>
      <c r="B23" s="61"/>
      <c r="C23" s="63" t="str">
        <f>'Budget Figures'!C23</f>
        <v>Computer ( Hardware &amp; Software)</v>
      </c>
      <c r="D23" s="37" t="str">
        <f>IF('Actual Figures'!D23&lt;&gt;"",'Actual Figures'!D23-'Budget Figures'!D23,"")</f>
        <v/>
      </c>
      <c r="E23" s="37" t="str">
        <f>IF('Actual Figures'!E23&lt;&gt;"",'Actual Figures'!E23-'Budget Figures'!E23,"")</f>
        <v/>
      </c>
      <c r="F23" s="37" t="str">
        <f>IF('Actual Figures'!F23&lt;&gt;"",'Actual Figures'!F23-'Budget Figures'!F23,"")</f>
        <v/>
      </c>
      <c r="G23" s="37" t="str">
        <f>IF('Actual Figures'!G23&lt;&gt;"",'Actual Figures'!G23-'Budget Figures'!G23,"")</f>
        <v/>
      </c>
      <c r="H23" s="37" t="str">
        <f>IF('Actual Figures'!H23&lt;&gt;"",'Actual Figures'!H23-'Budget Figures'!H23,"")</f>
        <v/>
      </c>
      <c r="I23" s="37" t="str">
        <f>IF('Actual Figures'!I23&lt;&gt;"",'Actual Figures'!I23-'Budget Figures'!I23,"")</f>
        <v/>
      </c>
      <c r="J23" s="37" t="str">
        <f>IF('Actual Figures'!J23&lt;&gt;"",'Actual Figures'!J23-'Budget Figures'!J23,"")</f>
        <v/>
      </c>
      <c r="K23" s="37" t="str">
        <f>IF('Actual Figures'!K23&lt;&gt;"",'Actual Figures'!K23-'Budget Figures'!K23,"")</f>
        <v/>
      </c>
      <c r="L23" s="37" t="str">
        <f>IF('Actual Figures'!L23&lt;&gt;"",'Actual Figures'!L23-'Budget Figures'!L23,"")</f>
        <v/>
      </c>
      <c r="M23" s="37" t="str">
        <f>IF('Actual Figures'!M23&lt;&gt;"",'Actual Figures'!M23-'Budget Figures'!M23,"")</f>
        <v/>
      </c>
      <c r="N23" s="37" t="str">
        <f>IF('Actual Figures'!N23&lt;&gt;"",'Actual Figures'!N23-'Budget Figures'!N23,"")</f>
        <v/>
      </c>
      <c r="O23" s="37" t="str">
        <f>IF('Actual Figures'!O23&lt;&gt;"",'Actual Figures'!O23-'Budget Figures'!O23,"")</f>
        <v/>
      </c>
      <c r="P23" s="61"/>
      <c r="Q23" s="37">
        <f t="shared" si="3"/>
        <v>0</v>
      </c>
      <c r="R23" s="2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1"/>
      <c r="B24" s="61"/>
      <c r="C24" s="63" t="str">
        <f>'Budget Figures'!C24</f>
        <v>Entertainment</v>
      </c>
      <c r="D24" s="37">
        <f>IF('Actual Figures'!D24&lt;&gt;"",'Actual Figures'!D24-'Budget Figures'!D24,"")</f>
        <v>100</v>
      </c>
      <c r="E24" s="37">
        <f>IF('Actual Figures'!E24&lt;&gt;"",'Actual Figures'!E24-'Budget Figures'!E24,"")</f>
        <v>100</v>
      </c>
      <c r="F24" s="37">
        <f>IF('Actual Figures'!F24&lt;&gt;"",'Actual Figures'!F24-'Budget Figures'!F24,"")</f>
        <v>100</v>
      </c>
      <c r="G24" s="37">
        <f>IF('Actual Figures'!G24&lt;&gt;"",'Actual Figures'!G24-'Budget Figures'!G24,"")</f>
        <v>100</v>
      </c>
      <c r="H24" s="37">
        <f>IF('Actual Figures'!H24&lt;&gt;"",'Actual Figures'!H24-'Budget Figures'!H24,"")</f>
        <v>100</v>
      </c>
      <c r="I24" s="37">
        <f>IF('Actual Figures'!I24&lt;&gt;"",'Actual Figures'!I24-'Budget Figures'!I24,"")</f>
        <v>100</v>
      </c>
      <c r="J24" s="37">
        <f>IF('Actual Figures'!J24&lt;&gt;"",'Actual Figures'!J24-'Budget Figures'!J24,"")</f>
        <v>100</v>
      </c>
      <c r="K24" s="37">
        <f>IF('Actual Figures'!K24&lt;&gt;"",'Actual Figures'!K24-'Budget Figures'!K24,"")</f>
        <v>100</v>
      </c>
      <c r="L24" s="37">
        <f>IF('Actual Figures'!L24&lt;&gt;"",'Actual Figures'!L24-'Budget Figures'!L24,"")</f>
        <v>100</v>
      </c>
      <c r="M24" s="37">
        <f>IF('Actual Figures'!M24&lt;&gt;"",'Actual Figures'!M24-'Budget Figures'!M24,"")</f>
        <v>100</v>
      </c>
      <c r="N24" s="37">
        <f>IF('Actual Figures'!N24&lt;&gt;"",'Actual Figures'!N24-'Budget Figures'!N24,"")</f>
        <v>100</v>
      </c>
      <c r="O24" s="37">
        <f>IF('Actual Figures'!O24&lt;&gt;"",'Actual Figures'!O24-'Budget Figures'!O24,"")</f>
        <v>100</v>
      </c>
      <c r="P24" s="61"/>
      <c r="Q24" s="37">
        <f t="shared" si="3"/>
        <v>1200</v>
      </c>
      <c r="R24" s="2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1"/>
      <c r="B25" s="61"/>
      <c r="C25" s="63" t="str">
        <f>'Budget Figures'!C25</f>
        <v>General Expenses</v>
      </c>
      <c r="D25" s="37" t="str">
        <f>IF('Actual Figures'!D25&lt;&gt;"",'Actual Figures'!D25-'Budget Figures'!D25,"")</f>
        <v/>
      </c>
      <c r="E25" s="37" t="str">
        <f>IF('Actual Figures'!E25&lt;&gt;"",'Actual Figures'!E25-'Budget Figures'!E25,"")</f>
        <v/>
      </c>
      <c r="F25" s="37" t="str">
        <f>IF('Actual Figures'!F25&lt;&gt;"",'Actual Figures'!F25-'Budget Figures'!F25,"")</f>
        <v/>
      </c>
      <c r="G25" s="37" t="str">
        <f>IF('Actual Figures'!G25&lt;&gt;"",'Actual Figures'!G25-'Budget Figures'!G25,"")</f>
        <v/>
      </c>
      <c r="H25" s="37" t="str">
        <f>IF('Actual Figures'!H25&lt;&gt;"",'Actual Figures'!H25-'Budget Figures'!H25,"")</f>
        <v/>
      </c>
      <c r="I25" s="37" t="str">
        <f>IF('Actual Figures'!I25&lt;&gt;"",'Actual Figures'!I25-'Budget Figures'!I25,"")</f>
        <v/>
      </c>
      <c r="J25" s="37" t="str">
        <f>IF('Actual Figures'!J25&lt;&gt;"",'Actual Figures'!J25-'Budget Figures'!J25,"")</f>
        <v/>
      </c>
      <c r="K25" s="37" t="str">
        <f>IF('Actual Figures'!K25&lt;&gt;"",'Actual Figures'!K25-'Budget Figures'!K25,"")</f>
        <v/>
      </c>
      <c r="L25" s="37" t="str">
        <f>IF('Actual Figures'!L25&lt;&gt;"",'Actual Figures'!L25-'Budget Figures'!L25,"")</f>
        <v/>
      </c>
      <c r="M25" s="37" t="str">
        <f>IF('Actual Figures'!M25&lt;&gt;"",'Actual Figures'!M25-'Budget Figures'!M25,"")</f>
        <v/>
      </c>
      <c r="N25" s="37" t="str">
        <f>IF('Actual Figures'!N25&lt;&gt;"",'Actual Figures'!N25-'Budget Figures'!N25,"")</f>
        <v/>
      </c>
      <c r="O25" s="37" t="str">
        <f>IF('Actual Figures'!O25&lt;&gt;"",'Actual Figures'!O25-'Budget Figures'!O25,"")</f>
        <v/>
      </c>
      <c r="P25" s="61"/>
      <c r="Q25" s="37">
        <f t="shared" si="3"/>
        <v>0</v>
      </c>
      <c r="R25" s="2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1">
      <c r="A26" s="1"/>
      <c r="B26" s="61"/>
      <c r="C26" s="63" t="str">
        <f>'Budget Figures'!C26</f>
        <v>Printing </v>
      </c>
      <c r="D26" s="37">
        <f>IF('Actual Figures'!D26&lt;&gt;"",'Actual Figures'!D26-'Budget Figures'!D26,"")</f>
        <v>175</v>
      </c>
      <c r="E26" s="37">
        <f>IF('Actual Figures'!E26&lt;&gt;"",'Actual Figures'!E26-'Budget Figures'!E26,"")</f>
        <v>175</v>
      </c>
      <c r="F26" s="37">
        <f>IF('Actual Figures'!F26&lt;&gt;"",'Actual Figures'!F26-'Budget Figures'!F26,"")</f>
        <v>175</v>
      </c>
      <c r="G26" s="37">
        <f>IF('Actual Figures'!G26&lt;&gt;"",'Actual Figures'!G26-'Budget Figures'!G26,"")</f>
        <v>175</v>
      </c>
      <c r="H26" s="37">
        <f>IF('Actual Figures'!H26&lt;&gt;"",'Actual Figures'!H26-'Budget Figures'!H26,"")</f>
        <v>175</v>
      </c>
      <c r="I26" s="37">
        <f>IF('Actual Figures'!I26&lt;&gt;"",'Actual Figures'!I26-'Budget Figures'!I26,"")</f>
        <v>175</v>
      </c>
      <c r="J26" s="37">
        <f>IF('Actual Figures'!J26&lt;&gt;"",'Actual Figures'!J26-'Budget Figures'!J26,"")</f>
        <v>175</v>
      </c>
      <c r="K26" s="37">
        <f>IF('Actual Figures'!K26&lt;&gt;"",'Actual Figures'!K26-'Budget Figures'!K26,"")</f>
        <v>175</v>
      </c>
      <c r="L26" s="37">
        <f>IF('Actual Figures'!L26&lt;&gt;"",'Actual Figures'!L26-'Budget Figures'!L26,"")</f>
        <v>175</v>
      </c>
      <c r="M26" s="37">
        <f>IF('Actual Figures'!M26&lt;&gt;"",'Actual Figures'!M26-'Budget Figures'!M26,"")</f>
        <v>175</v>
      </c>
      <c r="N26" s="37">
        <f>IF('Actual Figures'!N26&lt;&gt;"",'Actual Figures'!N26-'Budget Figures'!N26,"")</f>
        <v>175</v>
      </c>
      <c r="O26" s="37">
        <f>IF('Actual Figures'!O26&lt;&gt;"",'Actual Figures'!O26-'Budget Figures'!O26,"")</f>
        <v>175</v>
      </c>
      <c r="P26" s="61"/>
      <c r="Q26" s="37">
        <f t="shared" si="3"/>
        <v>2100</v>
      </c>
      <c r="R26" s="2"/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1">
      <c r="A27" s="1"/>
      <c r="B27" s="61"/>
      <c r="C27" s="63" t="str">
        <f>'Budget Figures'!C27</f>
        <v>Stationary &amp; Supplies</v>
      </c>
      <c r="D27" s="37" t="str">
        <f>IF('Actual Figures'!D27&lt;&gt;"",'Actual Figures'!D27-'Budget Figures'!D27,"")</f>
        <v/>
      </c>
      <c r="E27" s="37" t="str">
        <f>IF('Actual Figures'!E27&lt;&gt;"",'Actual Figures'!E27-'Budget Figures'!E27,"")</f>
        <v/>
      </c>
      <c r="F27" s="37" t="str">
        <f>IF('Actual Figures'!F27&lt;&gt;"",'Actual Figures'!F27-'Budget Figures'!F27,"")</f>
        <v/>
      </c>
      <c r="G27" s="37" t="str">
        <f>IF('Actual Figures'!G27&lt;&gt;"",'Actual Figures'!G27-'Budget Figures'!G27,"")</f>
        <v/>
      </c>
      <c r="H27" s="37" t="str">
        <f>IF('Actual Figures'!H27&lt;&gt;"",'Actual Figures'!H27-'Budget Figures'!H27,"")</f>
        <v/>
      </c>
      <c r="I27" s="37" t="str">
        <f>IF('Actual Figures'!I27&lt;&gt;"",'Actual Figures'!I27-'Budget Figures'!I27,"")</f>
        <v/>
      </c>
      <c r="J27" s="37" t="str">
        <f>IF('Actual Figures'!J27&lt;&gt;"",'Actual Figures'!J27-'Budget Figures'!J27,"")</f>
        <v/>
      </c>
      <c r="K27" s="37" t="str">
        <f>IF('Actual Figures'!K27&lt;&gt;"",'Actual Figures'!K27-'Budget Figures'!K27,"")</f>
        <v/>
      </c>
      <c r="L27" s="37" t="str">
        <f>IF('Actual Figures'!L27&lt;&gt;"",'Actual Figures'!L27-'Budget Figures'!L27,"")</f>
        <v/>
      </c>
      <c r="M27" s="37" t="str">
        <f>IF('Actual Figures'!M27&lt;&gt;"",'Actual Figures'!M27-'Budget Figures'!M27,"")</f>
        <v/>
      </c>
      <c r="N27" s="37" t="str">
        <f>IF('Actual Figures'!N27&lt;&gt;"",'Actual Figures'!N27-'Budget Figures'!N27,"")</f>
        <v/>
      </c>
      <c r="O27" s="37" t="str">
        <f>IF('Actual Figures'!O27&lt;&gt;"",'Actual Figures'!O27-'Budget Figures'!O27,"")</f>
        <v/>
      </c>
      <c r="P27" s="61"/>
      <c r="Q27" s="37">
        <f t="shared" si="3"/>
        <v>0</v>
      </c>
      <c r="R27" s="2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1"/>
      <c r="B28" s="61"/>
      <c r="C28" s="63" t="str">
        <f>'Budget Figures'!C28</f>
        <v>Vehicle Leases</v>
      </c>
      <c r="D28" s="37">
        <f>IF('Actual Figures'!D28&lt;&gt;"",'Actual Figures'!D28-'Budget Figures'!D28,"")</f>
        <v>50</v>
      </c>
      <c r="E28" s="37">
        <f>IF('Actual Figures'!E28&lt;&gt;"",'Actual Figures'!E28-'Budget Figures'!E28,"")</f>
        <v>50</v>
      </c>
      <c r="F28" s="37">
        <f>IF('Actual Figures'!F28&lt;&gt;"",'Actual Figures'!F28-'Budget Figures'!F28,"")</f>
        <v>50</v>
      </c>
      <c r="G28" s="37">
        <f>IF('Actual Figures'!G28&lt;&gt;"",'Actual Figures'!G28-'Budget Figures'!G28,"")</f>
        <v>50</v>
      </c>
      <c r="H28" s="37">
        <f>IF('Actual Figures'!H28&lt;&gt;"",'Actual Figures'!H28-'Budget Figures'!H28,"")</f>
        <v>50</v>
      </c>
      <c r="I28" s="37">
        <f>IF('Actual Figures'!I28&lt;&gt;"",'Actual Figures'!I28-'Budget Figures'!I28,"")</f>
        <v>50</v>
      </c>
      <c r="J28" s="37">
        <f>IF('Actual Figures'!J28&lt;&gt;"",'Actual Figures'!J28-'Budget Figures'!J28,"")</f>
        <v>50</v>
      </c>
      <c r="K28" s="37">
        <f>IF('Actual Figures'!K28&lt;&gt;"",'Actual Figures'!K28-'Budget Figures'!K28,"")</f>
        <v>50</v>
      </c>
      <c r="L28" s="37">
        <f>IF('Actual Figures'!L28&lt;&gt;"",'Actual Figures'!L28-'Budget Figures'!L28,"")</f>
        <v>50</v>
      </c>
      <c r="M28" s="37">
        <f>IF('Actual Figures'!M28&lt;&gt;"",'Actual Figures'!M28-'Budget Figures'!M28,"")</f>
        <v>50</v>
      </c>
      <c r="N28" s="37">
        <f>IF('Actual Figures'!N28&lt;&gt;"",'Actual Figures'!N28-'Budget Figures'!N28,"")</f>
        <v>50</v>
      </c>
      <c r="O28" s="37">
        <f>IF('Actual Figures'!O28&lt;&gt;"",'Actual Figures'!O28-'Budget Figures'!O28,"")</f>
        <v>50</v>
      </c>
      <c r="P28" s="61"/>
      <c r="Q28" s="37">
        <f t="shared" si="3"/>
        <v>600</v>
      </c>
      <c r="R28" s="2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1"/>
      <c r="B29" s="61"/>
      <c r="C29" s="63" t="str">
        <f>'Budget Figures'!C29</f>
        <v>Telephone, Tolls &amp; E-Mail</v>
      </c>
      <c r="D29" s="37" t="str">
        <f>IF('Actual Figures'!D29&lt;&gt;"",'Actual Figures'!D29-'Budget Figures'!D29,"")</f>
        <v/>
      </c>
      <c r="E29" s="37" t="str">
        <f>IF('Actual Figures'!E29&lt;&gt;"",'Actual Figures'!E29-'Budget Figures'!E29,"")</f>
        <v/>
      </c>
      <c r="F29" s="37" t="str">
        <f>IF('Actual Figures'!F29&lt;&gt;"",'Actual Figures'!F29-'Budget Figures'!F29,"")</f>
        <v/>
      </c>
      <c r="G29" s="37" t="str">
        <f>IF('Actual Figures'!G29&lt;&gt;"",'Actual Figures'!G29-'Budget Figures'!G29,"")</f>
        <v/>
      </c>
      <c r="H29" s="37" t="str">
        <f>IF('Actual Figures'!H29&lt;&gt;"",'Actual Figures'!H29-'Budget Figures'!H29,"")</f>
        <v/>
      </c>
      <c r="I29" s="37" t="str">
        <f>IF('Actual Figures'!I29&lt;&gt;"",'Actual Figures'!I29-'Budget Figures'!I29,"")</f>
        <v/>
      </c>
      <c r="J29" s="37" t="str">
        <f>IF('Actual Figures'!J29&lt;&gt;"",'Actual Figures'!J29-'Budget Figures'!J29,"")</f>
        <v/>
      </c>
      <c r="K29" s="37" t="str">
        <f>IF('Actual Figures'!K29&lt;&gt;"",'Actual Figures'!K29-'Budget Figures'!K29,"")</f>
        <v/>
      </c>
      <c r="L29" s="37" t="str">
        <f>IF('Actual Figures'!L29&lt;&gt;"",'Actual Figures'!L29-'Budget Figures'!L29,"")</f>
        <v/>
      </c>
      <c r="M29" s="37" t="str">
        <f>IF('Actual Figures'!M29&lt;&gt;"",'Actual Figures'!M29-'Budget Figures'!M29,"")</f>
        <v/>
      </c>
      <c r="N29" s="37" t="str">
        <f>IF('Actual Figures'!N29&lt;&gt;"",'Actual Figures'!N29-'Budget Figures'!N29,"")</f>
        <v/>
      </c>
      <c r="O29" s="37" t="str">
        <f>IF('Actual Figures'!O29&lt;&gt;"",'Actual Figures'!O29-'Budget Figures'!O29,"")</f>
        <v/>
      </c>
      <c r="P29" s="61"/>
      <c r="Q29" s="37">
        <f t="shared" si="3"/>
        <v>0</v>
      </c>
      <c r="R29" s="2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1"/>
      <c r="B30" s="61"/>
      <c r="C30" s="63" t="str">
        <f>'Budget Figures'!C30</f>
        <v>Cell Phone</v>
      </c>
      <c r="D30" s="37" t="str">
        <f>IF('Actual Figures'!D30&lt;&gt;"",'Actual Figures'!D30-'Budget Figures'!D30,"")</f>
        <v/>
      </c>
      <c r="E30" s="37" t="str">
        <f>IF('Actual Figures'!E30&lt;&gt;"",'Actual Figures'!E30-'Budget Figures'!E30,"")</f>
        <v/>
      </c>
      <c r="F30" s="37" t="str">
        <f>IF('Actual Figures'!F30&lt;&gt;"",'Actual Figures'!F30-'Budget Figures'!F30,"")</f>
        <v/>
      </c>
      <c r="G30" s="37" t="str">
        <f>IF('Actual Figures'!G30&lt;&gt;"",'Actual Figures'!G30-'Budget Figures'!G30,"")</f>
        <v/>
      </c>
      <c r="H30" s="37" t="str">
        <f>IF('Actual Figures'!H30&lt;&gt;"",'Actual Figures'!H30-'Budget Figures'!H30,"")</f>
        <v/>
      </c>
      <c r="I30" s="37" t="str">
        <f>IF('Actual Figures'!I30&lt;&gt;"",'Actual Figures'!I30-'Budget Figures'!I30,"")</f>
        <v/>
      </c>
      <c r="J30" s="37" t="str">
        <f>IF('Actual Figures'!J30&lt;&gt;"",'Actual Figures'!J30-'Budget Figures'!J30,"")</f>
        <v/>
      </c>
      <c r="K30" s="37" t="str">
        <f>IF('Actual Figures'!K30&lt;&gt;"",'Actual Figures'!K30-'Budget Figures'!K30,"")</f>
        <v/>
      </c>
      <c r="L30" s="37" t="str">
        <f>IF('Actual Figures'!L30&lt;&gt;"",'Actual Figures'!L30-'Budget Figures'!L30,"")</f>
        <v/>
      </c>
      <c r="M30" s="37" t="str">
        <f>IF('Actual Figures'!M30&lt;&gt;"",'Actual Figures'!M30-'Budget Figures'!M30,"")</f>
        <v/>
      </c>
      <c r="N30" s="37" t="str">
        <f>IF('Actual Figures'!N30&lt;&gt;"",'Actual Figures'!N30-'Budget Figures'!N30,"")</f>
        <v/>
      </c>
      <c r="O30" s="37" t="str">
        <f>IF('Actual Figures'!O30&lt;&gt;"",'Actual Figures'!O30-'Budget Figures'!O30,"")</f>
        <v/>
      </c>
      <c r="P30" s="61"/>
      <c r="Q30" s="37">
        <f t="shared" si="3"/>
        <v>0</v>
      </c>
      <c r="R30" s="2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1"/>
      <c r="B31" s="61"/>
      <c r="C31" s="63" t="str">
        <f>'Budget Figures'!C31</f>
        <v>Travelling &amp; Accomodation</v>
      </c>
      <c r="D31" s="37" t="str">
        <f>IF('Actual Figures'!D31&lt;&gt;"",'Actual Figures'!D31-'Budget Figures'!D31,"")</f>
        <v/>
      </c>
      <c r="E31" s="37" t="str">
        <f>IF('Actual Figures'!E31&lt;&gt;"",'Actual Figures'!E31-'Budget Figures'!E31,"")</f>
        <v/>
      </c>
      <c r="F31" s="37" t="str">
        <f>IF('Actual Figures'!F31&lt;&gt;"",'Actual Figures'!F31-'Budget Figures'!F31,"")</f>
        <v/>
      </c>
      <c r="G31" s="37" t="str">
        <f>IF('Actual Figures'!G31&lt;&gt;"",'Actual Figures'!G31-'Budget Figures'!G31,"")</f>
        <v/>
      </c>
      <c r="H31" s="37" t="str">
        <f>IF('Actual Figures'!H31&lt;&gt;"",'Actual Figures'!H31-'Budget Figures'!H31,"")</f>
        <v/>
      </c>
      <c r="I31" s="37" t="str">
        <f>IF('Actual Figures'!I31&lt;&gt;"",'Actual Figures'!I31-'Budget Figures'!I31,"")</f>
        <v/>
      </c>
      <c r="J31" s="37" t="str">
        <f>IF('Actual Figures'!J31&lt;&gt;"",'Actual Figures'!J31-'Budget Figures'!J31,"")</f>
        <v/>
      </c>
      <c r="K31" s="37" t="str">
        <f>IF('Actual Figures'!K31&lt;&gt;"",'Actual Figures'!K31-'Budget Figures'!K31,"")</f>
        <v/>
      </c>
      <c r="L31" s="37" t="str">
        <f>IF('Actual Figures'!L31&lt;&gt;"",'Actual Figures'!L31-'Budget Figures'!L31,"")</f>
        <v/>
      </c>
      <c r="M31" s="37" t="str">
        <f>IF('Actual Figures'!M31&lt;&gt;"",'Actual Figures'!M31-'Budget Figures'!M31,"")</f>
        <v/>
      </c>
      <c r="N31" s="37" t="str">
        <f>IF('Actual Figures'!N31&lt;&gt;"",'Actual Figures'!N31-'Budget Figures'!N31,"")</f>
        <v/>
      </c>
      <c r="O31" s="37" t="str">
        <f>IF('Actual Figures'!O31&lt;&gt;"",'Actual Figures'!O31-'Budget Figures'!O31,"")</f>
        <v/>
      </c>
      <c r="P31" s="61"/>
      <c r="Q31" s="37">
        <f t="shared" si="3"/>
        <v>0</v>
      </c>
      <c r="R31" s="2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1"/>
      <c r="B32" s="61"/>
      <c r="C32" s="63" t="str">
        <f>'Budget Figures'!C32</f>
        <v>Insurance</v>
      </c>
      <c r="D32" s="37" t="str">
        <f>IF('Actual Figures'!D32&lt;&gt;"",'Actual Figures'!D32-'Budget Figures'!D32,"")</f>
        <v/>
      </c>
      <c r="E32" s="37" t="str">
        <f>IF('Actual Figures'!E32&lt;&gt;"",'Actual Figures'!E32-'Budget Figures'!E32,"")</f>
        <v/>
      </c>
      <c r="F32" s="37" t="str">
        <f>IF('Actual Figures'!F32&lt;&gt;"",'Actual Figures'!F32-'Budget Figures'!F32,"")</f>
        <v/>
      </c>
      <c r="G32" s="37" t="str">
        <f>IF('Actual Figures'!G32&lt;&gt;"",'Actual Figures'!G32-'Budget Figures'!G32,"")</f>
        <v/>
      </c>
      <c r="H32" s="37" t="str">
        <f>IF('Actual Figures'!H32&lt;&gt;"",'Actual Figures'!H32-'Budget Figures'!H32,"")</f>
        <v/>
      </c>
      <c r="I32" s="37" t="str">
        <f>IF('Actual Figures'!I32&lt;&gt;"",'Actual Figures'!I32-'Budget Figures'!I32,"")</f>
        <v/>
      </c>
      <c r="J32" s="37" t="str">
        <f>IF('Actual Figures'!J32&lt;&gt;"",'Actual Figures'!J32-'Budget Figures'!J32,"")</f>
        <v/>
      </c>
      <c r="K32" s="37" t="str">
        <f>IF('Actual Figures'!K32&lt;&gt;"",'Actual Figures'!K32-'Budget Figures'!K32,"")</f>
        <v/>
      </c>
      <c r="L32" s="37" t="str">
        <f>IF('Actual Figures'!L32&lt;&gt;"",'Actual Figures'!L32-'Budget Figures'!L32,"")</f>
        <v/>
      </c>
      <c r="M32" s="37" t="str">
        <f>IF('Actual Figures'!M32&lt;&gt;"",'Actual Figures'!M32-'Budget Figures'!M32,"")</f>
        <v/>
      </c>
      <c r="N32" s="37" t="str">
        <f>IF('Actual Figures'!N32&lt;&gt;"",'Actual Figures'!N32-'Budget Figures'!N32,"")</f>
        <v/>
      </c>
      <c r="O32" s="37" t="str">
        <f>IF('Actual Figures'!O32&lt;&gt;"",'Actual Figures'!O32-'Budget Figures'!O32,"")</f>
        <v/>
      </c>
      <c r="P32" s="61"/>
      <c r="Q32" s="37">
        <f t="shared" si="3"/>
        <v>0</v>
      </c>
      <c r="R32" s="2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1">
      <c r="A33" s="1"/>
      <c r="B33" s="61"/>
      <c r="C33" s="63" t="str">
        <f>'Budget Figures'!C33</f>
        <v>Accounting</v>
      </c>
      <c r="D33" s="37">
        <f>IF('Actual Figures'!D33&lt;&gt;"",'Actual Figures'!D33-'Budget Figures'!D33,"")</f>
        <v>0</v>
      </c>
      <c r="E33" s="37">
        <f>IF('Actual Figures'!E33&lt;&gt;"",'Actual Figures'!E33-'Budget Figures'!E33,"")</f>
        <v>0</v>
      </c>
      <c r="F33" s="37">
        <f>IF('Actual Figures'!F33&lt;&gt;"",'Actual Figures'!F33-'Budget Figures'!F33,"")</f>
        <v>0</v>
      </c>
      <c r="G33" s="37">
        <f>IF('Actual Figures'!G33&lt;&gt;"",'Actual Figures'!G33-'Budget Figures'!G33,"")</f>
        <v>0</v>
      </c>
      <c r="H33" s="37">
        <f>IF('Actual Figures'!H33&lt;&gt;"",'Actual Figures'!H33-'Budget Figures'!H33,"")</f>
        <v>0</v>
      </c>
      <c r="I33" s="37">
        <f>IF('Actual Figures'!I33&lt;&gt;"",'Actual Figures'!I33-'Budget Figures'!I33,"")</f>
        <v>0</v>
      </c>
      <c r="J33" s="37">
        <f>IF('Actual Figures'!J33&lt;&gt;"",'Actual Figures'!J33-'Budget Figures'!J33,"")</f>
        <v>0</v>
      </c>
      <c r="K33" s="37">
        <f>IF('Actual Figures'!K33&lt;&gt;"",'Actual Figures'!K33-'Budget Figures'!K33,"")</f>
        <v>0</v>
      </c>
      <c r="L33" s="37">
        <f>IF('Actual Figures'!L33&lt;&gt;"",'Actual Figures'!L33-'Budget Figures'!L33,"")</f>
        <v>0</v>
      </c>
      <c r="M33" s="37">
        <f>IF('Actual Figures'!M33&lt;&gt;"",'Actual Figures'!M33-'Budget Figures'!M33,"")</f>
        <v>0</v>
      </c>
      <c r="N33" s="37">
        <f>IF('Actual Figures'!N33&lt;&gt;"",'Actual Figures'!N33-'Budget Figures'!N33,"")</f>
        <v>0</v>
      </c>
      <c r="O33" s="37">
        <f>IF('Actual Figures'!O33&lt;&gt;"",'Actual Figures'!O33-'Budget Figures'!O33,"")</f>
        <v>0</v>
      </c>
      <c r="P33" s="61"/>
      <c r="Q33" s="37">
        <f t="shared" si="3"/>
        <v>0</v>
      </c>
      <c r="R33" s="2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1">
      <c r="A34" s="1"/>
      <c r="B34" s="61"/>
      <c r="C34" s="63" t="str">
        <f>'Budget Figures'!C34</f>
        <v>Provision for Taxation</v>
      </c>
      <c r="D34" s="37" t="str">
        <f>IF('Actual Figures'!D34&lt;&gt;"",'Actual Figures'!D34-'Budget Figures'!D34,"")</f>
        <v/>
      </c>
      <c r="E34" s="37" t="str">
        <f>IF('Actual Figures'!E34&lt;&gt;"",'Actual Figures'!E34-'Budget Figures'!E34,"")</f>
        <v/>
      </c>
      <c r="F34" s="37" t="str">
        <f>IF('Actual Figures'!F34&lt;&gt;"",'Actual Figures'!F34-'Budget Figures'!F34,"")</f>
        <v/>
      </c>
      <c r="G34" s="37" t="str">
        <f>IF('Actual Figures'!G34&lt;&gt;"",'Actual Figures'!G34-'Budget Figures'!G34,"")</f>
        <v/>
      </c>
      <c r="H34" s="37" t="str">
        <f>IF('Actual Figures'!H34&lt;&gt;"",'Actual Figures'!H34-'Budget Figures'!H34,"")</f>
        <v/>
      </c>
      <c r="I34" s="37" t="str">
        <f>IF('Actual Figures'!I34&lt;&gt;"",'Actual Figures'!I34-'Budget Figures'!I34,"")</f>
        <v/>
      </c>
      <c r="J34" s="37" t="str">
        <f>IF('Actual Figures'!J34&lt;&gt;"",'Actual Figures'!J34-'Budget Figures'!J34,"")</f>
        <v/>
      </c>
      <c r="K34" s="37" t="str">
        <f>IF('Actual Figures'!K34&lt;&gt;"",'Actual Figures'!K34-'Budget Figures'!K34,"")</f>
        <v/>
      </c>
      <c r="L34" s="37" t="str">
        <f>IF('Actual Figures'!L34&lt;&gt;"",'Actual Figures'!L34-'Budget Figures'!L34,"")</f>
        <v/>
      </c>
      <c r="M34" s="37" t="str">
        <f>IF('Actual Figures'!M34&lt;&gt;"",'Actual Figures'!M34-'Budget Figures'!M34,"")</f>
        <v/>
      </c>
      <c r="N34" s="37" t="str">
        <f>IF('Actual Figures'!N34&lt;&gt;"",'Actual Figures'!N34-'Budget Figures'!N34,"")</f>
        <v/>
      </c>
      <c r="O34" s="37" t="str">
        <f>IF('Actual Figures'!O34&lt;&gt;"",'Actual Figures'!O34-'Budget Figures'!O34,"")</f>
        <v/>
      </c>
      <c r="P34" s="61"/>
      <c r="Q34" s="37">
        <f t="shared" si="3"/>
        <v>0</v>
      </c>
      <c r="R34" s="2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1"/>
      <c r="B35" s="61"/>
      <c r="C35" s="63" t="str">
        <f>'Budget Figures'!C35</f>
        <v>Fringe Benefit Tax</v>
      </c>
      <c r="D35" s="37" t="str">
        <f>IF('Actual Figures'!D35&lt;&gt;"",'Actual Figures'!D35-'Budget Figures'!D35,"")</f>
        <v/>
      </c>
      <c r="E35" s="37" t="str">
        <f>IF('Actual Figures'!E35&lt;&gt;"",'Actual Figures'!E35-'Budget Figures'!E35,"")</f>
        <v/>
      </c>
      <c r="F35" s="37" t="str">
        <f>IF('Actual Figures'!F35&lt;&gt;"",'Actual Figures'!F35-'Budget Figures'!F35,"")</f>
        <v/>
      </c>
      <c r="G35" s="37" t="str">
        <f>IF('Actual Figures'!G35&lt;&gt;"",'Actual Figures'!G35-'Budget Figures'!G35,"")</f>
        <v/>
      </c>
      <c r="H35" s="37" t="str">
        <f>IF('Actual Figures'!H35&lt;&gt;"",'Actual Figures'!H35-'Budget Figures'!H35,"")</f>
        <v/>
      </c>
      <c r="I35" s="37" t="str">
        <f>IF('Actual Figures'!I35&lt;&gt;"",'Actual Figures'!I35-'Budget Figures'!I35,"")</f>
        <v/>
      </c>
      <c r="J35" s="37" t="str">
        <f>IF('Actual Figures'!J35&lt;&gt;"",'Actual Figures'!J35-'Budget Figures'!J35,"")</f>
        <v/>
      </c>
      <c r="K35" s="37" t="str">
        <f>IF('Actual Figures'!K35&lt;&gt;"",'Actual Figures'!K35-'Budget Figures'!K35,"")</f>
        <v/>
      </c>
      <c r="L35" s="37" t="str">
        <f>IF('Actual Figures'!L35&lt;&gt;"",'Actual Figures'!L35-'Budget Figures'!L35,"")</f>
        <v/>
      </c>
      <c r="M35" s="37" t="str">
        <f>IF('Actual Figures'!M35&lt;&gt;"",'Actual Figures'!M35-'Budget Figures'!M35,"")</f>
        <v/>
      </c>
      <c r="N35" s="37" t="str">
        <f>IF('Actual Figures'!N35&lt;&gt;"",'Actual Figures'!N35-'Budget Figures'!N35,"")</f>
        <v/>
      </c>
      <c r="O35" s="37" t="str">
        <f>IF('Actual Figures'!O35&lt;&gt;"",'Actual Figures'!O35-'Budget Figures'!O35,"")</f>
        <v/>
      </c>
      <c r="P35" s="61"/>
      <c r="Q35" s="37">
        <f t="shared" si="3"/>
        <v>0</v>
      </c>
      <c r="R35" s="2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1"/>
      <c r="B36" s="61"/>
      <c r="C36" s="63" t="str">
        <f>'Budget Figures'!C36</f>
        <v>Legal</v>
      </c>
      <c r="D36" s="37" t="str">
        <f>IF('Actual Figures'!D36&lt;&gt;"",'Actual Figures'!D36-'Budget Figures'!D36,"")</f>
        <v/>
      </c>
      <c r="E36" s="37" t="str">
        <f>IF('Actual Figures'!E36&lt;&gt;"",'Actual Figures'!E36-'Budget Figures'!E36,"")</f>
        <v/>
      </c>
      <c r="F36" s="37" t="str">
        <f>IF('Actual Figures'!F36&lt;&gt;"",'Actual Figures'!F36-'Budget Figures'!F36,"")</f>
        <v/>
      </c>
      <c r="G36" s="37" t="str">
        <f>IF('Actual Figures'!G36&lt;&gt;"",'Actual Figures'!G36-'Budget Figures'!G36,"")</f>
        <v/>
      </c>
      <c r="H36" s="37" t="str">
        <f>IF('Actual Figures'!H36&lt;&gt;"",'Actual Figures'!H36-'Budget Figures'!H36,"")</f>
        <v/>
      </c>
      <c r="I36" s="37" t="str">
        <f>IF('Actual Figures'!I36&lt;&gt;"",'Actual Figures'!I36-'Budget Figures'!I36,"")</f>
        <v/>
      </c>
      <c r="J36" s="37" t="str">
        <f>IF('Actual Figures'!J36&lt;&gt;"",'Actual Figures'!J36-'Budget Figures'!J36,"")</f>
        <v/>
      </c>
      <c r="K36" s="37" t="str">
        <f>IF('Actual Figures'!K36&lt;&gt;"",'Actual Figures'!K36-'Budget Figures'!K36,"")</f>
        <v/>
      </c>
      <c r="L36" s="37" t="str">
        <f>IF('Actual Figures'!L36&lt;&gt;"",'Actual Figures'!L36-'Budget Figures'!L36,"")</f>
        <v/>
      </c>
      <c r="M36" s="37" t="str">
        <f>IF('Actual Figures'!M36&lt;&gt;"",'Actual Figures'!M36-'Budget Figures'!M36,"")</f>
        <v/>
      </c>
      <c r="N36" s="37" t="str">
        <f>IF('Actual Figures'!N36&lt;&gt;"",'Actual Figures'!N36-'Budget Figures'!N36,"")</f>
        <v/>
      </c>
      <c r="O36" s="37" t="str">
        <f>IF('Actual Figures'!O36&lt;&gt;"",'Actual Figures'!O36-'Budget Figures'!O36,"")</f>
        <v/>
      </c>
      <c r="P36" s="61"/>
      <c r="Q36" s="37">
        <f t="shared" si="3"/>
        <v>0</v>
      </c>
      <c r="R36" s="2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1"/>
      <c r="B37" s="61"/>
      <c r="C37" s="63" t="str">
        <f>'Budget Figures'!C37</f>
        <v>Low Cost Assets</v>
      </c>
      <c r="D37" s="37" t="str">
        <f>IF('Actual Figures'!D37&lt;&gt;"",'Actual Figures'!D37-'Budget Figures'!D37,"")</f>
        <v/>
      </c>
      <c r="E37" s="37" t="str">
        <f>IF('Actual Figures'!E37&lt;&gt;"",'Actual Figures'!E37-'Budget Figures'!E37,"")</f>
        <v/>
      </c>
      <c r="F37" s="37" t="str">
        <f>IF('Actual Figures'!F37&lt;&gt;"",'Actual Figures'!F37-'Budget Figures'!F37,"")</f>
        <v/>
      </c>
      <c r="G37" s="37" t="str">
        <f>IF('Actual Figures'!G37&lt;&gt;"",'Actual Figures'!G37-'Budget Figures'!G37,"")</f>
        <v/>
      </c>
      <c r="H37" s="37" t="str">
        <f>IF('Actual Figures'!H37&lt;&gt;"",'Actual Figures'!H37-'Budget Figures'!H37,"")</f>
        <v/>
      </c>
      <c r="I37" s="37" t="str">
        <f>IF('Actual Figures'!I37&lt;&gt;"",'Actual Figures'!I37-'Budget Figures'!I37,"")</f>
        <v/>
      </c>
      <c r="J37" s="37" t="str">
        <f>IF('Actual Figures'!J37&lt;&gt;"",'Actual Figures'!J37-'Budget Figures'!J37,"")</f>
        <v/>
      </c>
      <c r="K37" s="37" t="str">
        <f>IF('Actual Figures'!K37&lt;&gt;"",'Actual Figures'!K37-'Budget Figures'!K37,"")</f>
        <v/>
      </c>
      <c r="L37" s="37" t="str">
        <f>IF('Actual Figures'!L37&lt;&gt;"",'Actual Figures'!L37-'Budget Figures'!L37,"")</f>
        <v/>
      </c>
      <c r="M37" s="37" t="str">
        <f>IF('Actual Figures'!M37&lt;&gt;"",'Actual Figures'!M37-'Budget Figures'!M37,"")</f>
        <v/>
      </c>
      <c r="N37" s="37" t="str">
        <f>IF('Actual Figures'!N37&lt;&gt;"",'Actual Figures'!N37-'Budget Figures'!N37,"")</f>
        <v/>
      </c>
      <c r="O37" s="37" t="str">
        <f>IF('Actual Figures'!O37&lt;&gt;"",'Actual Figures'!O37-'Budget Figures'!O37,"")</f>
        <v/>
      </c>
      <c r="P37" s="61"/>
      <c r="Q37" s="37">
        <f t="shared" si="3"/>
        <v>0</v>
      </c>
      <c r="R37" s="2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1">
      <c r="A38" s="1"/>
      <c r="B38" s="61"/>
      <c r="C38" s="63" t="str">
        <f>'Budget Figures'!C38</f>
        <v>Plant &amp; Equipment</v>
      </c>
      <c r="D38" s="37" t="str">
        <f>IF('Actual Figures'!D38&lt;&gt;"",'Actual Figures'!D38-'Budget Figures'!D38,"")</f>
        <v/>
      </c>
      <c r="E38" s="37" t="str">
        <f>IF('Actual Figures'!E38&lt;&gt;"",'Actual Figures'!E38-'Budget Figures'!E38,"")</f>
        <v/>
      </c>
      <c r="F38" s="37" t="str">
        <f>IF('Actual Figures'!F38&lt;&gt;"",'Actual Figures'!F38-'Budget Figures'!F38,"")</f>
        <v/>
      </c>
      <c r="G38" s="37" t="str">
        <f>IF('Actual Figures'!G38&lt;&gt;"",'Actual Figures'!G38-'Budget Figures'!G38,"")</f>
        <v/>
      </c>
      <c r="H38" s="37" t="str">
        <f>IF('Actual Figures'!H38&lt;&gt;"",'Actual Figures'!H38-'Budget Figures'!H38,"")</f>
        <v/>
      </c>
      <c r="I38" s="37" t="str">
        <f>IF('Actual Figures'!I38&lt;&gt;"",'Actual Figures'!I38-'Budget Figures'!I38,"")</f>
        <v/>
      </c>
      <c r="J38" s="37" t="str">
        <f>IF('Actual Figures'!J38&lt;&gt;"",'Actual Figures'!J38-'Budget Figures'!J38,"")</f>
        <v/>
      </c>
      <c r="K38" s="37" t="str">
        <f>IF('Actual Figures'!K38&lt;&gt;"",'Actual Figures'!K38-'Budget Figures'!K38,"")</f>
        <v/>
      </c>
      <c r="L38" s="37" t="str">
        <f>IF('Actual Figures'!L38&lt;&gt;"",'Actual Figures'!L38-'Budget Figures'!L38,"")</f>
        <v/>
      </c>
      <c r="M38" s="37" t="str">
        <f>IF('Actual Figures'!M38&lt;&gt;"",'Actual Figures'!M38-'Budget Figures'!M38,"")</f>
        <v/>
      </c>
      <c r="N38" s="37" t="str">
        <f>IF('Actual Figures'!N38&lt;&gt;"",'Actual Figures'!N38-'Budget Figures'!N38,"")</f>
        <v/>
      </c>
      <c r="O38" s="37" t="str">
        <f>IF('Actual Figures'!O38&lt;&gt;"",'Actual Figures'!O38-'Budget Figures'!O38,"")</f>
        <v/>
      </c>
      <c r="P38" s="61"/>
      <c r="Q38" s="37">
        <f t="shared" si="3"/>
        <v>0</v>
      </c>
      <c r="R38" s="2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1">
      <c r="A39" s="1"/>
      <c r="B39" s="61"/>
      <c r="C39" s="63" t="str">
        <f>'Budget Figures'!C39</f>
        <v>Drawings</v>
      </c>
      <c r="D39" s="37" t="str">
        <f>IF('Actual Figures'!D39&lt;&gt;"",'Actual Figures'!D39-'Budget Figures'!D39,"")</f>
        <v/>
      </c>
      <c r="E39" s="37" t="str">
        <f>IF('Actual Figures'!E39&lt;&gt;"",'Actual Figures'!E39-'Budget Figures'!E39,"")</f>
        <v/>
      </c>
      <c r="F39" s="37" t="str">
        <f>IF('Actual Figures'!F39&lt;&gt;"",'Actual Figures'!F39-'Budget Figures'!F39,"")</f>
        <v/>
      </c>
      <c r="G39" s="37" t="str">
        <f>IF('Actual Figures'!G39&lt;&gt;"",'Actual Figures'!G39-'Budget Figures'!G39,"")</f>
        <v/>
      </c>
      <c r="H39" s="37" t="str">
        <f>IF('Actual Figures'!H39&lt;&gt;"",'Actual Figures'!H39-'Budget Figures'!H39,"")</f>
        <v/>
      </c>
      <c r="I39" s="37" t="str">
        <f>IF('Actual Figures'!I39&lt;&gt;"",'Actual Figures'!I39-'Budget Figures'!I39,"")</f>
        <v/>
      </c>
      <c r="J39" s="37" t="str">
        <f>IF('Actual Figures'!J39&lt;&gt;"",'Actual Figures'!J39-'Budget Figures'!J39,"")</f>
        <v/>
      </c>
      <c r="K39" s="37" t="str">
        <f>IF('Actual Figures'!K39&lt;&gt;"",'Actual Figures'!K39-'Budget Figures'!K39,"")</f>
        <v/>
      </c>
      <c r="L39" s="37" t="str">
        <f>IF('Actual Figures'!L39&lt;&gt;"",'Actual Figures'!L39-'Budget Figures'!L39,"")</f>
        <v/>
      </c>
      <c r="M39" s="37" t="str">
        <f>IF('Actual Figures'!M39&lt;&gt;"",'Actual Figures'!M39-'Budget Figures'!M39,"")</f>
        <v/>
      </c>
      <c r="N39" s="37" t="str">
        <f>IF('Actual Figures'!N39&lt;&gt;"",'Actual Figures'!N39-'Budget Figures'!N39,"")</f>
        <v/>
      </c>
      <c r="O39" s="37" t="str">
        <f>IF('Actual Figures'!O39&lt;&gt;"",'Actual Figures'!O39-'Budget Figures'!O39,"")</f>
        <v/>
      </c>
      <c r="P39" s="61"/>
      <c r="Q39" s="37">
        <f t="shared" si="3"/>
        <v>0</v>
      </c>
      <c r="R39" s="2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1"/>
      <c r="B40" s="61"/>
      <c r="C40" s="63" t="str">
        <f>'Budget Figures'!C40</f>
        <v>Principle Loan Repayments</v>
      </c>
      <c r="D40" s="37">
        <f>IF('Actual Figures'!D40&lt;&gt;"",'Actual Figures'!D40-'Budget Figures'!D40,"")</f>
        <v>0</v>
      </c>
      <c r="E40" s="37">
        <f>IF('Actual Figures'!E40&lt;&gt;"",'Actual Figures'!E40-'Budget Figures'!E40,"")</f>
        <v>0</v>
      </c>
      <c r="F40" s="37">
        <f>IF('Actual Figures'!F40&lt;&gt;"",'Actual Figures'!F40-'Budget Figures'!F40,"")</f>
        <v>0</v>
      </c>
      <c r="G40" s="37">
        <f>IF('Actual Figures'!G40&lt;&gt;"",'Actual Figures'!G40-'Budget Figures'!G40,"")</f>
        <v>0</v>
      </c>
      <c r="H40" s="37">
        <f>IF('Actual Figures'!H40&lt;&gt;"",'Actual Figures'!H40-'Budget Figures'!H40,"")</f>
        <v>0</v>
      </c>
      <c r="I40" s="37">
        <f>IF('Actual Figures'!I40&lt;&gt;"",'Actual Figures'!I40-'Budget Figures'!I40,"")</f>
        <v>0</v>
      </c>
      <c r="J40" s="37">
        <f>IF('Actual Figures'!J40&lt;&gt;"",'Actual Figures'!J40-'Budget Figures'!J40,"")</f>
        <v>0</v>
      </c>
      <c r="K40" s="37">
        <f>IF('Actual Figures'!K40&lt;&gt;"",'Actual Figures'!K40-'Budget Figures'!K40,"")</f>
        <v>0</v>
      </c>
      <c r="L40" s="37">
        <f>IF('Actual Figures'!L40&lt;&gt;"",'Actual Figures'!L40-'Budget Figures'!L40,"")</f>
        <v>0</v>
      </c>
      <c r="M40" s="37">
        <f>IF('Actual Figures'!M40&lt;&gt;"",'Actual Figures'!M40-'Budget Figures'!M40,"")</f>
        <v>0</v>
      </c>
      <c r="N40" s="37">
        <f>IF('Actual Figures'!N40&lt;&gt;"",'Actual Figures'!N40-'Budget Figures'!N40,"")</f>
        <v>0</v>
      </c>
      <c r="O40" s="37">
        <f>IF('Actual Figures'!O40&lt;&gt;"",'Actual Figures'!O40-'Budget Figures'!O40,"")</f>
        <v>0</v>
      </c>
      <c r="P40" s="61"/>
      <c r="Q40" s="37">
        <f t="shared" si="3"/>
        <v>0</v>
      </c>
      <c r="R40" s="2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1">
      <c r="A41" s="1"/>
      <c r="B41" s="61"/>
      <c r="C41" s="63" t="str">
        <f>'Budget Figures'!C41</f>
        <v>Other 1</v>
      </c>
      <c r="D41" s="37" t="str">
        <f>IF('Actual Figures'!D41&lt;&gt;"",'Actual Figures'!D41-'Budget Figures'!D41,"")</f>
        <v/>
      </c>
      <c r="E41" s="37" t="str">
        <f>IF('Actual Figures'!E41&lt;&gt;"",'Actual Figures'!E41-'Budget Figures'!E41,"")</f>
        <v/>
      </c>
      <c r="F41" s="37" t="str">
        <f>IF('Actual Figures'!F41&lt;&gt;"",'Actual Figures'!F41-'Budget Figures'!F41,"")</f>
        <v/>
      </c>
      <c r="G41" s="37" t="str">
        <f>IF('Actual Figures'!G41&lt;&gt;"",'Actual Figures'!G41-'Budget Figures'!G41,"")</f>
        <v/>
      </c>
      <c r="H41" s="37" t="str">
        <f>IF('Actual Figures'!H41&lt;&gt;"",'Actual Figures'!H41-'Budget Figures'!H41,"")</f>
        <v/>
      </c>
      <c r="I41" s="37" t="str">
        <f>IF('Actual Figures'!I41&lt;&gt;"",'Actual Figures'!I41-'Budget Figures'!I41,"")</f>
        <v/>
      </c>
      <c r="J41" s="37" t="str">
        <f>IF('Actual Figures'!J41&lt;&gt;"",'Actual Figures'!J41-'Budget Figures'!J41,"")</f>
        <v/>
      </c>
      <c r="K41" s="37" t="str">
        <f>IF('Actual Figures'!K41&lt;&gt;"",'Actual Figures'!K41-'Budget Figures'!K41,"")</f>
        <v/>
      </c>
      <c r="L41" s="37" t="str">
        <f>IF('Actual Figures'!L41&lt;&gt;"",'Actual Figures'!L41-'Budget Figures'!L41,"")</f>
        <v/>
      </c>
      <c r="M41" s="37" t="str">
        <f>IF('Actual Figures'!M41&lt;&gt;"",'Actual Figures'!M41-'Budget Figures'!M41,"")</f>
        <v/>
      </c>
      <c r="N41" s="37" t="str">
        <f>IF('Actual Figures'!N41&lt;&gt;"",'Actual Figures'!N41-'Budget Figures'!N41,"")</f>
        <v/>
      </c>
      <c r="O41" s="37" t="str">
        <f>IF('Actual Figures'!O41&lt;&gt;"",'Actual Figures'!O41-'Budget Figures'!O41,"")</f>
        <v/>
      </c>
      <c r="P41" s="61"/>
      <c r="Q41" s="37">
        <f t="shared" si="3"/>
        <v>0</v>
      </c>
      <c r="R41" s="2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1"/>
      <c r="B42" s="61"/>
      <c r="C42" s="63" t="str">
        <f>'Budget Figures'!C42</f>
        <v>Other 2</v>
      </c>
      <c r="D42" s="37" t="str">
        <f>IF('Actual Figures'!D42&lt;&gt;"",'Actual Figures'!D42-'Budget Figures'!D42,"")</f>
        <v/>
      </c>
      <c r="E42" s="37" t="str">
        <f>IF('Actual Figures'!E42&lt;&gt;"",'Actual Figures'!E42-'Budget Figures'!E42,"")</f>
        <v/>
      </c>
      <c r="F42" s="37" t="str">
        <f>IF('Actual Figures'!F42&lt;&gt;"",'Actual Figures'!F42-'Budget Figures'!F42,"")</f>
        <v/>
      </c>
      <c r="G42" s="37" t="str">
        <f>IF('Actual Figures'!G42&lt;&gt;"",'Actual Figures'!G42-'Budget Figures'!G42,"")</f>
        <v/>
      </c>
      <c r="H42" s="37" t="str">
        <f>IF('Actual Figures'!H42&lt;&gt;"",'Actual Figures'!H42-'Budget Figures'!H42,"")</f>
        <v/>
      </c>
      <c r="I42" s="37" t="str">
        <f>IF('Actual Figures'!I42&lt;&gt;"",'Actual Figures'!I42-'Budget Figures'!I42,"")</f>
        <v/>
      </c>
      <c r="J42" s="37" t="str">
        <f>IF('Actual Figures'!J42&lt;&gt;"",'Actual Figures'!J42-'Budget Figures'!J42,"")</f>
        <v/>
      </c>
      <c r="K42" s="37" t="str">
        <f>IF('Actual Figures'!K42&lt;&gt;"",'Actual Figures'!K42-'Budget Figures'!K42,"")</f>
        <v/>
      </c>
      <c r="L42" s="37" t="str">
        <f>IF('Actual Figures'!L42&lt;&gt;"",'Actual Figures'!L42-'Budget Figures'!L42,"")</f>
        <v/>
      </c>
      <c r="M42" s="37" t="str">
        <f>IF('Actual Figures'!M42&lt;&gt;"",'Actual Figures'!M42-'Budget Figures'!M42,"")</f>
        <v/>
      </c>
      <c r="N42" s="37" t="str">
        <f>IF('Actual Figures'!N42&lt;&gt;"",'Actual Figures'!N42-'Budget Figures'!N42,"")</f>
        <v/>
      </c>
      <c r="O42" s="37" t="str">
        <f>IF('Actual Figures'!O42&lt;&gt;"",'Actual Figures'!O42-'Budget Figures'!O42,"")</f>
        <v/>
      </c>
      <c r="P42" s="61"/>
      <c r="Q42" s="37">
        <f t="shared" si="3"/>
        <v>0</v>
      </c>
      <c r="R42" s="2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1"/>
      <c r="B43" s="61"/>
      <c r="C43" s="63" t="str">
        <f>'Budget Figures'!C43</f>
        <v>Other 3</v>
      </c>
      <c r="D43" s="37" t="str">
        <f>IF('Actual Figures'!D43&lt;&gt;"",'Actual Figures'!D43-'Budget Figures'!D43,"")</f>
        <v/>
      </c>
      <c r="E43" s="37" t="str">
        <f>IF('Actual Figures'!E43&lt;&gt;"",'Actual Figures'!E43-'Budget Figures'!E43,"")</f>
        <v/>
      </c>
      <c r="F43" s="37" t="str">
        <f>IF('Actual Figures'!F43&lt;&gt;"",'Actual Figures'!F43-'Budget Figures'!F43,"")</f>
        <v/>
      </c>
      <c r="G43" s="37" t="str">
        <f>IF('Actual Figures'!G43&lt;&gt;"",'Actual Figures'!G43-'Budget Figures'!G43,"")</f>
        <v/>
      </c>
      <c r="H43" s="37" t="str">
        <f>IF('Actual Figures'!H43&lt;&gt;"",'Actual Figures'!H43-'Budget Figures'!H43,"")</f>
        <v/>
      </c>
      <c r="I43" s="37" t="str">
        <f>IF('Actual Figures'!I43&lt;&gt;"",'Actual Figures'!I43-'Budget Figures'!I43,"")</f>
        <v/>
      </c>
      <c r="J43" s="37" t="str">
        <f>IF('Actual Figures'!J43&lt;&gt;"",'Actual Figures'!J43-'Budget Figures'!J43,"")</f>
        <v/>
      </c>
      <c r="K43" s="37" t="str">
        <f>IF('Actual Figures'!K43&lt;&gt;"",'Actual Figures'!K43-'Budget Figures'!K43,"")</f>
        <v/>
      </c>
      <c r="L43" s="37" t="str">
        <f>IF('Actual Figures'!L43&lt;&gt;"",'Actual Figures'!L43-'Budget Figures'!L43,"")</f>
        <v/>
      </c>
      <c r="M43" s="37" t="str">
        <f>IF('Actual Figures'!M43&lt;&gt;"",'Actual Figures'!M43-'Budget Figures'!M43,"")</f>
        <v/>
      </c>
      <c r="N43" s="37" t="str">
        <f>IF('Actual Figures'!N43&lt;&gt;"",'Actual Figures'!N43-'Budget Figures'!N43,"")</f>
        <v/>
      </c>
      <c r="O43" s="37" t="str">
        <f>IF('Actual Figures'!O43&lt;&gt;"",'Actual Figures'!O43-'Budget Figures'!O43,"")</f>
        <v/>
      </c>
      <c r="P43" s="61"/>
      <c r="Q43" s="37">
        <f t="shared" si="3"/>
        <v>0</v>
      </c>
      <c r="R43" s="2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1"/>
      <c r="B44" s="61"/>
      <c r="C44" s="63" t="str">
        <f>'Budget Figures'!C44</f>
        <v>Other 4</v>
      </c>
      <c r="D44" s="37" t="str">
        <f>IF('Actual Figures'!D44&lt;&gt;"",'Actual Figures'!D44-'Budget Figures'!D44,"")</f>
        <v/>
      </c>
      <c r="E44" s="37" t="str">
        <f>IF('Actual Figures'!E44&lt;&gt;"",'Actual Figures'!E44-'Budget Figures'!E44,"")</f>
        <v/>
      </c>
      <c r="F44" s="37" t="str">
        <f>IF('Actual Figures'!F44&lt;&gt;"",'Actual Figures'!F44-'Budget Figures'!F44,"")</f>
        <v/>
      </c>
      <c r="G44" s="37" t="str">
        <f>IF('Actual Figures'!G44&lt;&gt;"",'Actual Figures'!G44-'Budget Figures'!G44,"")</f>
        <v/>
      </c>
      <c r="H44" s="37" t="str">
        <f>IF('Actual Figures'!H44&lt;&gt;"",'Actual Figures'!H44-'Budget Figures'!H44,"")</f>
        <v/>
      </c>
      <c r="I44" s="37" t="str">
        <f>IF('Actual Figures'!I44&lt;&gt;"",'Actual Figures'!I44-'Budget Figures'!I44,"")</f>
        <v/>
      </c>
      <c r="J44" s="37" t="str">
        <f>IF('Actual Figures'!J44&lt;&gt;"",'Actual Figures'!J44-'Budget Figures'!J44,"")</f>
        <v/>
      </c>
      <c r="K44" s="37" t="str">
        <f>IF('Actual Figures'!K44&lt;&gt;"",'Actual Figures'!K44-'Budget Figures'!K44,"")</f>
        <v/>
      </c>
      <c r="L44" s="37" t="str">
        <f>IF('Actual Figures'!L44&lt;&gt;"",'Actual Figures'!L44-'Budget Figures'!L44,"")</f>
        <v/>
      </c>
      <c r="M44" s="37" t="str">
        <f>IF('Actual Figures'!M44&lt;&gt;"",'Actual Figures'!M44-'Budget Figures'!M44,"")</f>
        <v/>
      </c>
      <c r="N44" s="37" t="str">
        <f>IF('Actual Figures'!N44&lt;&gt;"",'Actual Figures'!N44-'Budget Figures'!N44,"")</f>
        <v/>
      </c>
      <c r="O44" s="37" t="str">
        <f>IF('Actual Figures'!O44&lt;&gt;"",'Actual Figures'!O44-'Budget Figures'!O44,"")</f>
        <v/>
      </c>
      <c r="P44" s="61"/>
      <c r="Q44" s="37">
        <f t="shared" si="3"/>
        <v>0</v>
      </c>
      <c r="R44" s="2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1"/>
      <c r="B45" s="61"/>
      <c r="C45" s="63" t="str">
        <f>'Budget Figures'!C45</f>
        <v>Other 5</v>
      </c>
      <c r="D45" s="37" t="str">
        <f>IF('Actual Figures'!D45&lt;&gt;"",'Actual Figures'!D45-'Budget Figures'!D45,"")</f>
        <v/>
      </c>
      <c r="E45" s="37" t="str">
        <f>IF('Actual Figures'!E45&lt;&gt;"",'Actual Figures'!E45-'Budget Figures'!E45,"")</f>
        <v/>
      </c>
      <c r="F45" s="37" t="str">
        <f>IF('Actual Figures'!F45&lt;&gt;"",'Actual Figures'!F45-'Budget Figures'!F45,"")</f>
        <v/>
      </c>
      <c r="G45" s="37" t="str">
        <f>IF('Actual Figures'!G45&lt;&gt;"",'Actual Figures'!G45-'Budget Figures'!G45,"")</f>
        <v/>
      </c>
      <c r="H45" s="37" t="str">
        <f>IF('Actual Figures'!H45&lt;&gt;"",'Actual Figures'!H45-'Budget Figures'!H45,"")</f>
        <v/>
      </c>
      <c r="I45" s="37" t="str">
        <f>IF('Actual Figures'!I45&lt;&gt;"",'Actual Figures'!I45-'Budget Figures'!I45,"")</f>
        <v/>
      </c>
      <c r="J45" s="37" t="str">
        <f>IF('Actual Figures'!J45&lt;&gt;"",'Actual Figures'!J45-'Budget Figures'!J45,"")</f>
        <v/>
      </c>
      <c r="K45" s="37" t="str">
        <f>IF('Actual Figures'!K45&lt;&gt;"",'Actual Figures'!K45-'Budget Figures'!K45,"")</f>
        <v/>
      </c>
      <c r="L45" s="37" t="str">
        <f>IF('Actual Figures'!L45&lt;&gt;"",'Actual Figures'!L45-'Budget Figures'!L45,"")</f>
        <v/>
      </c>
      <c r="M45" s="37" t="str">
        <f>IF('Actual Figures'!M45&lt;&gt;"",'Actual Figures'!M45-'Budget Figures'!M45,"")</f>
        <v/>
      </c>
      <c r="N45" s="37" t="str">
        <f>IF('Actual Figures'!N45&lt;&gt;"",'Actual Figures'!N45-'Budget Figures'!N45,"")</f>
        <v/>
      </c>
      <c r="O45" s="37" t="str">
        <f>IF('Actual Figures'!O45&lt;&gt;"",'Actual Figures'!O45-'Budget Figures'!O45,"")</f>
        <v/>
      </c>
      <c r="P45" s="61"/>
      <c r="Q45" s="37">
        <f t="shared" si="3"/>
        <v>0</v>
      </c>
      <c r="R45" s="2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1"/>
      <c r="B46" s="61"/>
      <c r="C46" s="63" t="str">
        <f>'Budget Figures'!C46</f>
        <v>Other 6</v>
      </c>
      <c r="D46" s="37" t="str">
        <f>IF('Actual Figures'!D46&lt;&gt;"",'Actual Figures'!D46-'Budget Figures'!D46,"")</f>
        <v/>
      </c>
      <c r="E46" s="37" t="str">
        <f>IF('Actual Figures'!E46&lt;&gt;"",'Actual Figures'!E46-'Budget Figures'!E46,"")</f>
        <v/>
      </c>
      <c r="F46" s="37" t="str">
        <f>IF('Actual Figures'!F46&lt;&gt;"",'Actual Figures'!F46-'Budget Figures'!F46,"")</f>
        <v/>
      </c>
      <c r="G46" s="37" t="str">
        <f>IF('Actual Figures'!G46&lt;&gt;"",'Actual Figures'!G46-'Budget Figures'!G46,"")</f>
        <v/>
      </c>
      <c r="H46" s="37" t="str">
        <f>IF('Actual Figures'!H46&lt;&gt;"",'Actual Figures'!H46-'Budget Figures'!H46,"")</f>
        <v/>
      </c>
      <c r="I46" s="37" t="str">
        <f>IF('Actual Figures'!I46&lt;&gt;"",'Actual Figures'!I46-'Budget Figures'!I46,"")</f>
        <v/>
      </c>
      <c r="J46" s="37" t="str">
        <f>IF('Actual Figures'!J46&lt;&gt;"",'Actual Figures'!J46-'Budget Figures'!J46,"")</f>
        <v/>
      </c>
      <c r="K46" s="37" t="str">
        <f>IF('Actual Figures'!K46&lt;&gt;"",'Actual Figures'!K46-'Budget Figures'!K46,"")</f>
        <v/>
      </c>
      <c r="L46" s="37" t="str">
        <f>IF('Actual Figures'!L46&lt;&gt;"",'Actual Figures'!L46-'Budget Figures'!L46,"")</f>
        <v/>
      </c>
      <c r="M46" s="37" t="str">
        <f>IF('Actual Figures'!M46&lt;&gt;"",'Actual Figures'!M46-'Budget Figures'!M46,"")</f>
        <v/>
      </c>
      <c r="N46" s="37" t="str">
        <f>IF('Actual Figures'!N46&lt;&gt;"",'Actual Figures'!N46-'Budget Figures'!N46,"")</f>
        <v/>
      </c>
      <c r="O46" s="37" t="str">
        <f>IF('Actual Figures'!O46&lt;&gt;"",'Actual Figures'!O46-'Budget Figures'!O46,"")</f>
        <v/>
      </c>
      <c r="P46" s="61"/>
      <c r="Q46" s="37">
        <f t="shared" si="3"/>
        <v>0</v>
      </c>
      <c r="R46" s="2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1"/>
      <c r="B47" s="61"/>
      <c r="C47" s="29" t="str">
        <f>'Budget Figures'!C47</f>
        <v/>
      </c>
      <c r="D47" s="29" t="str">
        <f>'Budget Figures'!D47</f>
        <v/>
      </c>
      <c r="E47" s="29" t="str">
        <f>'Budget Figures'!E47</f>
        <v/>
      </c>
      <c r="F47" s="29" t="str">
        <f>'Budget Figures'!F47</f>
        <v/>
      </c>
      <c r="G47" s="29" t="str">
        <f>'Budget Figures'!G47</f>
        <v/>
      </c>
      <c r="H47" s="29" t="str">
        <f>'Budget Figures'!H47</f>
        <v/>
      </c>
      <c r="I47" s="29" t="str">
        <f>'Budget Figures'!I47</f>
        <v/>
      </c>
      <c r="J47" s="29" t="str">
        <f>'Budget Figures'!J47</f>
        <v/>
      </c>
      <c r="K47" s="29" t="str">
        <f>'Budget Figures'!K47</f>
        <v/>
      </c>
      <c r="L47" s="29" t="str">
        <f>'Budget Figures'!L47</f>
        <v/>
      </c>
      <c r="M47" s="29" t="str">
        <f>'Budget Figures'!M47</f>
        <v/>
      </c>
      <c r="N47" s="29" t="str">
        <f>'Budget Figures'!N47</f>
        <v/>
      </c>
      <c r="O47" s="29" t="str">
        <f>'Budget Figures'!O47</f>
        <v/>
      </c>
      <c r="P47" s="61"/>
      <c r="Q47" s="29" t="str">
        <f>'Budget Figures'!Q47</f>
        <v/>
      </c>
      <c r="R47" s="2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1"/>
      <c r="B48" s="61"/>
      <c r="C48" s="66" t="str">
        <f>'Budget Figures'!C48</f>
        <v>NON GST RELATED WITHDRAWALS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61"/>
      <c r="Q48" s="2"/>
      <c r="R48" s="2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1"/>
      <c r="B49" s="61"/>
      <c r="C49" s="29" t="str">
        <f>'Budget Figures'!C49</f>
        <v/>
      </c>
      <c r="D49" s="29" t="str">
        <f>'Budget Figures'!D49</f>
        <v/>
      </c>
      <c r="E49" s="29" t="str">
        <f>'Budget Figures'!E49</f>
        <v/>
      </c>
      <c r="F49" s="29" t="str">
        <f>'Budget Figures'!F49</f>
        <v/>
      </c>
      <c r="G49" s="29" t="str">
        <f>'Budget Figures'!G49</f>
        <v/>
      </c>
      <c r="H49" s="29" t="str">
        <f>'Budget Figures'!H49</f>
        <v/>
      </c>
      <c r="I49" s="29" t="str">
        <f>'Budget Figures'!I49</f>
        <v/>
      </c>
      <c r="J49" s="29" t="str">
        <f>'Budget Figures'!J49</f>
        <v/>
      </c>
      <c r="K49" s="29" t="str">
        <f>'Budget Figures'!K49</f>
        <v/>
      </c>
      <c r="L49" s="29" t="str">
        <f>'Budget Figures'!L49</f>
        <v/>
      </c>
      <c r="M49" s="29" t="str">
        <f>'Budget Figures'!M49</f>
        <v/>
      </c>
      <c r="N49" s="29" t="str">
        <f>'Budget Figures'!N49</f>
        <v/>
      </c>
      <c r="O49" s="29" t="str">
        <f>'Budget Figures'!O49</f>
        <v/>
      </c>
      <c r="P49" s="61"/>
      <c r="Q49" s="29" t="str">
        <f>'Budget Figures'!Q49</f>
        <v/>
      </c>
      <c r="R49" s="29" t="str">
        <f>'Budget Figures'!R49</f>
        <v/>
      </c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1"/>
      <c r="B50" s="61"/>
      <c r="C50" s="63" t="str">
        <f>'Budget Figures'!C50</f>
        <v>Wages</v>
      </c>
      <c r="D50" s="37">
        <f>IF('Actual Figures'!D50&lt;&gt;"",'Actual Figures'!D50-'Budget Figures'!D50,"")</f>
        <v>-1500</v>
      </c>
      <c r="E50" s="37">
        <f>IF('Actual Figures'!E50&lt;&gt;"",'Actual Figures'!E50-'Budget Figures'!E50,"")</f>
        <v>-1500</v>
      </c>
      <c r="F50" s="37">
        <f>IF('Actual Figures'!F50&lt;&gt;"",'Actual Figures'!F50-'Budget Figures'!F50,"")</f>
        <v>-1500</v>
      </c>
      <c r="G50" s="37">
        <f>IF('Actual Figures'!G50&lt;&gt;"",'Actual Figures'!G50-'Budget Figures'!G50,"")</f>
        <v>-1500</v>
      </c>
      <c r="H50" s="37">
        <f>IF('Actual Figures'!H50&lt;&gt;"",'Actual Figures'!H50-'Budget Figures'!H50,"")</f>
        <v>-1500</v>
      </c>
      <c r="I50" s="37">
        <f>IF('Actual Figures'!I50&lt;&gt;"",'Actual Figures'!I50-'Budget Figures'!I50,"")</f>
        <v>-1500</v>
      </c>
      <c r="J50" s="37">
        <f>IF('Actual Figures'!J50&lt;&gt;"",'Actual Figures'!J50-'Budget Figures'!J50,"")</f>
        <v>-1500</v>
      </c>
      <c r="K50" s="37">
        <f>IF('Actual Figures'!K50&lt;&gt;"",'Actual Figures'!K50-'Budget Figures'!K50,"")</f>
        <v>-1500</v>
      </c>
      <c r="L50" s="37">
        <f>IF('Actual Figures'!L50&lt;&gt;"",'Actual Figures'!L50-'Budget Figures'!L50,"")</f>
        <v>-1500</v>
      </c>
      <c r="M50" s="37">
        <f>IF('Actual Figures'!M50&lt;&gt;"",'Actual Figures'!M50-'Budget Figures'!M50,"")</f>
        <v>-1500</v>
      </c>
      <c r="N50" s="37">
        <f>IF('Actual Figures'!N50&lt;&gt;"",'Actual Figures'!N50-'Budget Figures'!N50,"")</f>
        <v>-1500</v>
      </c>
      <c r="O50" s="37">
        <f>IF('Actual Figures'!O50&lt;&gt;"",'Actual Figures'!O50-'Budget Figures'!O50,"")</f>
        <v>-1500</v>
      </c>
      <c r="P50" s="61"/>
      <c r="Q50" s="37">
        <f t="shared" ref="Q50:Q54" si="4">SUM(D50:O50)</f>
        <v>-18000</v>
      </c>
      <c r="R50" s="2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1"/>
      <c r="B51" s="61"/>
      <c r="C51" s="63" t="str">
        <f>'Budget Figures'!C51</f>
        <v>Interest Only Loan Payments</v>
      </c>
      <c r="D51" s="37">
        <f>IF('Actual Figures'!D51&lt;&gt;"",'Actual Figures'!D51-'Budget Figures'!D51,"")</f>
        <v>75</v>
      </c>
      <c r="E51" s="37">
        <f>IF('Actual Figures'!E51&lt;&gt;"",'Actual Figures'!E51-'Budget Figures'!E51,"")</f>
        <v>75</v>
      </c>
      <c r="F51" s="37">
        <f>IF('Actual Figures'!F51&lt;&gt;"",'Actual Figures'!F51-'Budget Figures'!F51,"")</f>
        <v>75</v>
      </c>
      <c r="G51" s="37">
        <f>IF('Actual Figures'!G51&lt;&gt;"",'Actual Figures'!G51-'Budget Figures'!G51,"")</f>
        <v>75</v>
      </c>
      <c r="H51" s="37">
        <f>IF('Actual Figures'!H51&lt;&gt;"",'Actual Figures'!H51-'Budget Figures'!H51,"")</f>
        <v>75</v>
      </c>
      <c r="I51" s="37">
        <f>IF('Actual Figures'!I51&lt;&gt;"",'Actual Figures'!I51-'Budget Figures'!I51,"")</f>
        <v>75</v>
      </c>
      <c r="J51" s="37">
        <f>IF('Actual Figures'!J51&lt;&gt;"",'Actual Figures'!J51-'Budget Figures'!J51,"")</f>
        <v>75</v>
      </c>
      <c r="K51" s="37">
        <f>IF('Actual Figures'!K51&lt;&gt;"",'Actual Figures'!K51-'Budget Figures'!K51,"")</f>
        <v>75</v>
      </c>
      <c r="L51" s="37">
        <f>IF('Actual Figures'!L51&lt;&gt;"",'Actual Figures'!L51-'Budget Figures'!L51,"")</f>
        <v>75</v>
      </c>
      <c r="M51" s="37">
        <f>IF('Actual Figures'!M51&lt;&gt;"",'Actual Figures'!M51-'Budget Figures'!M51,"")</f>
        <v>75</v>
      </c>
      <c r="N51" s="37">
        <f>IF('Actual Figures'!N51&lt;&gt;"",'Actual Figures'!N51-'Budget Figures'!N51,"")</f>
        <v>75</v>
      </c>
      <c r="O51" s="37">
        <f>IF('Actual Figures'!O51&lt;&gt;"",'Actual Figures'!O51-'Budget Figures'!O51,"")</f>
        <v>75</v>
      </c>
      <c r="P51" s="61"/>
      <c r="Q51" s="37">
        <f t="shared" si="4"/>
        <v>900</v>
      </c>
      <c r="R51" s="2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1"/>
      <c r="B52" s="61"/>
      <c r="C52" s="63" t="str">
        <f>'Budget Figures'!C52</f>
        <v>Other 1</v>
      </c>
      <c r="D52" s="37" t="str">
        <f>IF('Actual Figures'!D52&lt;&gt;"",'Actual Figures'!D52-'Budget Figures'!D52,"")</f>
        <v/>
      </c>
      <c r="E52" s="37" t="str">
        <f>IF('Actual Figures'!E52&lt;&gt;"",'Actual Figures'!E52-'Budget Figures'!E52,"")</f>
        <v/>
      </c>
      <c r="F52" s="37" t="str">
        <f>IF('Actual Figures'!F52&lt;&gt;"",'Actual Figures'!F52-'Budget Figures'!F52,"")</f>
        <v/>
      </c>
      <c r="G52" s="37" t="str">
        <f>IF('Actual Figures'!G52&lt;&gt;"",'Actual Figures'!G52-'Budget Figures'!G52,"")</f>
        <v/>
      </c>
      <c r="H52" s="37" t="str">
        <f>IF('Actual Figures'!H52&lt;&gt;"",'Actual Figures'!H52-'Budget Figures'!H52,"")</f>
        <v/>
      </c>
      <c r="I52" s="37" t="str">
        <f>IF('Actual Figures'!I52&lt;&gt;"",'Actual Figures'!I52-'Budget Figures'!I52,"")</f>
        <v/>
      </c>
      <c r="J52" s="37" t="str">
        <f>IF('Actual Figures'!J52&lt;&gt;"",'Actual Figures'!J52-'Budget Figures'!J52,"")</f>
        <v/>
      </c>
      <c r="K52" s="37" t="str">
        <f>IF('Actual Figures'!K52&lt;&gt;"",'Actual Figures'!K52-'Budget Figures'!K52,"")</f>
        <v/>
      </c>
      <c r="L52" s="37" t="str">
        <f>IF('Actual Figures'!L52&lt;&gt;"",'Actual Figures'!L52-'Budget Figures'!L52,"")</f>
        <v/>
      </c>
      <c r="M52" s="37" t="str">
        <f>IF('Actual Figures'!M52&lt;&gt;"",'Actual Figures'!M52-'Budget Figures'!M52,"")</f>
        <v/>
      </c>
      <c r="N52" s="37" t="str">
        <f>IF('Actual Figures'!N52&lt;&gt;"",'Actual Figures'!N52-'Budget Figures'!N52,"")</f>
        <v/>
      </c>
      <c r="O52" s="37" t="str">
        <f>IF('Actual Figures'!O52&lt;&gt;"",'Actual Figures'!O52-'Budget Figures'!O52,"")</f>
        <v/>
      </c>
      <c r="P52" s="61"/>
      <c r="Q52" s="37">
        <f t="shared" si="4"/>
        <v>0</v>
      </c>
      <c r="R52" s="2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1"/>
      <c r="B53" s="61"/>
      <c r="C53" s="63" t="str">
        <f>'Budget Figures'!C53</f>
        <v>Other 2</v>
      </c>
      <c r="D53" s="37" t="str">
        <f>IF('Actual Figures'!D53&lt;&gt;"",'Actual Figures'!D53-'Budget Figures'!D53,"")</f>
        <v/>
      </c>
      <c r="E53" s="37" t="str">
        <f>IF('Actual Figures'!E53&lt;&gt;"",'Actual Figures'!E53-'Budget Figures'!E53,"")</f>
        <v/>
      </c>
      <c r="F53" s="37" t="str">
        <f>IF('Actual Figures'!F53&lt;&gt;"",'Actual Figures'!F53-'Budget Figures'!F53,"")</f>
        <v/>
      </c>
      <c r="G53" s="37" t="str">
        <f>IF('Actual Figures'!G53&lt;&gt;"",'Actual Figures'!G53-'Budget Figures'!G53,"")</f>
        <v/>
      </c>
      <c r="H53" s="37" t="str">
        <f>IF('Actual Figures'!H53&lt;&gt;"",'Actual Figures'!H53-'Budget Figures'!H53,"")</f>
        <v/>
      </c>
      <c r="I53" s="37" t="str">
        <f>IF('Actual Figures'!I53&lt;&gt;"",'Actual Figures'!I53-'Budget Figures'!I53,"")</f>
        <v/>
      </c>
      <c r="J53" s="37" t="str">
        <f>IF('Actual Figures'!J53&lt;&gt;"",'Actual Figures'!J53-'Budget Figures'!J53,"")</f>
        <v/>
      </c>
      <c r="K53" s="37" t="str">
        <f>IF('Actual Figures'!K53&lt;&gt;"",'Actual Figures'!K53-'Budget Figures'!K53,"")</f>
        <v/>
      </c>
      <c r="L53" s="37" t="str">
        <f>IF('Actual Figures'!L53&lt;&gt;"",'Actual Figures'!L53-'Budget Figures'!L53,"")</f>
        <v/>
      </c>
      <c r="M53" s="37" t="str">
        <f>IF('Actual Figures'!M53&lt;&gt;"",'Actual Figures'!M53-'Budget Figures'!M53,"")</f>
        <v/>
      </c>
      <c r="N53" s="37" t="str">
        <f>IF('Actual Figures'!N53&lt;&gt;"",'Actual Figures'!N53-'Budget Figures'!N53,"")</f>
        <v/>
      </c>
      <c r="O53" s="37" t="str">
        <f>IF('Actual Figures'!O53&lt;&gt;"",'Actual Figures'!O53-'Budget Figures'!O53,"")</f>
        <v/>
      </c>
      <c r="P53" s="61"/>
      <c r="Q53" s="37">
        <f t="shared" si="4"/>
        <v>0</v>
      </c>
      <c r="R53" s="2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1"/>
      <c r="B54" s="61"/>
      <c r="C54" s="63" t="str">
        <f>'Budget Figures'!C54</f>
        <v>Other 3</v>
      </c>
      <c r="D54" s="37" t="str">
        <f>IF('Actual Figures'!D54&lt;&gt;"",'Actual Figures'!D54-'Budget Figures'!D54,"")</f>
        <v/>
      </c>
      <c r="E54" s="37" t="str">
        <f>IF('Actual Figures'!E54&lt;&gt;"",'Actual Figures'!E54-'Budget Figures'!E54,"")</f>
        <v/>
      </c>
      <c r="F54" s="37" t="str">
        <f>IF('Actual Figures'!F54&lt;&gt;"",'Actual Figures'!F54-'Budget Figures'!F54,"")</f>
        <v/>
      </c>
      <c r="G54" s="37" t="str">
        <f>IF('Actual Figures'!G54&lt;&gt;"",'Actual Figures'!G54-'Budget Figures'!G54,"")</f>
        <v/>
      </c>
      <c r="H54" s="37" t="str">
        <f>IF('Actual Figures'!H54&lt;&gt;"",'Actual Figures'!H54-'Budget Figures'!H54,"")</f>
        <v/>
      </c>
      <c r="I54" s="37" t="str">
        <f>IF('Actual Figures'!I54&lt;&gt;"",'Actual Figures'!I54-'Budget Figures'!I54,"")</f>
        <v/>
      </c>
      <c r="J54" s="37" t="str">
        <f>IF('Actual Figures'!J54&lt;&gt;"",'Actual Figures'!J54-'Budget Figures'!J54,"")</f>
        <v/>
      </c>
      <c r="K54" s="37" t="str">
        <f>IF('Actual Figures'!K54&lt;&gt;"",'Actual Figures'!K54-'Budget Figures'!K54,"")</f>
        <v/>
      </c>
      <c r="L54" s="37" t="str">
        <f>IF('Actual Figures'!L54&lt;&gt;"",'Actual Figures'!L54-'Budget Figures'!L54,"")</f>
        <v/>
      </c>
      <c r="M54" s="37" t="str">
        <f>IF('Actual Figures'!M54&lt;&gt;"",'Actual Figures'!M54-'Budget Figures'!M54,"")</f>
        <v/>
      </c>
      <c r="N54" s="37" t="str">
        <f>IF('Actual Figures'!N54&lt;&gt;"",'Actual Figures'!N54-'Budget Figures'!N54,"")</f>
        <v/>
      </c>
      <c r="O54" s="37" t="str">
        <f>IF('Actual Figures'!O54&lt;&gt;"",'Actual Figures'!O54-'Budget Figures'!O54,"")</f>
        <v/>
      </c>
      <c r="P54" s="61"/>
      <c r="Q54" s="37">
        <f t="shared" si="4"/>
        <v>0</v>
      </c>
      <c r="R54" s="2"/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1"/>
      <c r="B55" s="61"/>
      <c r="C55" s="29" t="str">
        <f>'Budget Figures'!C55</f>
        <v/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61"/>
      <c r="Q55" s="25"/>
      <c r="R55" s="2"/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1"/>
      <c r="B56" s="61"/>
      <c r="C56" s="64" t="str">
        <f>'Budget Figures'!C56</f>
        <v>SUBTOTAL WITHDRAWALS:</v>
      </c>
      <c r="D56" s="65">
        <f t="shared" ref="D56:O56" si="5">SUM(D20:D51)</f>
        <v>-1150</v>
      </c>
      <c r="E56" s="65">
        <f t="shared" si="5"/>
        <v>-1150</v>
      </c>
      <c r="F56" s="65">
        <f t="shared" si="5"/>
        <v>-1150</v>
      </c>
      <c r="G56" s="65">
        <f t="shared" si="5"/>
        <v>-1150</v>
      </c>
      <c r="H56" s="65">
        <f t="shared" si="5"/>
        <v>-1150</v>
      </c>
      <c r="I56" s="65">
        <f t="shared" si="5"/>
        <v>-1150</v>
      </c>
      <c r="J56" s="65">
        <f t="shared" si="5"/>
        <v>-1150</v>
      </c>
      <c r="K56" s="65">
        <f t="shared" si="5"/>
        <v>-1150</v>
      </c>
      <c r="L56" s="65">
        <f t="shared" si="5"/>
        <v>-1150</v>
      </c>
      <c r="M56" s="65">
        <f t="shared" si="5"/>
        <v>-1150</v>
      </c>
      <c r="N56" s="65">
        <f t="shared" si="5"/>
        <v>-1150</v>
      </c>
      <c r="O56" s="65">
        <f t="shared" si="5"/>
        <v>-1150</v>
      </c>
      <c r="P56" s="61"/>
      <c r="Q56" s="65">
        <f>SUM(D56:O56)</f>
        <v>-13800</v>
      </c>
      <c r="R56" s="2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1"/>
      <c r="B57" s="61"/>
      <c r="C57" s="29" t="str">
        <f>'Budget Figures'!C57</f>
        <v/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61"/>
      <c r="Q57" s="25"/>
      <c r="R57" s="2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1">
      <c r="A58" s="1"/>
      <c r="B58" s="61"/>
      <c r="C58" s="66" t="str">
        <f>'Budget Figures'!C58</f>
        <v>GST Related Deposits</v>
      </c>
      <c r="D58" s="37">
        <f>IF('Actual Figures'!D58&lt;&gt;"",'Actual Figures'!D58-'Budget Figures'!D58,"")</f>
        <v>-10000</v>
      </c>
      <c r="E58" s="37">
        <f>IF('Actual Figures'!E58&lt;&gt;"",'Actual Figures'!E58-'Budget Figures'!E58,"")</f>
        <v>-17000</v>
      </c>
      <c r="F58" s="37">
        <f>IF('Actual Figures'!F58&lt;&gt;"",'Actual Figures'!F58-'Budget Figures'!F58,"")</f>
        <v>-25000</v>
      </c>
      <c r="G58" s="37">
        <f>IF('Actual Figures'!G58&lt;&gt;"",'Actual Figures'!G58-'Budget Figures'!G58,"")</f>
        <v>-1000</v>
      </c>
      <c r="H58" s="37">
        <f>IF('Actual Figures'!H58&lt;&gt;"",'Actual Figures'!H58-'Budget Figures'!H58,"")</f>
        <v>0</v>
      </c>
      <c r="I58" s="37">
        <f>IF('Actual Figures'!I58&lt;&gt;"",'Actual Figures'!I58-'Budget Figures'!I58,"")</f>
        <v>-4000</v>
      </c>
      <c r="J58" s="37">
        <f>IF('Actual Figures'!J58&lt;&gt;"",'Actual Figures'!J58-'Budget Figures'!J58,"")</f>
        <v>14500</v>
      </c>
      <c r="K58" s="37">
        <f>IF('Actual Figures'!K58&lt;&gt;"",'Actual Figures'!K58-'Budget Figures'!K58,"")</f>
        <v>3000</v>
      </c>
      <c r="L58" s="37">
        <f>IF('Actual Figures'!L58&lt;&gt;"",'Actual Figures'!L58-'Budget Figures'!L58,"")</f>
        <v>-5000</v>
      </c>
      <c r="M58" s="37">
        <f>IF('Actual Figures'!M58&lt;&gt;"",'Actual Figures'!M58-'Budget Figures'!M58,"")</f>
        <v>-9000</v>
      </c>
      <c r="N58" s="37">
        <f>IF('Actual Figures'!N58&lt;&gt;"",'Actual Figures'!N58-'Budget Figures'!N58,"")</f>
        <v>7000</v>
      </c>
      <c r="O58" s="37">
        <f>IF('Actual Figures'!O58&lt;&gt;"",'Actual Figures'!O58-'Budget Figures'!O58,"")</f>
        <v>-2800</v>
      </c>
      <c r="P58" s="61"/>
      <c r="Q58" s="37">
        <f>IF('Actual Figures'!Q$62&lt;&gt;"",'Budget Figures'!Q58-'Actual Figures'!Q58,"")</f>
        <v>0</v>
      </c>
      <c r="R58" s="2"/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1"/>
      <c r="B59" s="61"/>
      <c r="C59" s="66" t="str">
        <f>'Budget Figures'!C59</f>
        <v>GST Related Withdrawals</v>
      </c>
      <c r="D59" s="37">
        <f>IF('Actual Figures'!D59&lt;&gt;"",'Actual Figures'!D59-'Budget Figures'!D59,"")</f>
        <v>275</v>
      </c>
      <c r="E59" s="37">
        <f>IF('Actual Figures'!E59&lt;&gt;"",'Actual Figures'!E59-'Budget Figures'!E59,"")</f>
        <v>275</v>
      </c>
      <c r="F59" s="37">
        <f>IF('Actual Figures'!F59&lt;&gt;"",'Actual Figures'!F59-'Budget Figures'!F59,"")</f>
        <v>275</v>
      </c>
      <c r="G59" s="37">
        <f>IF('Actual Figures'!G59&lt;&gt;"",'Actual Figures'!G59-'Budget Figures'!G59,"")</f>
        <v>275</v>
      </c>
      <c r="H59" s="37">
        <f>IF('Actual Figures'!H59&lt;&gt;"",'Actual Figures'!H59-'Budget Figures'!H59,"")</f>
        <v>275</v>
      </c>
      <c r="I59" s="37">
        <f>IF('Actual Figures'!I59&lt;&gt;"",'Actual Figures'!I59-'Budget Figures'!I59,"")</f>
        <v>275</v>
      </c>
      <c r="J59" s="37">
        <f>IF('Actual Figures'!J59&lt;&gt;"",'Actual Figures'!J59-'Budget Figures'!J59,"")</f>
        <v>275</v>
      </c>
      <c r="K59" s="37">
        <f>IF('Actual Figures'!K59&lt;&gt;"",'Actual Figures'!K59-'Budget Figures'!K59,"")</f>
        <v>275</v>
      </c>
      <c r="L59" s="37">
        <f>IF('Actual Figures'!L59&lt;&gt;"",'Actual Figures'!L59-'Budget Figures'!L59,"")</f>
        <v>275</v>
      </c>
      <c r="M59" s="37">
        <f>IF('Actual Figures'!M59&lt;&gt;"",'Actual Figures'!M59-'Budget Figures'!M59,"")</f>
        <v>275</v>
      </c>
      <c r="N59" s="37">
        <f>IF('Actual Figures'!N59&lt;&gt;"",'Actual Figures'!N59-'Budget Figures'!N59,"")</f>
        <v>275</v>
      </c>
      <c r="O59" s="37">
        <f>IF('Actual Figures'!O59&lt;&gt;"",'Actual Figures'!O59-'Budget Figures'!O59,"")</f>
        <v>275</v>
      </c>
      <c r="P59" s="61"/>
      <c r="Q59" s="37">
        <f>IF('Actual Figures'!Q$62&lt;&gt;"",'Budget Figures'!Q59-'Actual Figures'!Q59,"")</f>
        <v>0</v>
      </c>
      <c r="R59" s="2"/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1"/>
      <c r="B60" s="61"/>
      <c r="C60" s="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61"/>
      <c r="Q60" s="25"/>
      <c r="R60" s="2"/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1"/>
      <c r="B61" s="61"/>
      <c r="C61" s="36" t="s">
        <v>45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61"/>
      <c r="Q61" s="25"/>
      <c r="R61" s="2"/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1"/>
      <c r="B62" s="61"/>
      <c r="C62" s="39" t="s">
        <v>46</v>
      </c>
      <c r="D62" s="37">
        <f>IF('Actual Figures'!D62&lt;&gt;"",'Actual Figures'!D62-'Budget Figures'!D62,"")</f>
        <v>35.86956522</v>
      </c>
      <c r="E62" s="37">
        <f>IF('Actual Figures'!E62&lt;&gt;"",'Actual Figures'!E62-'Budget Figures'!E62,"")</f>
        <v>35.86956522</v>
      </c>
      <c r="F62" s="37">
        <f>IF('Actual Figures'!F62&lt;&gt;"",'Actual Figures'!F62-'Budget Figures'!F62,"")</f>
        <v>35.86956522</v>
      </c>
      <c r="G62" s="37">
        <f>IF('Actual Figures'!G62&lt;&gt;"",'Actual Figures'!G62-'Budget Figures'!G62,"")</f>
        <v>35.86956522</v>
      </c>
      <c r="H62" s="37">
        <f>IF('Actual Figures'!H62&lt;&gt;"",'Actual Figures'!H62-'Budget Figures'!H62,"")</f>
        <v>35.86956522</v>
      </c>
      <c r="I62" s="37">
        <f>IF('Actual Figures'!I62&lt;&gt;"",'Actual Figures'!I62-'Budget Figures'!I62,"")</f>
        <v>35.86956522</v>
      </c>
      <c r="J62" s="37">
        <f>IF('Actual Figures'!J62&lt;&gt;"",'Actual Figures'!J62-'Budget Figures'!J62,"")</f>
        <v>35.86956522</v>
      </c>
      <c r="K62" s="37">
        <f>IF('Actual Figures'!K62&lt;&gt;"",'Actual Figures'!K62-'Budget Figures'!K62,"")</f>
        <v>35.86956522</v>
      </c>
      <c r="L62" s="37">
        <f>IF('Actual Figures'!L62&lt;&gt;"",'Actual Figures'!L62-'Budget Figures'!L62,"")</f>
        <v>35.86956522</v>
      </c>
      <c r="M62" s="37">
        <f>IF('Actual Figures'!M62&lt;&gt;"",'Actual Figures'!M62-'Budget Figures'!M62,"")</f>
        <v>35.86956522</v>
      </c>
      <c r="N62" s="37">
        <f>IF('Actual Figures'!N62&lt;&gt;"",'Actual Figures'!N62-'Budget Figures'!N62,"")</f>
        <v>35.86956522</v>
      </c>
      <c r="O62" s="37">
        <f>IF('Actual Figures'!O62&lt;&gt;"",'Actual Figures'!O62-'Budget Figures'!O62,"")</f>
        <v>35.86956522</v>
      </c>
      <c r="P62" s="61"/>
      <c r="Q62" s="37">
        <f t="shared" ref="Q62:Q64" si="6">SUM(D62:O62)</f>
        <v>430.4347826</v>
      </c>
      <c r="R62" s="2"/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1"/>
      <c r="B63" s="61"/>
      <c r="C63" s="39" t="s">
        <v>47</v>
      </c>
      <c r="D63" s="42">
        <f>IF('Actual Figures'!D63&lt;&gt;"",'Actual Figures'!D63-'Budget Figures'!D63,"")</f>
        <v>-1304.347826</v>
      </c>
      <c r="E63" s="42">
        <f>IF('Actual Figures'!E63&lt;&gt;"",'Actual Figures'!E63-'Budget Figures'!E63,"")</f>
        <v>-2217.391304</v>
      </c>
      <c r="F63" s="42">
        <f>IF('Actual Figures'!F63&lt;&gt;"",'Actual Figures'!F63-'Budget Figures'!F63,"")</f>
        <v>-3260.869565</v>
      </c>
      <c r="G63" s="42">
        <f>IF('Actual Figures'!G63&lt;&gt;"",'Actual Figures'!G63-'Budget Figures'!G63,"")</f>
        <v>-130.4347826</v>
      </c>
      <c r="H63" s="42">
        <f>IF('Actual Figures'!H63&lt;&gt;"",'Actual Figures'!H63-'Budget Figures'!H63,"")</f>
        <v>0</v>
      </c>
      <c r="I63" s="42">
        <f>IF('Actual Figures'!I63&lt;&gt;"",'Actual Figures'!I63-'Budget Figures'!I63,"")</f>
        <v>-521.7391304</v>
      </c>
      <c r="J63" s="42">
        <f>IF('Actual Figures'!J63&lt;&gt;"",'Actual Figures'!J63-'Budget Figures'!J63,"")</f>
        <v>1891.304348</v>
      </c>
      <c r="K63" s="42">
        <f>IF('Actual Figures'!K63&lt;&gt;"",'Actual Figures'!K63-'Budget Figures'!K63,"")</f>
        <v>391.3043478</v>
      </c>
      <c r="L63" s="42">
        <f>IF('Actual Figures'!L63&lt;&gt;"",'Actual Figures'!L63-'Budget Figures'!L63,"")</f>
        <v>-652.173913</v>
      </c>
      <c r="M63" s="42">
        <f>IF('Actual Figures'!M63&lt;&gt;"",'Actual Figures'!M63-'Budget Figures'!M63,"")</f>
        <v>-1173.913043</v>
      </c>
      <c r="N63" s="42">
        <f>IF('Actual Figures'!N63&lt;&gt;"",'Actual Figures'!N63-'Budget Figures'!N63,"")</f>
        <v>913.0434783</v>
      </c>
      <c r="O63" s="42">
        <f>IF('Actual Figures'!O63&lt;&gt;"",'Actual Figures'!O63-'Budget Figures'!O63,"")</f>
        <v>-365.2173913</v>
      </c>
      <c r="P63" s="61"/>
      <c r="Q63" s="37">
        <f t="shared" si="6"/>
        <v>-6430.434783</v>
      </c>
      <c r="R63" s="2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1"/>
      <c r="B64" s="61"/>
      <c r="C64" s="60" t="s">
        <v>48</v>
      </c>
      <c r="D64" s="67">
        <f>IF('Actual Figures'!D64&lt;&gt;"",'Actual Figures'!D64-'Budget Figures'!D64,"")</f>
        <v>1340.217391</v>
      </c>
      <c r="E64" s="67">
        <f>IF('Actual Figures'!E64&lt;&gt;"",'Actual Figures'!E64-'Budget Figures'!E64,"")</f>
        <v>2253.26087</v>
      </c>
      <c r="F64" s="67">
        <f>IF('Actual Figures'!F64&lt;&gt;"",'Actual Figures'!F64-'Budget Figures'!F64,"")</f>
        <v>3296.73913</v>
      </c>
      <c r="G64" s="67">
        <f>IF('Actual Figures'!G64&lt;&gt;"",'Actual Figures'!G64-'Budget Figures'!G64,"")</f>
        <v>166.3043478</v>
      </c>
      <c r="H64" s="67">
        <f>IF('Actual Figures'!H64&lt;&gt;"",'Actual Figures'!H64-'Budget Figures'!H64,"")</f>
        <v>35.86956522</v>
      </c>
      <c r="I64" s="67">
        <f>IF('Actual Figures'!I64&lt;&gt;"",'Actual Figures'!I64-'Budget Figures'!I64,"")</f>
        <v>557.6086957</v>
      </c>
      <c r="J64" s="67">
        <f>IF('Actual Figures'!J64&lt;&gt;"",'Actual Figures'!J64-'Budget Figures'!J64,"")</f>
        <v>-1855.434783</v>
      </c>
      <c r="K64" s="67">
        <f>IF('Actual Figures'!K64&lt;&gt;"",'Actual Figures'!K64-'Budget Figures'!K64,"")</f>
        <v>-355.4347826</v>
      </c>
      <c r="L64" s="67">
        <f>IF('Actual Figures'!L64&lt;&gt;"",'Actual Figures'!L64-'Budget Figures'!L64,"")</f>
        <v>688.0434783</v>
      </c>
      <c r="M64" s="67">
        <f>IF('Actual Figures'!M64&lt;&gt;"",'Actual Figures'!M64-'Budget Figures'!M64,"")</f>
        <v>1209.782609</v>
      </c>
      <c r="N64" s="67">
        <f>IF('Actual Figures'!N64&lt;&gt;"",'Actual Figures'!N64-'Budget Figures'!N64,"")</f>
        <v>-877.173913</v>
      </c>
      <c r="O64" s="67">
        <f>IF('Actual Figures'!O64&lt;&gt;"",'Actual Figures'!O64-'Budget Figures'!O64,"")</f>
        <v>401.0869565</v>
      </c>
      <c r="P64" s="61"/>
      <c r="Q64" s="68">
        <f t="shared" si="6"/>
        <v>6860.869565</v>
      </c>
      <c r="R64" s="2"/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1"/>
      <c r="B65" s="61"/>
      <c r="C65" s="2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61"/>
      <c r="Q65" s="25"/>
      <c r="R65" s="2"/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1"/>
      <c r="B66" s="61"/>
      <c r="C66" s="60" t="s">
        <v>49</v>
      </c>
      <c r="D66" s="67">
        <f>IF('Actual Figures'!D66&lt;&gt;"",'Actual Figures'!D66-'Budget Figures'!D66,"")</f>
        <v>2884.782609</v>
      </c>
      <c r="E66" s="67">
        <f>IF('Actual Figures'!E66&lt;&gt;"",'Actual Figures'!E66-'Budget Figures'!E66,"")</f>
        <v>-5028.26087</v>
      </c>
      <c r="F66" s="67">
        <f>IF('Actual Figures'!F66&lt;&gt;"",'Actual Figures'!F66-'Budget Figures'!F66,"")</f>
        <v>-14071.73913</v>
      </c>
      <c r="G66" s="67">
        <f>IF('Actual Figures'!G66&lt;&gt;"",'Actual Figures'!G66-'Budget Figures'!G66,"")</f>
        <v>13058.69565</v>
      </c>
      <c r="H66" s="67">
        <f>IF('Actual Figures'!H66&lt;&gt;"",'Actual Figures'!H66-'Budget Figures'!H66,"")</f>
        <v>14189.13043</v>
      </c>
      <c r="I66" s="67">
        <f>IF('Actual Figures'!I66&lt;&gt;"",'Actual Figures'!I66-'Budget Figures'!I66,"")</f>
        <v>9667.391304</v>
      </c>
      <c r="J66" s="67">
        <f>IF('Actual Figures'!J66&lt;&gt;"",'Actual Figures'!J66-'Budget Figures'!J66,"")</f>
        <v>30580.43478</v>
      </c>
      <c r="K66" s="67">
        <f>IF('Actual Figures'!K66&lt;&gt;"",'Actual Figures'!K66-'Budget Figures'!K66,"")</f>
        <v>17580.43478</v>
      </c>
      <c r="L66" s="67">
        <f>IF('Actual Figures'!L66&lt;&gt;"",'Actual Figures'!L66-'Budget Figures'!L66,"")</f>
        <v>8536.956522</v>
      </c>
      <c r="M66" s="67">
        <f>IF('Actual Figures'!M66&lt;&gt;"",'Actual Figures'!M66-'Budget Figures'!M66,"")</f>
        <v>4015.217391</v>
      </c>
      <c r="N66" s="67">
        <f>IF('Actual Figures'!N66&lt;&gt;"",'Actual Figures'!N66-'Budget Figures'!N66,"")</f>
        <v>22102.17391</v>
      </c>
      <c r="O66" s="67">
        <f>IF('Actual Figures'!O66&lt;&gt;"",'Actual Figures'!O66-'Budget Figures'!O66,"")</f>
        <v>11023.91304</v>
      </c>
      <c r="P66" s="61"/>
      <c r="Q66" s="68">
        <f>SUM(D66:O66)</f>
        <v>114539.1304</v>
      </c>
      <c r="R66" s="2"/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1"/>
      <c r="B67" s="61"/>
      <c r="C67" s="2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61"/>
      <c r="Q67" s="25"/>
      <c r="R67" s="2"/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1"/>
      <c r="B68" s="61"/>
      <c r="C68" s="39" t="s">
        <v>50</v>
      </c>
      <c r="D68" s="37">
        <f>IF('Actual Figures'!D68&lt;&gt;"",'Actual Figures'!D68-'Budget Figures'!D68,"")</f>
        <v>-3500</v>
      </c>
      <c r="E68" s="37">
        <f>IF('Actual Figures'!E68&lt;&gt;"",'Actual Figures'!E68-'Budget Figures'!E68,"")</f>
        <v>-615.2173913</v>
      </c>
      <c r="F68" s="37">
        <f>IF('Actual Figures'!F68&lt;&gt;"",'Actual Figures'!F68-'Budget Figures'!F68,"")</f>
        <v>-5643.478261</v>
      </c>
      <c r="G68" s="37">
        <f>IF('Actual Figures'!G68&lt;&gt;"",'Actual Figures'!G68-'Budget Figures'!G68,"")</f>
        <v>-19715.21739</v>
      </c>
      <c r="H68" s="37">
        <f>IF('Actual Figures'!H68&lt;&gt;"",'Actual Figures'!H68-'Budget Figures'!H68,"")</f>
        <v>-6656.521739</v>
      </c>
      <c r="I68" s="37">
        <f>IF('Actual Figures'!I68&lt;&gt;"",'Actual Figures'!I68-'Budget Figures'!I68,"")</f>
        <v>7532.608696</v>
      </c>
      <c r="J68" s="37">
        <f>IF('Actual Figures'!J68&lt;&gt;"",'Actual Figures'!J68-'Budget Figures'!J68,"")</f>
        <v>17200</v>
      </c>
      <c r="K68" s="37">
        <f>IF('Actual Figures'!K68&lt;&gt;"",'Actual Figures'!K68-'Budget Figures'!K68,"")</f>
        <v>47780.43478</v>
      </c>
      <c r="L68" s="37">
        <f>IF('Actual Figures'!L68&lt;&gt;"",'Actual Figures'!L68-'Budget Figures'!L68,"")</f>
        <v>65360.86957</v>
      </c>
      <c r="M68" s="37">
        <f>IF('Actual Figures'!M68&lt;&gt;"",'Actual Figures'!M68-'Budget Figures'!M68,"")</f>
        <v>73897.82609</v>
      </c>
      <c r="N68" s="37">
        <f>IF('Actual Figures'!N68&lt;&gt;"",'Actual Figures'!N68-'Budget Figures'!N68,"")</f>
        <v>77913.04348</v>
      </c>
      <c r="O68" s="37">
        <f>IF('Actual Figures'!O68&lt;&gt;"",'Actual Figures'!O68-'Budget Figures'!O68,"")</f>
        <v>100015.2174</v>
      </c>
      <c r="P68" s="61"/>
      <c r="Q68" s="25"/>
      <c r="R68" s="2"/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1"/>
      <c r="B69" s="61"/>
      <c r="C69" s="39" t="s">
        <v>55</v>
      </c>
      <c r="D69" s="42">
        <f>IF('Actual Figures'!D69&lt;&gt;"",'Actual Figures'!D69-'Budget Figures'!D69,"")</f>
        <v>-11554.34783</v>
      </c>
      <c r="E69" s="42">
        <f>IF('Actual Figures'!E69&lt;&gt;"",'Actual Figures'!E69-'Budget Figures'!E69,"")</f>
        <v>-19467.3913</v>
      </c>
      <c r="F69" s="42">
        <f>IF('Actual Figures'!F69&lt;&gt;"",'Actual Figures'!F69-'Budget Figures'!F69,"")</f>
        <v>-28510.86957</v>
      </c>
      <c r="G69" s="42">
        <f>IF('Actual Figures'!G69&lt;&gt;"",'Actual Figures'!G69-'Budget Figures'!G69,"")</f>
        <v>-1380.434783</v>
      </c>
      <c r="H69" s="42">
        <f>IF('Actual Figures'!H69&lt;&gt;"",'Actual Figures'!H69-'Budget Figures'!H69,"")</f>
        <v>-250</v>
      </c>
      <c r="I69" s="42">
        <f>IF('Actual Figures'!I69&lt;&gt;"",'Actual Figures'!I69-'Budget Figures'!I69,"")</f>
        <v>-4771.73913</v>
      </c>
      <c r="J69" s="42">
        <f>IF('Actual Figures'!J69&lt;&gt;"",'Actual Figures'!J69-'Budget Figures'!J69,"")</f>
        <v>16141.30435</v>
      </c>
      <c r="K69" s="42">
        <f>IF('Actual Figures'!K69&lt;&gt;"",'Actual Figures'!K69-'Budget Figures'!K69,"")</f>
        <v>3141.304348</v>
      </c>
      <c r="L69" s="42">
        <f>IF('Actual Figures'!L69&lt;&gt;"",'Actual Figures'!L69-'Budget Figures'!L69,"")</f>
        <v>-5902.173913</v>
      </c>
      <c r="M69" s="42">
        <f>IF('Actual Figures'!M69&lt;&gt;"",'Actual Figures'!M69-'Budget Figures'!M69,"")</f>
        <v>-10423.91304</v>
      </c>
      <c r="N69" s="42">
        <f>IF('Actual Figures'!N69&lt;&gt;"",'Actual Figures'!N69-'Budget Figures'!N69,"")</f>
        <v>7663.043478</v>
      </c>
      <c r="O69" s="42">
        <f>IF('Actual Figures'!O69&lt;&gt;"",'Actual Figures'!O69-'Budget Figures'!O69,"")</f>
        <v>-3415.217391</v>
      </c>
      <c r="P69" s="61"/>
      <c r="Q69" s="25"/>
      <c r="R69" s="2"/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1"/>
      <c r="B70" s="61"/>
      <c r="C70" s="2"/>
      <c r="D70" s="37">
        <f>IF('Actual Figures'!D70&lt;&gt;"",'Actual Figures'!D70-'Budget Figures'!D70,"")</f>
        <v>-15054.34783</v>
      </c>
      <c r="E70" s="37">
        <f>IF('Actual Figures'!E70&lt;&gt;"",'Actual Figures'!E70-'Budget Figures'!E70,"")</f>
        <v>-20082.6087</v>
      </c>
      <c r="F70" s="37">
        <f>IF('Actual Figures'!F70&lt;&gt;"",'Actual Figures'!F70-'Budget Figures'!F70,"")</f>
        <v>-34154.34783</v>
      </c>
      <c r="G70" s="37">
        <f>IF('Actual Figures'!G70&lt;&gt;"",'Actual Figures'!G70-'Budget Figures'!G70,"")</f>
        <v>-21095.65217</v>
      </c>
      <c r="H70" s="37">
        <f>IF('Actual Figures'!H70&lt;&gt;"",'Actual Figures'!H70-'Budget Figures'!H70,"")</f>
        <v>-6906.521739</v>
      </c>
      <c r="I70" s="37">
        <f>IF('Actual Figures'!I70&lt;&gt;"",'Actual Figures'!I70-'Budget Figures'!I70,"")</f>
        <v>2760.869565</v>
      </c>
      <c r="J70" s="37">
        <f>IF('Actual Figures'!J70&lt;&gt;"",'Actual Figures'!J70-'Budget Figures'!J70,"")</f>
        <v>33341.30435</v>
      </c>
      <c r="K70" s="37">
        <f>IF('Actual Figures'!K70&lt;&gt;"",'Actual Figures'!K70-'Budget Figures'!K70,"")</f>
        <v>50921.73913</v>
      </c>
      <c r="L70" s="37">
        <f>IF('Actual Figures'!L70&lt;&gt;"",'Actual Figures'!L70-'Budget Figures'!L70,"")</f>
        <v>59458.69565</v>
      </c>
      <c r="M70" s="37">
        <f>IF('Actual Figures'!M70&lt;&gt;"",'Actual Figures'!M70-'Budget Figures'!M70,"")</f>
        <v>63473.91304</v>
      </c>
      <c r="N70" s="37">
        <f>IF('Actual Figures'!N70&lt;&gt;"",'Actual Figures'!N70-'Budget Figures'!N70,"")</f>
        <v>85576.08696</v>
      </c>
      <c r="O70" s="37">
        <f>IF('Actual Figures'!O70&lt;&gt;"",'Actual Figures'!O70-'Budget Figures'!O70,"")</f>
        <v>96600</v>
      </c>
      <c r="P70" s="61"/>
      <c r="Q70" s="25"/>
      <c r="R70" s="2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1"/>
      <c r="B71" s="61"/>
      <c r="C71" s="39" t="s">
        <v>56</v>
      </c>
      <c r="D71" s="42">
        <f>IF('Actual Figures'!D71&lt;&gt;"",'Actual Figures'!D71-'Budget Figures'!D71,"")</f>
        <v>-14439.13043</v>
      </c>
      <c r="E71" s="42">
        <f>IF('Actual Figures'!E71&lt;&gt;"",'Actual Figures'!E71-'Budget Figures'!E71,"")</f>
        <v>-14439.13043</v>
      </c>
      <c r="F71" s="42">
        <f>IF('Actual Figures'!F71&lt;&gt;"",'Actual Figures'!F71-'Budget Figures'!F71,"")</f>
        <v>-14439.13043</v>
      </c>
      <c r="G71" s="42">
        <f>IF('Actual Figures'!G71&lt;&gt;"",'Actual Figures'!G71-'Budget Figures'!G71,"")</f>
        <v>-14439.13043</v>
      </c>
      <c r="H71" s="42">
        <f>IF('Actual Figures'!H71&lt;&gt;"",'Actual Figures'!H71-'Budget Figures'!H71,"")</f>
        <v>-14439.13043</v>
      </c>
      <c r="I71" s="42">
        <f>IF('Actual Figures'!I71&lt;&gt;"",'Actual Figures'!I71-'Budget Figures'!I71,"")</f>
        <v>-14439.13043</v>
      </c>
      <c r="J71" s="42">
        <f>IF('Actual Figures'!J71&lt;&gt;"",'Actual Figures'!J71-'Budget Figures'!J71,"")</f>
        <v>-14439.13043</v>
      </c>
      <c r="K71" s="42">
        <f>IF('Actual Figures'!K71&lt;&gt;"",'Actual Figures'!K71-'Budget Figures'!K71,"")</f>
        <v>-14439.13043</v>
      </c>
      <c r="L71" s="42">
        <f>IF('Actual Figures'!L71&lt;&gt;"",'Actual Figures'!L71-'Budget Figures'!L71,"")</f>
        <v>-14439.13043</v>
      </c>
      <c r="M71" s="42">
        <f>IF('Actual Figures'!M71&lt;&gt;"",'Actual Figures'!M71-'Budget Figures'!M71,"")</f>
        <v>-14439.13043</v>
      </c>
      <c r="N71" s="42">
        <f>IF('Actual Figures'!N71&lt;&gt;"",'Actual Figures'!N71-'Budget Figures'!N71,"")</f>
        <v>-14439.13043</v>
      </c>
      <c r="O71" s="42">
        <f>IF('Actual Figures'!O71&lt;&gt;"",'Actual Figures'!O71-'Budget Figures'!O71,"")</f>
        <v>-14439.13043</v>
      </c>
      <c r="P71" s="61"/>
      <c r="Q71" s="25"/>
      <c r="R71" s="2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1"/>
      <c r="B72" s="61"/>
      <c r="C72" s="60" t="s">
        <v>53</v>
      </c>
      <c r="D72" s="67">
        <f>IF('Actual Figures'!D72&lt;&gt;"",'Actual Figures'!D72-'Budget Figures'!D72,"")</f>
        <v>-615.2173913</v>
      </c>
      <c r="E72" s="67">
        <f>IF('Actual Figures'!E72&lt;&gt;"",'Actual Figures'!E72-'Budget Figures'!E72,"")</f>
        <v>-5643.478261</v>
      </c>
      <c r="F72" s="67">
        <f>IF('Actual Figures'!F72&lt;&gt;"",'Actual Figures'!F72-'Budget Figures'!F72,"")</f>
        <v>-19715.21739</v>
      </c>
      <c r="G72" s="67">
        <f>IF('Actual Figures'!G72&lt;&gt;"",'Actual Figures'!G72-'Budget Figures'!G72,"")</f>
        <v>-6656.521739</v>
      </c>
      <c r="H72" s="67">
        <f>IF('Actual Figures'!H72&lt;&gt;"",'Actual Figures'!H72-'Budget Figures'!H72,"")</f>
        <v>7532.608696</v>
      </c>
      <c r="I72" s="67">
        <f>IF('Actual Figures'!I72&lt;&gt;"",'Actual Figures'!I72-'Budget Figures'!I72,"")</f>
        <v>17200</v>
      </c>
      <c r="J72" s="67">
        <f>IF('Actual Figures'!J72&lt;&gt;"",'Actual Figures'!J72-'Budget Figures'!J72,"")</f>
        <v>47780.43478</v>
      </c>
      <c r="K72" s="67">
        <f>IF('Actual Figures'!K72&lt;&gt;"",'Actual Figures'!K72-'Budget Figures'!K72,"")</f>
        <v>65360.86957</v>
      </c>
      <c r="L72" s="67">
        <f>IF('Actual Figures'!L72&lt;&gt;"",'Actual Figures'!L72-'Budget Figures'!L72,"")</f>
        <v>73897.82609</v>
      </c>
      <c r="M72" s="67">
        <f>IF('Actual Figures'!M72&lt;&gt;"",'Actual Figures'!M72-'Budget Figures'!M72,"")</f>
        <v>77913.04348</v>
      </c>
      <c r="N72" s="67">
        <f>IF('Actual Figures'!N72&lt;&gt;"",'Actual Figures'!N72-'Budget Figures'!N72,"")</f>
        <v>100015.2174</v>
      </c>
      <c r="O72" s="67">
        <f>IF('Actual Figures'!O72&lt;&gt;"",'Actual Figures'!O72-'Budget Figures'!O72,"")</f>
        <v>111039.1304</v>
      </c>
      <c r="P72" s="61"/>
      <c r="Q72" s="25"/>
      <c r="R72" s="2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1"/>
      <c r="B73" s="61"/>
      <c r="C73" s="2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61"/>
      <c r="Q73" s="25"/>
      <c r="R73" s="2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1"/>
      <c r="B74" s="61"/>
      <c r="C74" s="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61"/>
      <c r="Q74" s="25"/>
      <c r="R74" s="2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2"/>
      <c r="B232" s="2"/>
      <c r="C232" s="2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2"/>
      <c r="B233" s="2"/>
      <c r="C233" s="2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2"/>
      <c r="B234" s="2"/>
      <c r="C234" s="2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2"/>
      <c r="B235" s="2"/>
      <c r="C235" s="2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2"/>
      <c r="B236" s="2"/>
      <c r="C236" s="2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2"/>
      <c r="B237" s="2"/>
      <c r="C237" s="2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2"/>
      <c r="B238" s="2"/>
      <c r="C238" s="2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2"/>
      <c r="B239" s="2"/>
      <c r="C239" s="2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2"/>
      <c r="B240" s="2"/>
      <c r="C240" s="2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2"/>
      <c r="B241" s="2"/>
      <c r="C241" s="2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2"/>
      <c r="B242" s="2"/>
      <c r="C242" s="2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2"/>
      <c r="B243" s="2"/>
      <c r="C243" s="2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2"/>
      <c r="B244" s="2"/>
      <c r="C244" s="2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2"/>
      <c r="B245" s="2"/>
      <c r="C245" s="2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2"/>
      <c r="B246" s="2"/>
      <c r="C246" s="2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2"/>
      <c r="B247" s="2"/>
      <c r="C247" s="2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2"/>
      <c r="B248" s="2"/>
      <c r="C248" s="2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2"/>
      <c r="B249" s="2"/>
      <c r="C249" s="2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2"/>
      <c r="B250" s="2"/>
      <c r="C250" s="2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2"/>
      <c r="B251" s="2"/>
      <c r="C251" s="2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1">
      <c r="A252" s="2"/>
      <c r="B252" s="2"/>
      <c r="C252" s="2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A253" s="2"/>
      <c r="B253" s="2"/>
      <c r="C253" s="2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A254" s="2"/>
      <c r="B254" s="2"/>
      <c r="C254" s="2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1">
      <c r="A255" s="2"/>
      <c r="B255" s="2"/>
      <c r="C255" s="2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1">
      <c r="A256" s="2"/>
      <c r="B256" s="2"/>
      <c r="C256" s="2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1">
      <c r="A257" s="2"/>
      <c r="B257" s="2"/>
      <c r="C257" s="2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1">
      <c r="A258" s="2"/>
      <c r="B258" s="2"/>
      <c r="C258" s="2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1">
      <c r="A259" s="2"/>
      <c r="B259" s="2"/>
      <c r="C259" s="2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1">
      <c r="A260" s="2"/>
      <c r="B260" s="2"/>
      <c r="C260" s="2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1">
      <c r="A261" s="2"/>
      <c r="B261" s="2"/>
      <c r="C261" s="2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2"/>
      <c r="B262" s="2"/>
      <c r="C262" s="2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2"/>
      <c r="B263" s="2"/>
      <c r="C263" s="2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2"/>
      <c r="B264" s="2"/>
      <c r="C264" s="2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2"/>
      <c r="B265" s="2"/>
      <c r="C265" s="2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2"/>
      <c r="B266" s="2"/>
      <c r="C266" s="2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2"/>
      <c r="B267" s="2"/>
      <c r="C267" s="2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2"/>
      <c r="B268" s="2"/>
      <c r="C268" s="2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2"/>
      <c r="B269" s="2"/>
      <c r="C269" s="2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2"/>
      <c r="B270" s="2"/>
      <c r="C270" s="2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2"/>
      <c r="B271" s="2"/>
      <c r="C271" s="2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2"/>
      <c r="B272" s="2"/>
      <c r="C272" s="2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</sheetData>
  <mergeCells count="1">
    <mergeCell ref="C3:C4"/>
  </mergeCells>
  <printOptions/>
  <pageMargins bottom="0.44" footer="0.0" header="0.0" left="0.2" right="0.21" top="0.31"/>
  <pageSetup paperSize="9"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2.14"/>
    <col customWidth="1" min="3" max="3" width="2.57"/>
    <col customWidth="1" min="4" max="17" width="15.71"/>
    <col customWidth="1" min="18" max="18" width="2.71"/>
    <col customWidth="1" min="19" max="19" width="2.29"/>
  </cols>
  <sheetData>
    <row r="1" ht="10.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ht="10.5" customHeight="1">
      <c r="A2" s="69"/>
      <c r="T2" s="69"/>
      <c r="U2" s="69"/>
      <c r="V2" s="69"/>
      <c r="W2" s="69"/>
      <c r="X2" s="69"/>
    </row>
    <row r="3">
      <c r="A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T3" s="69"/>
      <c r="U3" s="69"/>
      <c r="V3" s="69"/>
      <c r="W3" s="69"/>
      <c r="X3" s="69"/>
    </row>
    <row r="4">
      <c r="A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T4" s="69"/>
      <c r="U4" s="69"/>
      <c r="V4" s="69"/>
      <c r="W4" s="69"/>
      <c r="X4" s="69"/>
    </row>
    <row r="5">
      <c r="A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T5" s="69"/>
      <c r="U5" s="69"/>
      <c r="V5" s="69"/>
      <c r="W5" s="69"/>
      <c r="X5" s="69"/>
    </row>
    <row r="6">
      <c r="A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T6" s="69"/>
      <c r="U6" s="69"/>
      <c r="V6" s="69"/>
      <c r="W6" s="69"/>
      <c r="X6" s="69"/>
    </row>
    <row r="7">
      <c r="A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T7" s="69"/>
      <c r="U7" s="69"/>
      <c r="V7" s="69"/>
      <c r="W7" s="69"/>
      <c r="X7" s="69"/>
    </row>
    <row r="8">
      <c r="A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T8" s="69"/>
      <c r="U8" s="69"/>
      <c r="V8" s="69"/>
      <c r="W8" s="69"/>
      <c r="X8" s="69"/>
    </row>
    <row r="9">
      <c r="A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T9" s="69"/>
      <c r="U9" s="69"/>
      <c r="V9" s="69"/>
      <c r="W9" s="69"/>
      <c r="X9" s="69"/>
    </row>
    <row r="10">
      <c r="A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T10" s="69"/>
      <c r="U10" s="69"/>
      <c r="V10" s="69"/>
      <c r="W10" s="69"/>
      <c r="X10" s="69"/>
    </row>
    <row r="11">
      <c r="A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T11" s="69"/>
      <c r="U11" s="69"/>
      <c r="V11" s="69"/>
      <c r="W11" s="69"/>
      <c r="X11" s="69"/>
    </row>
    <row r="12">
      <c r="A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T12" s="69"/>
      <c r="U12" s="69"/>
      <c r="V12" s="69"/>
      <c r="W12" s="69"/>
      <c r="X12" s="69"/>
    </row>
    <row r="13">
      <c r="A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T13" s="69"/>
      <c r="U13" s="69"/>
      <c r="V13" s="69"/>
      <c r="W13" s="69"/>
      <c r="X13" s="69"/>
    </row>
    <row r="14">
      <c r="A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T14" s="69"/>
      <c r="U14" s="69"/>
      <c r="V14" s="69"/>
      <c r="W14" s="69"/>
      <c r="X14" s="69"/>
    </row>
    <row r="15">
      <c r="A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T15" s="69"/>
      <c r="U15" s="69"/>
      <c r="V15" s="69"/>
      <c r="W15" s="69"/>
      <c r="X15" s="69"/>
    </row>
    <row r="16">
      <c r="A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T16" s="69"/>
      <c r="U16" s="69"/>
      <c r="V16" s="69"/>
      <c r="W16" s="69"/>
      <c r="X16" s="69"/>
    </row>
    <row r="17">
      <c r="A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T17" s="69"/>
      <c r="U17" s="69"/>
      <c r="V17" s="69"/>
      <c r="W17" s="69"/>
      <c r="X17" s="69"/>
    </row>
    <row r="18">
      <c r="A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T18" s="69"/>
      <c r="U18" s="69"/>
      <c r="V18" s="69"/>
      <c r="W18" s="69"/>
      <c r="X18" s="69"/>
    </row>
    <row r="19">
      <c r="A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T19" s="69"/>
      <c r="U19" s="69"/>
      <c r="V19" s="69"/>
      <c r="W19" s="69"/>
      <c r="X19" s="69"/>
    </row>
    <row r="20">
      <c r="A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T20" s="69"/>
      <c r="U20" s="69"/>
      <c r="V20" s="69"/>
      <c r="W20" s="69"/>
      <c r="X20" s="69"/>
    </row>
    <row r="21">
      <c r="A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T21" s="69"/>
      <c r="U21" s="69"/>
      <c r="V21" s="69"/>
      <c r="W21" s="69"/>
      <c r="X21" s="69"/>
    </row>
    <row r="22">
      <c r="A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T22" s="69"/>
      <c r="U22" s="69"/>
      <c r="V22" s="69"/>
      <c r="W22" s="69"/>
      <c r="X22" s="69"/>
    </row>
    <row r="23">
      <c r="A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T23" s="69"/>
      <c r="U23" s="69"/>
      <c r="V23" s="69"/>
      <c r="W23" s="69"/>
      <c r="X23" s="69"/>
    </row>
    <row r="24">
      <c r="A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T24" s="69"/>
      <c r="U24" s="69"/>
      <c r="V24" s="69"/>
      <c r="W24" s="69"/>
      <c r="X24" s="69"/>
    </row>
    <row r="25">
      <c r="A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T25" s="69"/>
      <c r="U25" s="69"/>
      <c r="V25" s="69"/>
      <c r="W25" s="69"/>
      <c r="X25" s="69"/>
    </row>
    <row r="26">
      <c r="A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T26" s="69"/>
      <c r="U26" s="69"/>
      <c r="V26" s="69"/>
      <c r="W26" s="69"/>
      <c r="X26" s="69"/>
    </row>
    <row r="27">
      <c r="A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T27" s="69"/>
      <c r="U27" s="69"/>
      <c r="V27" s="69"/>
      <c r="W27" s="69"/>
      <c r="X27" s="69"/>
    </row>
    <row r="28">
      <c r="A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T28" s="69"/>
      <c r="U28" s="69"/>
      <c r="V28" s="69"/>
      <c r="W28" s="69"/>
      <c r="X28" s="69"/>
    </row>
    <row r="29">
      <c r="A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T29" s="69"/>
      <c r="U29" s="69"/>
      <c r="V29" s="69"/>
      <c r="W29" s="69"/>
      <c r="X29" s="69"/>
    </row>
    <row r="30">
      <c r="A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T30" s="69"/>
      <c r="U30" s="69"/>
      <c r="V30" s="69"/>
      <c r="W30" s="69"/>
      <c r="X30" s="69"/>
    </row>
    <row r="31">
      <c r="A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T31" s="69"/>
      <c r="U31" s="69"/>
      <c r="V31" s="69"/>
      <c r="W31" s="69"/>
      <c r="X31" s="69"/>
    </row>
    <row r="32">
      <c r="A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T32" s="69"/>
      <c r="U32" s="69"/>
      <c r="V32" s="69"/>
      <c r="W32" s="69"/>
      <c r="X32" s="69"/>
    </row>
    <row r="33">
      <c r="A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T33" s="69"/>
      <c r="U33" s="69"/>
      <c r="V33" s="69"/>
      <c r="W33" s="69"/>
      <c r="X33" s="69"/>
    </row>
    <row r="34">
      <c r="A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T34" s="69"/>
      <c r="U34" s="69"/>
      <c r="V34" s="69"/>
      <c r="W34" s="69"/>
      <c r="X34" s="69"/>
    </row>
    <row r="35">
      <c r="A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T35" s="69"/>
      <c r="U35" s="69"/>
      <c r="V35" s="69"/>
      <c r="W35" s="69"/>
      <c r="X35" s="69"/>
    </row>
    <row r="36">
      <c r="A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T36" s="69"/>
      <c r="U36" s="69"/>
      <c r="V36" s="69"/>
      <c r="W36" s="69"/>
      <c r="X36" s="69"/>
    </row>
    <row r="37">
      <c r="A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T37" s="69"/>
      <c r="U37" s="69"/>
      <c r="V37" s="69"/>
      <c r="W37" s="69"/>
      <c r="X37" s="69"/>
    </row>
    <row r="38">
      <c r="A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T38" s="69"/>
      <c r="U38" s="69"/>
      <c r="V38" s="69"/>
      <c r="W38" s="69"/>
      <c r="X38" s="69"/>
    </row>
    <row r="39">
      <c r="A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T39" s="69"/>
      <c r="U39" s="69"/>
      <c r="V39" s="69"/>
      <c r="W39" s="69"/>
      <c r="X39" s="69"/>
    </row>
    <row r="40">
      <c r="A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T40" s="69"/>
      <c r="U40" s="69"/>
      <c r="V40" s="69"/>
      <c r="W40" s="69"/>
      <c r="X40" s="69"/>
    </row>
    <row r="41">
      <c r="A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T41" s="69"/>
      <c r="U41" s="69"/>
      <c r="V41" s="69"/>
      <c r="W41" s="69"/>
      <c r="X41" s="69"/>
    </row>
    <row r="42">
      <c r="A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T42" s="69"/>
      <c r="U42" s="69"/>
      <c r="V42" s="69"/>
      <c r="W42" s="69"/>
      <c r="X42" s="69"/>
    </row>
    <row r="43">
      <c r="A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T43" s="69"/>
      <c r="U43" s="69"/>
      <c r="V43" s="69"/>
      <c r="W43" s="69"/>
      <c r="X43" s="69"/>
    </row>
    <row r="44" ht="10.5" customHeight="1">
      <c r="A44" s="69"/>
      <c r="T44" s="69"/>
      <c r="U44" s="69"/>
      <c r="V44" s="69"/>
      <c r="W44" s="69"/>
      <c r="X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</row>
    <row r="64">
      <c r="E64" s="70">
        <f>'Budget Figures'!D6</f>
        <v>44287</v>
      </c>
      <c r="F64" s="70">
        <f>'Budget Figures'!E6</f>
        <v>44317</v>
      </c>
      <c r="G64" s="70">
        <f>'Budget Figures'!F6</f>
        <v>44348</v>
      </c>
      <c r="H64" s="70">
        <f>'Budget Figures'!G6</f>
        <v>44378</v>
      </c>
      <c r="I64" s="70">
        <f>'Budget Figures'!H6</f>
        <v>44409</v>
      </c>
      <c r="J64" s="70">
        <f>'Budget Figures'!I6</f>
        <v>44440</v>
      </c>
      <c r="K64" s="70">
        <f>'Budget Figures'!J6</f>
        <v>44470</v>
      </c>
      <c r="L64" s="70">
        <f>'Budget Figures'!K6</f>
        <v>44501</v>
      </c>
      <c r="M64" s="70">
        <f>'Budget Figures'!L6</f>
        <v>44531</v>
      </c>
      <c r="N64" s="70">
        <f>'Budget Figures'!M6</f>
        <v>44562</v>
      </c>
      <c r="O64" s="70">
        <f>'Budget Figures'!N6</f>
        <v>44593</v>
      </c>
      <c r="P64" s="70">
        <f>'Budget Figures'!O6</f>
        <v>44621</v>
      </c>
    </row>
    <row r="65">
      <c r="D65" s="71" t="s">
        <v>58</v>
      </c>
      <c r="E65" s="72">
        <f>'Budget Figures'!D16</f>
        <v>25250</v>
      </c>
      <c r="F65" s="72">
        <f>'Budget Figures'!E16</f>
        <v>35250</v>
      </c>
      <c r="G65" s="72">
        <f>'Budget Figures'!F16</f>
        <v>45250</v>
      </c>
      <c r="H65" s="72">
        <f>'Budget Figures'!G16</f>
        <v>15250</v>
      </c>
      <c r="I65" s="72">
        <f>'Budget Figures'!H16</f>
        <v>25250</v>
      </c>
      <c r="J65" s="72">
        <f>'Budget Figures'!I16</f>
        <v>30250</v>
      </c>
      <c r="K65" s="72">
        <f>'Budget Figures'!J16</f>
        <v>12750</v>
      </c>
      <c r="L65" s="72">
        <f>'Budget Figures'!K16</f>
        <v>25250</v>
      </c>
      <c r="M65" s="72">
        <f>'Budget Figures'!L16</f>
        <v>35250</v>
      </c>
      <c r="N65" s="72">
        <f>'Budget Figures'!M16</f>
        <v>40250</v>
      </c>
      <c r="O65" s="72">
        <f>'Budget Figures'!N16</f>
        <v>25250</v>
      </c>
      <c r="P65" s="72">
        <f>'Budget Figures'!O16</f>
        <v>36050</v>
      </c>
    </row>
    <row r="66">
      <c r="D66" s="71" t="s">
        <v>59</v>
      </c>
      <c r="E66" s="72">
        <f>'Actual Figures'!D16</f>
        <v>15000</v>
      </c>
      <c r="F66" s="72">
        <f>'Actual Figures'!E16</f>
        <v>18000</v>
      </c>
      <c r="G66" s="72">
        <f>'Actual Figures'!F16</f>
        <v>20000</v>
      </c>
      <c r="H66" s="72">
        <f>'Actual Figures'!G16</f>
        <v>14000</v>
      </c>
      <c r="I66" s="72">
        <f>'Actual Figures'!H16</f>
        <v>25000</v>
      </c>
      <c r="J66" s="72">
        <f>'Actual Figures'!I16</f>
        <v>26000</v>
      </c>
      <c r="K66" s="72">
        <f>'Actual Figures'!J16</f>
        <v>27000</v>
      </c>
      <c r="L66" s="72">
        <f>'Actual Figures'!K16</f>
        <v>28000</v>
      </c>
      <c r="M66" s="72">
        <f>'Actual Figures'!L16</f>
        <v>30000</v>
      </c>
      <c r="N66" s="72">
        <f>'Actual Figures'!M16</f>
        <v>31000</v>
      </c>
      <c r="O66" s="72">
        <f>'Actual Figures'!N16</f>
        <v>32000</v>
      </c>
      <c r="P66" s="72">
        <f>'Actual Figures'!O16</f>
        <v>33000</v>
      </c>
    </row>
    <row r="70">
      <c r="E70" s="70">
        <f t="shared" ref="E70:P70" si="1">E64</f>
        <v>44287</v>
      </c>
      <c r="F70" s="70">
        <f t="shared" si="1"/>
        <v>44317</v>
      </c>
      <c r="G70" s="70">
        <f t="shared" si="1"/>
        <v>44348</v>
      </c>
      <c r="H70" s="70">
        <f t="shared" si="1"/>
        <v>44378</v>
      </c>
      <c r="I70" s="70">
        <f t="shared" si="1"/>
        <v>44409</v>
      </c>
      <c r="J70" s="70">
        <f t="shared" si="1"/>
        <v>44440</v>
      </c>
      <c r="K70" s="70">
        <f t="shared" si="1"/>
        <v>44470</v>
      </c>
      <c r="L70" s="70">
        <f t="shared" si="1"/>
        <v>44501</v>
      </c>
      <c r="M70" s="70">
        <f t="shared" si="1"/>
        <v>44531</v>
      </c>
      <c r="N70" s="70">
        <f t="shared" si="1"/>
        <v>44562</v>
      </c>
      <c r="O70" s="70">
        <f t="shared" si="1"/>
        <v>44593</v>
      </c>
      <c r="P70" s="70">
        <f t="shared" si="1"/>
        <v>44621</v>
      </c>
    </row>
    <row r="71">
      <c r="D71" s="71" t="s">
        <v>60</v>
      </c>
      <c r="E71" s="72">
        <f>'Budget Figures'!D56</f>
        <v>17500</v>
      </c>
      <c r="F71" s="72">
        <f>'Budget Figures'!E56</f>
        <v>17500</v>
      </c>
      <c r="G71" s="72">
        <f>'Budget Figures'!F56</f>
        <v>17500</v>
      </c>
      <c r="H71" s="72">
        <f>'Budget Figures'!G56</f>
        <v>17500</v>
      </c>
      <c r="I71" s="72">
        <f>'Budget Figures'!H56</f>
        <v>17500</v>
      </c>
      <c r="J71" s="72">
        <f>'Budget Figures'!I56</f>
        <v>17500</v>
      </c>
      <c r="K71" s="72">
        <f>'Budget Figures'!J56</f>
        <v>17500</v>
      </c>
      <c r="L71" s="72">
        <f>'Budget Figures'!K56</f>
        <v>17500</v>
      </c>
      <c r="M71" s="72">
        <f>'Budget Figures'!L56</f>
        <v>17500</v>
      </c>
      <c r="N71" s="72">
        <f>'Budget Figures'!M56</f>
        <v>17500</v>
      </c>
      <c r="O71" s="72">
        <f>'Budget Figures'!N56</f>
        <v>17500</v>
      </c>
      <c r="P71" s="72">
        <f>'Budget Figures'!O56</f>
        <v>17500</v>
      </c>
    </row>
    <row r="72">
      <c r="D72" s="71" t="s">
        <v>61</v>
      </c>
      <c r="E72" s="73">
        <f>'Actual Figures'!D56</f>
        <v>3025</v>
      </c>
      <c r="F72" s="73">
        <f>'Actual Figures'!E56</f>
        <v>3025</v>
      </c>
      <c r="G72" s="73">
        <f>'Actual Figures'!F56</f>
        <v>3025</v>
      </c>
      <c r="H72" s="73">
        <f>'Actual Figures'!G56</f>
        <v>3025</v>
      </c>
      <c r="I72" s="73">
        <f>'Actual Figures'!H56</f>
        <v>3025</v>
      </c>
      <c r="J72" s="73">
        <f>'Actual Figures'!I56</f>
        <v>3025</v>
      </c>
      <c r="K72" s="73">
        <f>'Actual Figures'!J56</f>
        <v>3025</v>
      </c>
      <c r="L72" s="73">
        <f>'Actual Figures'!K56</f>
        <v>3025</v>
      </c>
      <c r="M72" s="73">
        <f>'Actual Figures'!L56</f>
        <v>3025</v>
      </c>
      <c r="N72" s="73">
        <f>'Actual Figures'!M56</f>
        <v>3025</v>
      </c>
      <c r="O72" s="73">
        <f>'Actual Figures'!N56</f>
        <v>3025</v>
      </c>
      <c r="P72" s="73">
        <f>'Actual Figures'!O56</f>
        <v>3025</v>
      </c>
    </row>
  </sheetData>
  <drawing r:id="rId1"/>
</worksheet>
</file>