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Pie Graph Options" sheetId="2" r:id="rId6"/>
    <sheet state="visible" name="Other Chart Options" sheetId="3" r:id="rId7"/>
    <sheet state="visible" name="Sales Data Input" sheetId="4" r:id="rId8"/>
    <sheet state="visible" name="Sort &amp; Filter" sheetId="5" r:id="rId9"/>
    <sheet state="hidden" name="Sheet1" sheetId="6" r:id="rId10"/>
  </sheets>
  <definedNames>
    <definedName hidden="1" localSheetId="4" name="_xlnm._FilterDatabase">'Sort &amp; Filter'!$A$2:$Z$307</definedName>
  </definedNames>
  <calcPr/>
</workbook>
</file>

<file path=xl/sharedStrings.xml><?xml version="1.0" encoding="utf-8"?>
<sst xmlns="http://schemas.openxmlformats.org/spreadsheetml/2006/main" count="1298" uniqueCount="91">
  <si>
    <t>Sales Ranges Breakdown</t>
  </si>
  <si>
    <t>$ Range</t>
  </si>
  <si>
    <t>Transactions</t>
  </si>
  <si>
    <t>Sales Value</t>
  </si>
  <si>
    <t>Sales Margin</t>
  </si>
  <si>
    <t>Greater than</t>
  </si>
  <si>
    <t>Total</t>
  </si>
  <si>
    <t>Total # of Sales</t>
  </si>
  <si>
    <t>Average Sale Margin</t>
  </si>
  <si>
    <t>Average Sale Value</t>
  </si>
  <si>
    <t>Brands</t>
  </si>
  <si>
    <t>Products</t>
  </si>
  <si>
    <t>Region</t>
  </si>
  <si>
    <t>Sales Person</t>
  </si>
  <si>
    <t>Smith</t>
  </si>
  <si>
    <t>Coco</t>
  </si>
  <si>
    <t>Full Auto</t>
  </si>
  <si>
    <t>Auckland</t>
  </si>
  <si>
    <t>Billy</t>
  </si>
  <si>
    <t>Jones</t>
  </si>
  <si>
    <t>Zoco</t>
  </si>
  <si>
    <t>Semi Auto</t>
  </si>
  <si>
    <t>Christchurch</t>
  </si>
  <si>
    <t>Bobby</t>
  </si>
  <si>
    <t>Wessen</t>
  </si>
  <si>
    <t>Mofo</t>
  </si>
  <si>
    <t>Double Barrel</t>
  </si>
  <si>
    <t>Wellington</t>
  </si>
  <si>
    <t>Betty</t>
  </si>
  <si>
    <t>Apple</t>
  </si>
  <si>
    <t>Bojo</t>
  </si>
  <si>
    <t>Single Barrel</t>
  </si>
  <si>
    <t>Hamilton</t>
  </si>
  <si>
    <t>Barry</t>
  </si>
  <si>
    <t>Honda</t>
  </si>
  <si>
    <t>Lodo</t>
  </si>
  <si>
    <t>Extra Shiny</t>
  </si>
  <si>
    <t>Tauranga</t>
  </si>
  <si>
    <t>Mary</t>
  </si>
  <si>
    <t>Seiko</t>
  </si>
  <si>
    <t>Rodo</t>
  </si>
  <si>
    <t>Low Sheen</t>
  </si>
  <si>
    <t>Rotorua</t>
  </si>
  <si>
    <t>Marg</t>
  </si>
  <si>
    <t>Shimano</t>
  </si>
  <si>
    <t>Podo</t>
  </si>
  <si>
    <t>Wet</t>
  </si>
  <si>
    <t>Nelson</t>
  </si>
  <si>
    <t>Mavis</t>
  </si>
  <si>
    <t>Samsung</t>
  </si>
  <si>
    <t>Hodo</t>
  </si>
  <si>
    <t>Dry</t>
  </si>
  <si>
    <t>Dunedin</t>
  </si>
  <si>
    <t>Steve</t>
  </si>
  <si>
    <t>Dulux</t>
  </si>
  <si>
    <t>Dodo</t>
  </si>
  <si>
    <t>Hard</t>
  </si>
  <si>
    <t>Invercargill</t>
  </si>
  <si>
    <t>Sue</t>
  </si>
  <si>
    <t>Toyota</t>
  </si>
  <si>
    <t>Sodo</t>
  </si>
  <si>
    <t>Soft</t>
  </si>
  <si>
    <t>Kaitaia</t>
  </si>
  <si>
    <t>Shaun</t>
  </si>
  <si>
    <t>Product Brand</t>
  </si>
  <si>
    <t>Product Name</t>
  </si>
  <si>
    <t>Product Category</t>
  </si>
  <si>
    <t>Sales Revenue</t>
  </si>
  <si>
    <t>Product Cost</t>
  </si>
  <si>
    <t>Margin $</t>
  </si>
  <si>
    <t>Margin %</t>
  </si>
  <si>
    <t>Category Sales Margin</t>
  </si>
  <si>
    <t>Category Sales Value</t>
  </si>
  <si>
    <t>Category Counts</t>
  </si>
  <si>
    <t>Product Sales Margin</t>
  </si>
  <si>
    <t>Salesperson Sales Margin</t>
  </si>
  <si>
    <t>Product Sales Value</t>
  </si>
  <si>
    <t>Salesperson Sales Value</t>
  </si>
  <si>
    <t>Product Counts</t>
  </si>
  <si>
    <t>Sales Counts</t>
  </si>
  <si>
    <t>Brand Sales Margin</t>
  </si>
  <si>
    <t>Region Sales Margin</t>
  </si>
  <si>
    <t>Brand Sales Value</t>
  </si>
  <si>
    <t>Region Sales Value</t>
  </si>
  <si>
    <t>Brand Counts</t>
  </si>
  <si>
    <t>Region Counts</t>
  </si>
  <si>
    <t>Margin Total</t>
  </si>
  <si>
    <t>Sales Total</t>
  </si>
  <si>
    <t>Sale Transaction Counts</t>
  </si>
  <si>
    <t>Between</t>
  </si>
  <si>
    <t>Sales Ranges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</si>
</sst>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0.0%"/>
    <numFmt numFmtId="167" formatCode="_(&quot;$&quot;* #,##0_);_(&quot;$&quot;* \(#,##0\);_(&quot;$&quot;* &quot;-&quot;??_);_(@_)"/>
  </numFmts>
  <fonts count="24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theme="1"/>
      <name val="Open Sans"/>
    </font>
    <font/>
    <font>
      <sz val="8.0"/>
      <color rgb="FFCCFFFF"/>
      <name val="Open Sans"/>
    </font>
    <font>
      <sz val="9.0"/>
      <color theme="1"/>
      <name val="Open Sans"/>
    </font>
    <font>
      <sz val="11.0"/>
      <color rgb="FFCCFFFF"/>
      <name val="Calibri"/>
    </font>
    <font>
      <b/>
      <sz val="11.0"/>
      <color theme="1"/>
      <name val="Open Sans"/>
    </font>
    <font>
      <sz val="11.0"/>
      <color rgb="FFFFFFFF"/>
      <name val="Open Sans"/>
    </font>
    <font>
      <b/>
      <sz val="11.0"/>
      <color rgb="FF00FFFF"/>
      <name val="Open Sans"/>
    </font>
    <font>
      <sz val="11.0"/>
      <color rgb="FFEAD1DC"/>
      <name val="Calibri"/>
    </font>
    <font>
      <sz val="11.0"/>
      <color rgb="FFB7B7B7"/>
      <name val="Calibri"/>
    </font>
    <font>
      <color theme="1"/>
      <name val="Open Sans"/>
    </font>
    <font>
      <color rgb="FFFFFFFF"/>
      <name val="Open Sans"/>
    </font>
    <font>
      <sz val="8.0"/>
      <color theme="1"/>
      <name val="Open Sans"/>
    </font>
    <font>
      <sz val="12.0"/>
      <color theme="1"/>
      <name val="Open Sans"/>
    </font>
    <font>
      <b/>
      <sz val="11.0"/>
      <color rgb="FFFFFFFF"/>
      <name val="Open Sans"/>
    </font>
    <font>
      <color theme="1"/>
      <name val="Calibri"/>
      <scheme val="minor"/>
    </font>
    <font>
      <b/>
      <sz val="12.0"/>
      <color rgb="FF000000"/>
      <name val="Open Sans"/>
    </font>
    <font>
      <b/>
      <sz val="12.0"/>
      <color rgb="FFFF0000"/>
      <name val="Open Sans"/>
    </font>
    <font>
      <b/>
      <sz val="12.0"/>
      <color theme="1"/>
      <name val="Open Sans"/>
    </font>
    <font>
      <b/>
      <sz val="11.0"/>
      <color rgb="FFFF0000"/>
      <name val="Open Sans"/>
    </font>
    <font>
      <sz val="10.0"/>
      <color theme="1"/>
      <name val="Open Sans"/>
    </font>
    <font>
      <b/>
      <sz val="10.0"/>
      <color theme="1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CFFFF"/>
        <bgColor rgb="FFCCFFFF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9900"/>
        <bgColor rgb="FFFF9900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/>
      <bottom/>
    </border>
    <border>
      <left style="thin">
        <color rgb="FFCCFFFF"/>
      </left>
      <top style="thin">
        <color rgb="FFCCFFFF"/>
      </top>
      <bottom style="thin">
        <color rgb="FFCCFFFF"/>
      </bottom>
    </border>
    <border>
      <right style="thin">
        <color rgb="FFCCFFFF"/>
      </right>
      <top style="thin">
        <color rgb="FFCCFFFF"/>
      </top>
      <bottom style="thin">
        <color rgb="FFCCFFFF"/>
      </bottom>
    </border>
    <border>
      <left style="thin">
        <color rgb="FFCCFFFF"/>
      </left>
      <right style="thin">
        <color rgb="FFCCFFFF"/>
      </right>
      <top style="thin">
        <color rgb="FFCCFFFF"/>
      </top>
      <bottom style="thin">
        <color rgb="FFCCFFFF"/>
      </bottom>
    </border>
    <border>
      <left/>
      <right/>
      <top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right/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ED7D31"/>
      </left>
      <top style="thin">
        <color rgb="FFED7D31"/>
      </top>
    </border>
    <border>
      <top style="thin">
        <color rgb="FFED7D31"/>
      </top>
    </border>
    <border>
      <right style="thin">
        <color rgb="FFED7D31"/>
      </right>
      <top style="thin">
        <color rgb="FFED7D31"/>
      </top>
    </border>
    <border>
      <left style="thin">
        <color rgb="FFED7D31"/>
      </left>
    </border>
    <border>
      <right style="thin">
        <color rgb="FFED7D31"/>
      </right>
    </border>
    <border>
      <left style="thin">
        <color rgb="FFED7D31"/>
      </left>
      <bottom style="thin">
        <color rgb="FFED7D31"/>
      </bottom>
    </border>
    <border>
      <bottom style="thin">
        <color rgb="FFED7D31"/>
      </bottom>
    </border>
    <border>
      <right style="thin">
        <color rgb="FFED7D31"/>
      </right>
      <bottom style="thin">
        <color rgb="FFED7D31"/>
      </bottom>
    </border>
    <border>
      <left style="thin">
        <color rgb="FFED7D31"/>
      </left>
      <top style="thin">
        <color rgb="FFED7D31"/>
      </top>
      <bottom/>
    </border>
    <border>
      <right style="thin">
        <color rgb="FFED7D31"/>
      </right>
      <top style="thin">
        <color rgb="FFED7D31"/>
      </top>
      <bottom/>
    </border>
    <border>
      <left style="thin">
        <color rgb="FFED7D31"/>
      </left>
      <top/>
      <bottom/>
    </border>
    <border>
      <right style="thin">
        <color rgb="FFED7D31"/>
      </right>
      <top/>
      <bottom/>
    </border>
    <border>
      <left style="thin">
        <color rgb="FFED7D31"/>
      </left>
      <top/>
      <bottom style="thin">
        <color rgb="FFED7D31"/>
      </bottom>
    </border>
    <border>
      <right style="thin">
        <color rgb="FFED7D31"/>
      </right>
      <top/>
      <bottom style="thin">
        <color rgb="FFED7D31"/>
      </bottom>
    </border>
    <border>
      <left/>
    </border>
    <border>
      <right/>
    </border>
    <border>
      <left/>
      <bottom/>
    </border>
    <border>
      <right/>
      <bottom/>
    </border>
    <border>
      <top style="thin">
        <color rgb="FF000000"/>
      </top>
      <bottom style="thin">
        <color rgb="FF000000"/>
      </bottom>
    </border>
    <border>
      <left style="thin">
        <color rgb="FFED7D31"/>
      </left>
      <bottom/>
    </border>
    <border>
      <right style="thin">
        <color rgb="FFED7D31"/>
      </right>
      <bottom/>
    </border>
    <border>
      <left style="thin">
        <color rgb="FFED7D31"/>
      </left>
      <right/>
      <top/>
      <bottom/>
    </border>
    <border>
      <left/>
      <right style="thin">
        <color rgb="FFED7D31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vertical="center"/>
    </xf>
    <xf borderId="0" fillId="0" fontId="1" numFmtId="0" xfId="0" applyFont="1"/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2" fontId="1" numFmtId="0" xfId="0" applyBorder="1" applyFont="1"/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" fillId="2" fontId="4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 vertical="center"/>
    </xf>
    <xf borderId="6" fillId="5" fontId="5" numFmtId="0" xfId="0" applyAlignment="1" applyBorder="1" applyFill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4" fillId="2" fontId="1" numFmtId="0" xfId="0" applyBorder="1" applyFont="1"/>
    <xf borderId="1" fillId="2" fontId="6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center" readingOrder="0" vertical="center"/>
    </xf>
    <xf borderId="1" fillId="2" fontId="1" numFmtId="164" xfId="0" applyBorder="1" applyFont="1" applyNumberFormat="1"/>
    <xf borderId="9" fillId="4" fontId="7" numFmtId="0" xfId="0" applyAlignment="1" applyBorder="1" applyFont="1">
      <alignment horizontal="center"/>
    </xf>
    <xf borderId="10" fillId="5" fontId="7" numFmtId="164" xfId="0" applyAlignment="1" applyBorder="1" applyFont="1" applyNumberFormat="1">
      <alignment horizontal="center"/>
    </xf>
    <xf borderId="9" fillId="4" fontId="7" numFmtId="164" xfId="0" applyAlignment="1" applyBorder="1" applyFont="1" applyNumberFormat="1">
      <alignment horizontal="center"/>
    </xf>
    <xf borderId="8" fillId="2" fontId="8" numFmtId="164" xfId="0" applyAlignment="1" applyBorder="1" applyFont="1" applyNumberFormat="1">
      <alignment horizontal="center" vertical="center"/>
    </xf>
    <xf borderId="11" fillId="4" fontId="7" numFmtId="0" xfId="0" applyAlignment="1" applyBorder="1" applyFont="1">
      <alignment horizontal="center"/>
    </xf>
    <xf borderId="12" fillId="5" fontId="7" numFmtId="164" xfId="0" applyAlignment="1" applyBorder="1" applyFont="1" applyNumberFormat="1">
      <alignment horizontal="center"/>
    </xf>
    <xf borderId="11" fillId="4" fontId="7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3" fillId="4" fontId="7" numFmtId="0" xfId="0" applyAlignment="1" applyBorder="1" applyFont="1">
      <alignment horizontal="center"/>
    </xf>
    <xf borderId="14" fillId="5" fontId="7" numFmtId="164" xfId="0" applyAlignment="1" applyBorder="1" applyFont="1" applyNumberFormat="1">
      <alignment horizontal="center"/>
    </xf>
    <xf borderId="13" fillId="4" fontId="7" numFmtId="164" xfId="0" applyAlignment="1" applyBorder="1" applyFont="1" applyNumberFormat="1">
      <alignment horizontal="center"/>
    </xf>
    <xf borderId="1" fillId="2" fontId="1" numFmtId="165" xfId="0" applyBorder="1" applyFont="1" applyNumberFormat="1"/>
    <xf borderId="15" fillId="2" fontId="1" numFmtId="0" xfId="0" applyBorder="1" applyFont="1"/>
    <xf borderId="2" fillId="4" fontId="7" numFmtId="165" xfId="0" applyAlignment="1" applyBorder="1" applyFont="1" applyNumberFormat="1">
      <alignment horizontal="center"/>
    </xf>
    <xf borderId="1" fillId="4" fontId="7" numFmtId="0" xfId="0" applyAlignment="1" applyBorder="1" applyFont="1">
      <alignment horizontal="center"/>
    </xf>
    <xf borderId="1" fillId="5" fontId="7" numFmtId="164" xfId="0" applyAlignment="1" applyBorder="1" applyFont="1" applyNumberFormat="1">
      <alignment horizontal="center"/>
    </xf>
    <xf borderId="1" fillId="4" fontId="7" numFmtId="164" xfId="0" applyAlignment="1" applyBorder="1" applyFont="1" applyNumberFormat="1">
      <alignment horizontal="center"/>
    </xf>
    <xf borderId="1" fillId="6" fontId="1" numFmtId="165" xfId="0" applyBorder="1" applyFill="1" applyFont="1" applyNumberFormat="1"/>
    <xf borderId="1" fillId="6" fontId="1" numFmtId="0" xfId="0" applyBorder="1" applyFont="1"/>
    <xf borderId="2" fillId="2" fontId="9" numFmtId="0" xfId="0" applyAlignment="1" applyBorder="1" applyFont="1">
      <alignment horizontal="center" readingOrder="0" vertical="center"/>
    </xf>
    <xf borderId="16" fillId="2" fontId="8" numFmtId="3" xfId="0" applyAlignment="1" applyBorder="1" applyFont="1" applyNumberFormat="1">
      <alignment horizontal="center" vertical="center"/>
    </xf>
    <xf borderId="17" fillId="0" fontId="3" numFmtId="0" xfId="0" applyBorder="1" applyFont="1"/>
    <xf borderId="2" fillId="2" fontId="8" numFmtId="0" xfId="0" applyAlignment="1" applyBorder="1" applyFont="1">
      <alignment horizontal="center" readingOrder="0" vertical="center"/>
    </xf>
    <xf borderId="18" fillId="2" fontId="8" numFmtId="164" xfId="0" applyAlignment="1" applyBorder="1" applyFont="1" applyNumberFormat="1">
      <alignment horizontal="center" vertical="center"/>
    </xf>
    <xf borderId="18" fillId="2" fontId="8" numFmtId="166" xfId="0" applyAlignment="1" applyBorder="1" applyFont="1" applyNumberFormat="1">
      <alignment horizontal="center" vertical="center"/>
    </xf>
    <xf borderId="16" fillId="2" fontId="8" numFmtId="164" xfId="0" applyAlignment="1" applyBorder="1" applyFont="1" applyNumberFormat="1">
      <alignment horizontal="center" vertical="center"/>
    </xf>
    <xf borderId="19" fillId="2" fontId="1" numFmtId="0" xfId="0" applyBorder="1" applyFont="1"/>
    <xf borderId="1" fillId="2" fontId="6" numFmtId="0" xfId="0" applyBorder="1" applyFont="1"/>
    <xf borderId="2" fillId="2" fontId="6" numFmtId="167" xfId="0" applyBorder="1" applyFont="1" applyNumberFormat="1"/>
    <xf borderId="1" fillId="2" fontId="10" numFmtId="0" xfId="0" applyAlignment="1" applyBorder="1" applyFont="1">
      <alignment horizontal="left" vertical="center"/>
    </xf>
    <xf borderId="2" fillId="2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left"/>
    </xf>
    <xf borderId="1" fillId="2" fontId="10" numFmtId="0" xfId="0" applyAlignment="1" applyBorder="1" applyFont="1">
      <alignment horizontal="center"/>
    </xf>
    <xf borderId="1" fillId="2" fontId="10" numFmtId="0" xfId="0" applyBorder="1" applyFont="1"/>
    <xf borderId="1" fillId="2" fontId="6" numFmtId="164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167" xfId="0" applyBorder="1" applyFont="1" applyNumberFormat="1"/>
    <xf borderId="0" fillId="0" fontId="1" numFmtId="0" xfId="0" applyAlignment="1" applyFont="1">
      <alignment horizontal="center" vertical="center"/>
    </xf>
    <xf borderId="0" fillId="2" fontId="12" numFmtId="0" xfId="0" applyAlignment="1" applyFont="1">
      <alignment vertical="center"/>
    </xf>
    <xf borderId="0" fillId="2" fontId="1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7" fontId="7" numFmtId="0" xfId="0" applyAlignment="1" applyFill="1" applyFont="1">
      <alignment horizontal="center" readingOrder="0" vertical="center"/>
    </xf>
    <xf borderId="0" fillId="7" fontId="7" numFmtId="164" xfId="0" applyAlignment="1" applyFont="1" applyNumberFormat="1">
      <alignment horizontal="left" readingOrder="0" vertical="center"/>
    </xf>
    <xf borderId="0" fillId="7" fontId="2" numFmtId="164" xfId="0" applyAlignment="1" applyFont="1" applyNumberFormat="1">
      <alignment vertical="center"/>
    </xf>
    <xf borderId="0" fillId="7" fontId="2" numFmtId="0" xfId="0" applyAlignment="1" applyFont="1">
      <alignment vertical="center"/>
    </xf>
    <xf borderId="1" fillId="2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20" fillId="0" fontId="1" numFmtId="0" xfId="0" applyAlignment="1" applyBorder="1" applyFont="1">
      <alignment readingOrder="0" vertical="center"/>
    </xf>
    <xf borderId="20" fillId="7" fontId="2" numFmtId="0" xfId="0" applyAlignment="1" applyBorder="1" applyFont="1">
      <alignment horizontal="left" readingOrder="0" vertical="center"/>
    </xf>
    <xf borderId="20" fillId="7" fontId="2" numFmtId="164" xfId="0" applyAlignment="1" applyBorder="1" applyFont="1" applyNumberFormat="1">
      <alignment horizontal="left" readingOrder="0" vertical="center"/>
    </xf>
    <xf borderId="20" fillId="0" fontId="2" numFmtId="0" xfId="0" applyAlignment="1" applyBorder="1" applyFont="1">
      <alignment horizontal="left" readingOrder="0" vertical="center"/>
    </xf>
    <xf borderId="21" fillId="7" fontId="2" numFmtId="164" xfId="0" applyAlignment="1" applyBorder="1" applyFont="1" applyNumberFormat="1">
      <alignment vertical="center"/>
    </xf>
    <xf borderId="19" fillId="7" fontId="2" numFmtId="0" xfId="0" applyAlignment="1" applyBorder="1" applyFont="1">
      <alignment vertical="center"/>
    </xf>
    <xf borderId="22" fillId="7" fontId="2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8" fontId="15" numFmtId="167" xfId="0" applyAlignment="1" applyFill="1" applyFont="1" applyNumberFormat="1">
      <alignment horizontal="left" vertical="center"/>
    </xf>
    <xf borderId="19" fillId="8" fontId="15" numFmtId="167" xfId="0" applyAlignment="1" applyBorder="1" applyFont="1" applyNumberFormat="1">
      <alignment horizontal="right" vertical="center"/>
    </xf>
    <xf borderId="23" fillId="2" fontId="8" numFmtId="10" xfId="0" applyAlignment="1" applyBorder="1" applyFont="1" applyNumberFormat="1">
      <alignment horizontal="center" vertical="center"/>
    </xf>
    <xf borderId="0" fillId="0" fontId="7" numFmtId="3" xfId="0" applyAlignment="1" applyFont="1" applyNumberFormat="1">
      <alignment horizontal="left" vertical="center"/>
    </xf>
    <xf borderId="23" fillId="0" fontId="7" numFmtId="3" xfId="0" applyAlignment="1" applyBorder="1" applyFont="1" applyNumberFormat="1">
      <alignment horizontal="center" vertical="center"/>
    </xf>
    <xf borderId="0" fillId="8" fontId="2" numFmtId="0" xfId="0" applyAlignment="1" applyFont="1">
      <alignment horizontal="center" vertical="center"/>
    </xf>
    <xf borderId="1" fillId="8" fontId="2" numFmtId="0" xfId="0" applyAlignment="1" applyBorder="1" applyFont="1">
      <alignment vertical="center"/>
    </xf>
    <xf borderId="15" fillId="8" fontId="7" numFmtId="164" xfId="0" applyAlignment="1" applyBorder="1" applyFont="1" applyNumberFormat="1">
      <alignment horizontal="left" shrinkToFit="0" vertical="center" wrapText="1"/>
    </xf>
    <xf borderId="15" fillId="8" fontId="7" numFmtId="164" xfId="0" applyAlignment="1" applyBorder="1" applyFont="1" applyNumberFormat="1">
      <alignment horizontal="center" shrinkToFit="0" vertical="center" wrapText="1"/>
    </xf>
    <xf borderId="0" fillId="8" fontId="2" numFmtId="0" xfId="0" applyAlignment="1" applyFont="1">
      <alignment vertical="center"/>
    </xf>
    <xf borderId="0" fillId="0" fontId="2" numFmtId="3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1" fillId="8" fontId="7" numFmtId="0" xfId="0" applyAlignment="1" applyBorder="1" applyFont="1">
      <alignment horizontal="center" readingOrder="0" vertical="center"/>
    </xf>
    <xf borderId="1" fillId="8" fontId="7" numFmtId="164" xfId="0" applyAlignment="1" applyBorder="1" applyFont="1" applyNumberFormat="1">
      <alignment horizontal="left" readingOrder="0" shrinkToFit="0" vertical="center" wrapText="1"/>
    </xf>
    <xf borderId="1" fillId="8" fontId="7" numFmtId="164" xfId="0" applyAlignment="1" applyBorder="1" applyFont="1" applyNumberFormat="1">
      <alignment horizontal="center" readingOrder="0" shrinkToFit="0" vertical="center" wrapText="1"/>
    </xf>
    <xf borderId="0" fillId="8" fontId="7" numFmtId="0" xfId="0" applyAlignment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0" fillId="0" fontId="2" numFmtId="164" xfId="0" applyAlignment="1" applyBorder="1" applyFont="1" applyNumberFormat="1">
      <alignment horizontal="right" readingOrder="0" vertical="center"/>
    </xf>
    <xf borderId="20" fillId="0" fontId="2" numFmtId="164" xfId="0" applyAlignment="1" applyBorder="1" applyFont="1" applyNumberFormat="1">
      <alignment readingOrder="0" vertical="center"/>
    </xf>
    <xf borderId="24" fillId="2" fontId="8" numFmtId="164" xfId="0" applyAlignment="1" applyBorder="1" applyFont="1" applyNumberFormat="1">
      <alignment horizontal="center" vertical="center"/>
    </xf>
    <xf borderId="25" fillId="2" fontId="8" numFmtId="10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readingOrder="0" vertical="center"/>
    </xf>
    <xf borderId="20" fillId="0" fontId="2" numFmtId="164" xfId="0" applyAlignment="1" applyBorder="1" applyFont="1" applyNumberFormat="1">
      <alignment horizontal="right" vertical="center"/>
    </xf>
    <xf borderId="20" fillId="0" fontId="2" numFmtId="164" xfId="0" applyAlignment="1" applyBorder="1" applyFont="1" applyNumberFormat="1">
      <alignment horizontal="left" readingOrder="0" vertical="center"/>
    </xf>
    <xf borderId="0" fillId="0" fontId="2" numFmtId="165" xfId="0" applyAlignment="1" applyFont="1" applyNumberFormat="1">
      <alignment vertical="center"/>
    </xf>
    <xf borderId="20" fillId="0" fontId="2" numFmtId="0" xfId="0" applyAlignment="1" applyBorder="1" applyFont="1">
      <alignment horizontal="center" vertical="center"/>
    </xf>
    <xf borderId="20" fillId="0" fontId="2" numFmtId="164" xfId="0" applyAlignment="1" applyBorder="1" applyFont="1" applyNumberFormat="1">
      <alignment horizontal="left" vertical="center"/>
    </xf>
    <xf borderId="20" fillId="0" fontId="2" numFmtId="164" xfId="0" applyAlignment="1" applyBorder="1" applyFont="1" applyNumberFormat="1">
      <alignment horizontal="right" vertical="center"/>
    </xf>
    <xf borderId="20" fillId="0" fontId="2" numFmtId="0" xfId="0" applyAlignment="1" applyBorder="1" applyFont="1">
      <alignment vertical="center"/>
    </xf>
    <xf borderId="0" fillId="0" fontId="2" numFmtId="164" xfId="0" applyAlignment="1" applyFont="1" applyNumberFormat="1">
      <alignment horizontal="left" vertical="center"/>
    </xf>
    <xf borderId="15" fillId="0" fontId="2" numFmtId="164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0" fillId="8" fontId="7" numFmtId="164" xfId="0" applyAlignment="1" applyFont="1" applyNumberFormat="1">
      <alignment horizontal="left" readingOrder="0" shrinkToFit="0" vertical="center" wrapText="1"/>
    </xf>
    <xf borderId="0" fillId="8" fontId="7" numFmtId="164" xfId="0" applyAlignment="1" applyFont="1" applyNumberFormat="1">
      <alignment horizontal="center" readingOrder="0" shrinkToFit="0" vertical="center" wrapText="1"/>
    </xf>
    <xf borderId="0" fillId="8" fontId="7" numFmtId="10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left"/>
    </xf>
    <xf borderId="0" fillId="2" fontId="2" numFmtId="0" xfId="0" applyAlignment="1" applyFont="1">
      <alignment vertical="center"/>
    </xf>
    <xf borderId="0" fillId="2" fontId="8" numFmtId="0" xfId="0" applyAlignment="1" applyFont="1">
      <alignment readingOrder="0" vertical="center"/>
    </xf>
    <xf borderId="0" fillId="2" fontId="8" numFmtId="0" xfId="0" applyAlignment="1" applyFont="1">
      <alignment vertical="center"/>
    </xf>
    <xf borderId="26" fillId="0" fontId="2" numFmtId="164" xfId="0" applyAlignment="1" applyBorder="1" applyFont="1" applyNumberFormat="1">
      <alignment horizontal="center" vertical="center"/>
    </xf>
    <xf borderId="27" fillId="0" fontId="2" numFmtId="164" xfId="0" applyAlignment="1" applyBorder="1" applyFont="1" applyNumberFormat="1">
      <alignment horizontal="center" vertical="center"/>
    </xf>
    <xf borderId="28" fillId="0" fontId="2" numFmtId="164" xfId="0" applyAlignment="1" applyBorder="1" applyFont="1" applyNumberFormat="1">
      <alignment horizontal="center" vertical="center"/>
    </xf>
    <xf borderId="29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30" fillId="0" fontId="2" numFmtId="164" xfId="0" applyAlignment="1" applyBorder="1" applyFont="1" applyNumberForma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0" fillId="9" fontId="8" numFmtId="164" xfId="0" applyAlignment="1" applyFill="1" applyFont="1" applyNumberFormat="1">
      <alignment vertical="center"/>
    </xf>
    <xf borderId="31" fillId="0" fontId="2" numFmtId="164" xfId="0" applyAlignment="1" applyBorder="1" applyFont="1" applyNumberFormat="1">
      <alignment horizontal="center" vertical="center"/>
    </xf>
    <xf borderId="32" fillId="0" fontId="2" numFmtId="164" xfId="0" applyAlignment="1" applyBorder="1" applyFont="1" applyNumberFormat="1">
      <alignment horizontal="center" vertical="center"/>
    </xf>
    <xf borderId="32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34" fillId="2" fontId="8" numFmtId="0" xfId="0" applyAlignment="1" applyBorder="1" applyFont="1">
      <alignment readingOrder="0" vertical="center"/>
    </xf>
    <xf borderId="35" fillId="0" fontId="3" numFmtId="0" xfId="0" applyBorder="1" applyFont="1"/>
    <xf borderId="27" fillId="0" fontId="2" numFmtId="164" xfId="0" applyAlignment="1" applyBorder="1" applyFont="1" applyNumberFormat="1">
      <alignment horizontal="left" vertical="center"/>
    </xf>
    <xf borderId="36" fillId="2" fontId="8" numFmtId="0" xfId="0" applyAlignment="1" applyBorder="1" applyFont="1">
      <alignment readingOrder="0" vertical="center"/>
    </xf>
    <xf borderId="37" fillId="0" fontId="3" numFmtId="0" xfId="0" applyBorder="1" applyFont="1"/>
    <xf borderId="0" fillId="0" fontId="2" numFmtId="164" xfId="0" applyAlignment="1" applyFont="1" applyNumberFormat="1">
      <alignment horizontal="left" vertical="center"/>
    </xf>
    <xf borderId="38" fillId="2" fontId="8" numFmtId="0" xfId="0" applyAlignment="1" applyBorder="1" applyFont="1">
      <alignment readingOrder="0" vertical="center"/>
    </xf>
    <xf borderId="39" fillId="0" fontId="3" numFmtId="0" xfId="0" applyBorder="1" applyFont="1"/>
    <xf borderId="40" fillId="9" fontId="8" numFmtId="0" xfId="0" applyAlignment="1" applyBorder="1" applyFont="1">
      <alignment readingOrder="0" vertical="center"/>
    </xf>
    <xf borderId="41" fillId="0" fontId="3" numFmtId="0" xfId="0" applyBorder="1" applyFont="1"/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1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left" vertical="center"/>
    </xf>
    <xf borderId="42" fillId="9" fontId="8" numFmtId="0" xfId="0" applyAlignment="1" applyBorder="1" applyFont="1">
      <alignment readingOrder="0" vertical="center"/>
    </xf>
    <xf borderId="43" fillId="0" fontId="3" numFmtId="0" xfId="0" applyBorder="1" applyFont="1"/>
    <xf borderId="19" fillId="2" fontId="8" numFmtId="0" xfId="0" applyAlignment="1" applyBorder="1" applyFont="1">
      <alignment vertical="center"/>
    </xf>
    <xf borderId="15" fillId="2" fontId="2" numFmtId="0" xfId="0" applyAlignment="1" applyBorder="1" applyFont="1">
      <alignment vertical="center"/>
    </xf>
    <xf borderId="15" fillId="2" fontId="2" numFmtId="0" xfId="0" applyAlignment="1" applyBorder="1" applyFont="1">
      <alignment horizontal="left" vertical="center"/>
    </xf>
    <xf borderId="0" fillId="0" fontId="17" numFmtId="0" xfId="0" applyAlignment="1" applyFont="1">
      <alignment vertical="center"/>
    </xf>
    <xf borderId="20" fillId="2" fontId="8" numFmtId="0" xfId="0" applyAlignment="1" applyBorder="1" applyFont="1">
      <alignment readingOrder="0" vertical="center"/>
    </xf>
    <xf borderId="44" fillId="0" fontId="18" numFmtId="164" xfId="0" applyAlignment="1" applyBorder="1" applyFont="1" applyNumberFormat="1">
      <alignment horizontal="center" vertical="center"/>
    </xf>
    <xf borderId="25" fillId="0" fontId="19" numFmtId="164" xfId="0" applyAlignment="1" applyBorder="1" applyFont="1" applyNumberFormat="1">
      <alignment horizontal="center" vertical="center"/>
    </xf>
    <xf borderId="25" fillId="0" fontId="18" numFmtId="164" xfId="0" applyAlignment="1" applyBorder="1" applyFont="1" applyNumberFormat="1">
      <alignment horizontal="center" vertical="center"/>
    </xf>
    <xf borderId="25" fillId="0" fontId="19" numFmtId="164" xfId="0" applyAlignment="1" applyBorder="1" applyFont="1" applyNumberFormat="1">
      <alignment horizontal="left" vertical="center"/>
    </xf>
    <xf borderId="0" fillId="0" fontId="7" numFmtId="164" xfId="0" applyAlignment="1" applyFont="1" applyNumberFormat="1">
      <alignment horizontal="center" vertical="center"/>
    </xf>
    <xf borderId="45" fillId="2" fontId="8" numFmtId="0" xfId="0" applyAlignment="1" applyBorder="1" applyFont="1">
      <alignment readingOrder="0" vertical="center"/>
    </xf>
    <xf borderId="46" fillId="0" fontId="3" numFmtId="0" xfId="0" applyBorder="1" applyFont="1"/>
    <xf borderId="44" fillId="0" fontId="20" numFmtId="0" xfId="0" applyAlignment="1" applyBorder="1" applyFont="1">
      <alignment horizontal="center" vertical="center"/>
    </xf>
    <xf borderId="24" fillId="0" fontId="3" numFmtId="0" xfId="0" applyBorder="1" applyFont="1"/>
    <xf borderId="25" fillId="0" fontId="20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vertical="center"/>
    </xf>
    <xf borderId="0" fillId="0" fontId="21" numFmtId="164" xfId="0" applyAlignment="1" applyFont="1" applyNumberFormat="1">
      <alignment horizontal="center" vertical="center"/>
    </xf>
    <xf borderId="47" fillId="2" fontId="8" numFmtId="0" xfId="0" applyAlignment="1" applyBorder="1" applyFont="1">
      <alignment vertical="center"/>
    </xf>
    <xf borderId="48" fillId="2" fontId="8" numFmtId="0" xfId="0" applyAlignment="1" applyBorder="1" applyFont="1">
      <alignment vertical="center"/>
    </xf>
    <xf borderId="4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164" xfId="0" applyAlignment="1" applyBorder="1" applyFont="1" applyNumberFormat="1">
      <alignment horizontal="center" vertical="center"/>
    </xf>
    <xf borderId="23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2" numFmtId="164" xfId="0" applyAlignment="1" applyFont="1" applyNumberFormat="1">
      <alignment vertical="center"/>
    </xf>
    <xf borderId="0" fillId="0" fontId="22" numFmtId="0" xfId="0" applyAlignment="1" applyFont="1">
      <alignment horizontal="center" vertical="center"/>
    </xf>
    <xf borderId="49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readingOrder="0" vertical="center"/>
    </xf>
    <xf borderId="0" fillId="0" fontId="23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49" fillId="0" fontId="23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23" numFmtId="164" xfId="0" applyAlignment="1" applyFont="1" applyNumberFormat="1">
      <alignment horizontal="left" vertical="center"/>
    </xf>
    <xf borderId="50" fillId="0" fontId="22" numFmtId="0" xfId="0" applyAlignment="1" applyBorder="1" applyFon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0" fillId="0" fontId="22" numFmtId="0" xfId="0" applyAlignment="1" applyFont="1">
      <alignment horizontal="center" readingOrder="0" vertical="center"/>
    </xf>
    <xf borderId="0" fillId="0" fontId="22" numFmtId="164" xfId="0" applyAlignment="1" applyFont="1" applyNumberFormat="1">
      <alignment horizontal="center" readingOrder="0" vertical="center"/>
    </xf>
    <xf borderId="0" fillId="0" fontId="22" numFmtId="164" xfId="0" applyAlignment="1" applyFont="1" applyNumberFormat="1">
      <alignment horizontal="left" vertical="center"/>
    </xf>
    <xf borderId="0" fillId="0" fontId="22" numFmtId="0" xfId="0" applyAlignment="1" applyFont="1">
      <alignment horizontal="left"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1" fillId="0" fontId="22" numFmtId="0" xfId="0" applyAlignment="1" applyBorder="1" applyFont="1">
      <alignment horizontal="center" vertical="center"/>
    </xf>
    <xf borderId="0" fillId="0" fontId="17" numFmtId="0" xfId="0" applyFont="1"/>
    <xf borderId="0" fillId="0" fontId="17" numFmtId="164" xfId="0" applyAlignment="1" applyFont="1" applyNumberFormat="1">
      <alignment horizontal="left"/>
    </xf>
    <xf borderId="0" fillId="0" fontId="1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  <a:r>
              <a:rPr b="0">
                <a:solidFill>
                  <a:srgbClr val="00FFFF"/>
                </a:solidFill>
                <a:latin typeface="+mn-lt"/>
              </a:rPr>
              <a:t>Sales Value by Product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Sheet1!$I$40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Sheet1!$H$41:$H$50</c:f>
            </c:strRef>
          </c:cat>
          <c:val>
            <c:numRef>
              <c:f>Sheet1!$I$41:$I$50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  <a:r>
              <a:rPr b="0">
                <a:solidFill>
                  <a:srgbClr val="FFFF00"/>
                </a:solidFill>
                <a:latin typeface="+mn-lt"/>
              </a:rPr>
              <a:t>Sales Margin by Region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Sheet1!$N$53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Sheet1!$M$54:$M$63</c:f>
            </c:strRef>
          </c:cat>
          <c:val>
            <c:numRef>
              <c:f>Sheet1!$N$54:$N$63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Transaction Mix by Brand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Sheet1!$D$25</c:f>
            </c:strRef>
          </c:tx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9900F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00FF00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Sheet1!$C$26:$C$35</c:f>
            </c:strRef>
          </c:cat>
          <c:val>
            <c:numRef>
              <c:f>Sheet1!$D$26:$D$35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+mn-lt"/>
              </a:defRPr>
            </a:pPr>
            <a:r>
              <a:rPr b="0">
                <a:solidFill>
                  <a:srgbClr val="FF9900"/>
                </a:solidFill>
                <a:latin typeface="+mn-lt"/>
              </a:rPr>
              <a:t>Sales By Product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Sheet1!$Y$25</c:f>
            </c:strRef>
          </c:tx>
          <c:spPr>
            <a:solidFill>
              <a:srgbClr val="00FFFF"/>
            </a:solidFill>
            <a:ln cmpd="sng">
              <a:noFill/>
            </a:ln>
          </c:spPr>
          <c:cat>
            <c:strRef>
              <c:f>Sheet1!$W$26:$W$35</c:f>
            </c:strRef>
          </c:cat>
          <c:val>
            <c:numRef>
              <c:f>Sheet1!$Y$26:$Y$35</c:f>
              <c:numCache/>
            </c:numRef>
          </c:val>
        </c:ser>
        <c:ser>
          <c:idx val="1"/>
          <c:order val="1"/>
          <c:tx>
            <c:strRef>
              <c:f>Sheet1!$Z$25</c:f>
            </c:strRef>
          </c:tx>
          <c:spPr>
            <a:solidFill>
              <a:srgbClr val="9900FF"/>
            </a:solidFill>
            <a:ln cmpd="sng">
              <a:noFill/>
            </a:ln>
          </c:spPr>
          <c:cat>
            <c:strRef>
              <c:f>Sheet1!$W$26:$W$35</c:f>
            </c:strRef>
          </c:cat>
          <c:val>
            <c:numRef>
              <c:f>Sheet1!$Z$26:$Z$35</c:f>
              <c:numCache/>
            </c:numRef>
          </c:val>
        </c:ser>
        <c:axId val="1421146056"/>
        <c:axId val="231718462"/>
      </c:bar3DChart>
      <c:catAx>
        <c:axId val="1421146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231718462"/>
      </c:catAx>
      <c:valAx>
        <c:axId val="231718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14211460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00"/>
                </a:solidFill>
                <a:latin typeface="+mn-lt"/>
              </a:defRPr>
            </a:pPr>
            <a:r>
              <a:rPr b="0">
                <a:solidFill>
                  <a:srgbClr val="00FF00"/>
                </a:solidFill>
                <a:latin typeface="+mn-lt"/>
              </a:rPr>
              <a:t>Sales By Salesperson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Sheet1!$T$25</c:f>
            </c:strRef>
          </c:tx>
          <c:spPr>
            <a:solidFill>
              <a:srgbClr val="50B30D"/>
            </a:solidFill>
            <a:ln cmpd="sng">
              <a:noFill/>
            </a:ln>
          </c:spPr>
          <c:cat>
            <c:strRef>
              <c:f>Sheet1!$R$26:$R$35</c:f>
            </c:strRef>
          </c:cat>
          <c:val>
            <c:numRef>
              <c:f>Sheet1!$T$26:$T$35</c:f>
              <c:numCache/>
            </c:numRef>
          </c:val>
        </c:ser>
        <c:ser>
          <c:idx val="1"/>
          <c:order val="1"/>
          <c:tx>
            <c:strRef>
              <c:f>Sheet1!$U$25</c:f>
            </c:strRef>
          </c:tx>
          <c:spPr>
            <a:solidFill>
              <a:srgbClr val="15AFD7"/>
            </a:solidFill>
            <a:ln cmpd="sng">
              <a:noFill/>
            </a:ln>
          </c:spPr>
          <c:cat>
            <c:strRef>
              <c:f>Sheet1!$R$26:$R$35</c:f>
            </c:strRef>
          </c:cat>
          <c:val>
            <c:numRef>
              <c:f>Sheet1!$U$26:$U$35</c:f>
              <c:numCache/>
            </c:numRef>
          </c:val>
        </c:ser>
        <c:axId val="2123217754"/>
        <c:axId val="1131898146"/>
      </c:bar3DChart>
      <c:catAx>
        <c:axId val="2123217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1131898146"/>
      </c:catAx>
      <c:valAx>
        <c:axId val="1131898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21232177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Transaction Mix by Brand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Sheet1!$D$25</c:f>
            </c:strRef>
          </c:tx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9900F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00FF00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Sheet1!$C$26:$C$35</c:f>
            </c:strRef>
          </c:cat>
          <c:val>
            <c:numRef>
              <c:f>Sheet1!$D$26:$D$35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Sales Value by Brand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Sheet1!$D$40</c:f>
            </c:strRef>
          </c:tx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9900F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00FF00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Sheet1!$C$41:$C$50</c:f>
            </c:strRef>
          </c:cat>
          <c:val>
            <c:numRef>
              <c:f>Sheet1!$D$41:$D$50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Sales Margin by Brand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Sheet1!$D$53</c:f>
            </c:strRef>
          </c:tx>
          <c:dPt>
            <c:idx val="0"/>
            <c:spPr>
              <a:solidFill>
                <a:srgbClr val="00FFFF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9900F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00FF00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Sheet1!$C$54:$C$63</c:f>
            </c:strRef>
          </c:cat>
          <c:val>
            <c:numRef>
              <c:f>Sheet1!$D$54:$D$63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  <a:r>
              <a:rPr b="0">
                <a:solidFill>
                  <a:srgbClr val="00FFFF"/>
                </a:solidFill>
                <a:latin typeface="+mn-lt"/>
              </a:rPr>
              <a:t>Transaction Mix by Product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Sheet1!$I$25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Sheet1!$H$26:$H$35</c:f>
            </c:strRef>
          </c:cat>
          <c:val>
            <c:numRef>
              <c:f>Sheet1!$I$26:$I$35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  <a:r>
              <a:rPr b="0">
                <a:solidFill>
                  <a:srgbClr val="00FFFF"/>
                </a:solidFill>
                <a:latin typeface="+mn-lt"/>
              </a:rPr>
              <a:t>Sales Value by Product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Sheet1!$I$40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Sheet1!$H$41:$H$50</c:f>
            </c:strRef>
          </c:cat>
          <c:val>
            <c:numRef>
              <c:f>Sheet1!$I$41:$I$50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  <a:r>
              <a:rPr b="0">
                <a:solidFill>
                  <a:srgbClr val="00FFFF"/>
                </a:solidFill>
                <a:latin typeface="+mn-lt"/>
              </a:rPr>
              <a:t>Sales Margin by Product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Sheet1!$I$53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Sheet1!$H$54:$H$63</c:f>
            </c:strRef>
          </c:cat>
          <c:val>
            <c:numRef>
              <c:f>Sheet1!$I$54:$I$63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  <a:r>
              <a:rPr b="0">
                <a:solidFill>
                  <a:srgbClr val="FFFF00"/>
                </a:solidFill>
                <a:latin typeface="+mn-lt"/>
              </a:rPr>
              <a:t>Transaction Mix by Region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Sheet1!$N$25</c:f>
            </c:strRef>
          </c:tx>
          <c:dPt>
            <c:idx val="0"/>
            <c:spPr>
              <a:solidFill>
                <a:srgbClr val="15AFD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50B30D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Sheet1!$M$26:$M$35</c:f>
            </c:strRef>
          </c:cat>
          <c:val>
            <c:numRef>
              <c:f>Sheet1!$N$26:$N$35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  <a:r>
              <a:rPr b="0">
                <a:solidFill>
                  <a:srgbClr val="FFFF00"/>
                </a:solidFill>
                <a:latin typeface="+mn-lt"/>
              </a:rPr>
              <a:t>Sales Value by Region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Sheet1!$N$40</c:f>
            </c:strRef>
          </c:tx>
          <c:dPt>
            <c:idx val="0"/>
            <c:spPr>
              <a:solidFill>
                <a:srgbClr val="15AFD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50B30D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Sheet1!$M$41:$M$50</c:f>
            </c:strRef>
          </c:cat>
          <c:val>
            <c:numRef>
              <c:f>Sheet1!$N$41:$N$50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  <a:r>
              <a:rPr b="0">
                <a:solidFill>
                  <a:srgbClr val="FFFF00"/>
                </a:solidFill>
                <a:latin typeface="+mn-lt"/>
              </a:rPr>
              <a:t>Sales Margin by Region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Sheet1!$N$53</c:f>
            </c:strRef>
          </c:tx>
          <c:dPt>
            <c:idx val="0"/>
            <c:spPr>
              <a:solidFill>
                <a:srgbClr val="15AFD7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50B30D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Sheet1!$M$54:$M$63</c:f>
            </c:strRef>
          </c:cat>
          <c:val>
            <c:numRef>
              <c:f>Sheet1!$N$54:$N$63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00"/>
                </a:solidFill>
                <a:latin typeface="+mn-lt"/>
              </a:defRPr>
            </a:pPr>
            <a:r>
              <a:rPr b="0">
                <a:solidFill>
                  <a:srgbClr val="00FF00"/>
                </a:solidFill>
                <a:latin typeface="+mn-lt"/>
              </a:rPr>
              <a:t>Transaction Mix by Salesperson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Sheet1!$S$25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9900FF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00FFFF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Sheet1!$R$26:$R$35</c:f>
            </c:strRef>
          </c:cat>
          <c:val>
            <c:numRef>
              <c:f>Sheet1!$S$26:$S$35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00"/>
                </a:solidFill>
                <a:latin typeface="+mn-lt"/>
              </a:defRPr>
            </a:pPr>
            <a:r>
              <a:rPr b="0">
                <a:solidFill>
                  <a:srgbClr val="00FF00"/>
                </a:solidFill>
                <a:latin typeface="+mn-lt"/>
              </a:rPr>
              <a:t>Sales Value by Salesperson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Sheet1!$S$40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9900FF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00FFFF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Sheet1!$R$41:$R$50</c:f>
            </c:strRef>
          </c:cat>
          <c:val>
            <c:numRef>
              <c:f>Sheet1!$S$41:$S$50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00"/>
                </a:solidFill>
                <a:latin typeface="+mn-lt"/>
              </a:defRPr>
            </a:pPr>
            <a:r>
              <a:rPr b="0">
                <a:solidFill>
                  <a:srgbClr val="00FF00"/>
                </a:solidFill>
                <a:latin typeface="+mn-lt"/>
              </a:rPr>
              <a:t>Sales Margin by Salesperson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Sheet1!$S$53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9900FF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00FFFF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Sheet1!$R$54:$R$63</c:f>
            </c:strRef>
          </c:cat>
          <c:val>
            <c:numRef>
              <c:f>Sheet1!$S$54:$S$63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+mn-lt"/>
              </a:defRPr>
            </a:pPr>
            <a:r>
              <a:rPr b="0">
                <a:solidFill>
                  <a:srgbClr val="FF9900"/>
                </a:solidFill>
                <a:latin typeface="+mn-lt"/>
              </a:rPr>
              <a:t>Transaction Mix by Product Category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Sheet1!$X$25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Sheet1!$W$26:$W$35</c:f>
            </c:strRef>
          </c:cat>
          <c:val>
            <c:numRef>
              <c:f>Sheet1!$X$26:$X$35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+mn-lt"/>
              </a:defRPr>
            </a:pPr>
            <a:r>
              <a:rPr b="0">
                <a:solidFill>
                  <a:srgbClr val="FF9900"/>
                </a:solidFill>
                <a:latin typeface="+mn-lt"/>
              </a:rPr>
              <a:t>Sales Value by Product Category %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Sheet1!$X$40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Sheet1!$W$41:$W$50</c:f>
            </c:strRef>
          </c:cat>
          <c:val>
            <c:numRef>
              <c:f>Sheet1!$X$41:$X$50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+mn-lt"/>
              </a:defRPr>
            </a:pPr>
            <a:r>
              <a:rPr b="0">
                <a:solidFill>
                  <a:srgbClr val="FF9900"/>
                </a:solidFill>
                <a:latin typeface="+mn-lt"/>
              </a:rPr>
              <a:t>Sales Margin by Product Category %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31020408163265307"/>
          <c:y val="0.14583333333333334"/>
          <c:w val="0.9379591836734694"/>
          <c:h val="0.8008771929824562"/>
        </c:manualLayout>
      </c:layout>
      <c:doughnutChart>
        <c:varyColors val="1"/>
        <c:ser>
          <c:idx val="0"/>
          <c:order val="0"/>
          <c:tx>
            <c:strRef>
              <c:f>Sheet1!$X$53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Sheet1!$W$54:$W$63</c:f>
            </c:strRef>
          </c:cat>
          <c:val>
            <c:numRef>
              <c:f>Sheet1!$X$54:$X$63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Sales By Brand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Sheet1!$E$25</c:f>
            </c:strRef>
          </c:tx>
          <c:spPr>
            <a:solidFill>
              <a:srgbClr val="00FF00"/>
            </a:solidFill>
            <a:ln cmpd="sng">
              <a:noFill/>
            </a:ln>
          </c:spPr>
          <c:cat>
            <c:strRef>
              <c:f>Sheet1!$C$26:$C$35</c:f>
            </c:strRef>
          </c:cat>
          <c:val>
            <c:numRef>
              <c:f>Sheet1!$E$26:$E$35</c:f>
              <c:numCache/>
            </c:numRef>
          </c:val>
        </c:ser>
        <c:ser>
          <c:idx val="1"/>
          <c:order val="1"/>
          <c:tx>
            <c:strRef>
              <c:f>Sheet1!$F$25</c:f>
            </c:strRef>
          </c:tx>
          <c:spPr>
            <a:solidFill>
              <a:srgbClr val="FF00FF"/>
            </a:solidFill>
            <a:ln cmpd="sng">
              <a:noFill/>
            </a:ln>
          </c:spPr>
          <c:cat>
            <c:strRef>
              <c:f>Sheet1!$C$26:$C$35</c:f>
            </c:strRef>
          </c:cat>
          <c:val>
            <c:numRef>
              <c:f>Sheet1!$F$26:$F$35</c:f>
              <c:numCache/>
            </c:numRef>
          </c:val>
        </c:ser>
        <c:axId val="678773998"/>
        <c:axId val="558626476"/>
      </c:bar3DChart>
      <c:catAx>
        <c:axId val="678773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558626476"/>
      </c:catAx>
      <c:valAx>
        <c:axId val="558626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6787739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  <a:r>
              <a:rPr b="0">
                <a:solidFill>
                  <a:srgbClr val="00FFFF"/>
                </a:solidFill>
                <a:latin typeface="+mn-lt"/>
              </a:rPr>
              <a:t>Sales By Product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Sheet1!$J$25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Sheet1!$H$26:$H$35</c:f>
            </c:strRef>
          </c:cat>
          <c:val>
            <c:numRef>
              <c:f>Sheet1!$J$26:$J$35</c:f>
              <c:numCache/>
            </c:numRef>
          </c:val>
        </c:ser>
        <c:ser>
          <c:idx val="1"/>
          <c:order val="1"/>
          <c:tx>
            <c:strRef>
              <c:f>Sheet1!$K$25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Sheet1!$H$26:$H$35</c:f>
            </c:strRef>
          </c:cat>
          <c:val>
            <c:numRef>
              <c:f>Sheet1!$K$26:$K$35</c:f>
              <c:numCache/>
            </c:numRef>
          </c:val>
        </c:ser>
        <c:axId val="1185496243"/>
        <c:axId val="454450212"/>
      </c:bar3DChart>
      <c:catAx>
        <c:axId val="1185496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454450212"/>
      </c:catAx>
      <c:valAx>
        <c:axId val="454450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11854962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  <a:r>
              <a:rPr b="0">
                <a:solidFill>
                  <a:srgbClr val="FFFF00"/>
                </a:solidFill>
                <a:latin typeface="+mn-lt"/>
              </a:rPr>
              <a:t>Sales By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Sheet1!$O$25</c:f>
            </c:strRef>
          </c:tx>
          <c:spPr>
            <a:solidFill>
              <a:srgbClr val="0000FF"/>
            </a:solidFill>
            <a:ln cmpd="sng">
              <a:noFill/>
            </a:ln>
          </c:spPr>
          <c:cat>
            <c:strRef>
              <c:f>Sheet1!$M$26:$M$35</c:f>
            </c:strRef>
          </c:cat>
          <c:val>
            <c:numRef>
              <c:f>Sheet1!$O$26:$O$35</c:f>
              <c:numCache/>
            </c:numRef>
          </c:val>
        </c:ser>
        <c:ser>
          <c:idx val="1"/>
          <c:order val="1"/>
          <c:tx>
            <c:strRef>
              <c:f>Sheet1!$P$25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Sheet1!$M$26:$M$35</c:f>
            </c:strRef>
          </c:cat>
          <c:val>
            <c:numRef>
              <c:f>Sheet1!$P$26:$P$35</c:f>
              <c:numCache/>
            </c:numRef>
          </c:val>
        </c:ser>
        <c:axId val="886340127"/>
        <c:axId val="1046950336"/>
      </c:bar3DChart>
      <c:catAx>
        <c:axId val="886340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1046950336"/>
      </c:catAx>
      <c:valAx>
        <c:axId val="1046950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8863401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FF00"/>
                </a:solidFill>
                <a:latin typeface="+mn-lt"/>
              </a:defRPr>
            </a:pPr>
            <a:r>
              <a:rPr b="0">
                <a:solidFill>
                  <a:srgbClr val="00FF00"/>
                </a:solidFill>
                <a:latin typeface="+mn-lt"/>
              </a:rPr>
              <a:t>Sales By Salesperson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Sheet1!$T$25</c:f>
            </c:strRef>
          </c:tx>
          <c:spPr>
            <a:solidFill>
              <a:srgbClr val="50B30D"/>
            </a:solidFill>
            <a:ln cmpd="sng">
              <a:noFill/>
            </a:ln>
          </c:spPr>
          <c:cat>
            <c:strRef>
              <c:f>Sheet1!$R$26:$R$35</c:f>
            </c:strRef>
          </c:cat>
          <c:val>
            <c:numRef>
              <c:f>Sheet1!$T$26:$T$35</c:f>
              <c:numCache/>
            </c:numRef>
          </c:val>
        </c:ser>
        <c:ser>
          <c:idx val="1"/>
          <c:order val="1"/>
          <c:tx>
            <c:strRef>
              <c:f>Sheet1!$U$25</c:f>
            </c:strRef>
          </c:tx>
          <c:spPr>
            <a:solidFill>
              <a:srgbClr val="15AFD7"/>
            </a:solidFill>
            <a:ln cmpd="sng">
              <a:noFill/>
            </a:ln>
          </c:spPr>
          <c:cat>
            <c:strRef>
              <c:f>Sheet1!$R$26:$R$35</c:f>
            </c:strRef>
          </c:cat>
          <c:val>
            <c:numRef>
              <c:f>Sheet1!$U$26:$U$35</c:f>
              <c:numCache/>
            </c:numRef>
          </c:val>
        </c:ser>
        <c:axId val="1105789035"/>
        <c:axId val="1571768454"/>
      </c:bar3DChart>
      <c:catAx>
        <c:axId val="1105789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1571768454"/>
      </c:catAx>
      <c:valAx>
        <c:axId val="1571768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11057890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9900"/>
                </a:solidFill>
                <a:latin typeface="+mn-lt"/>
              </a:defRPr>
            </a:pPr>
            <a:r>
              <a:rPr b="0">
                <a:solidFill>
                  <a:srgbClr val="FF9900"/>
                </a:solidFill>
                <a:latin typeface="+mn-lt"/>
              </a:rPr>
              <a:t>Sales By Product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Sheet1!$Y$25</c:f>
            </c:strRef>
          </c:tx>
          <c:spPr>
            <a:solidFill>
              <a:srgbClr val="00FFFF"/>
            </a:solidFill>
            <a:ln cmpd="sng">
              <a:noFill/>
            </a:ln>
          </c:spPr>
          <c:cat>
            <c:strRef>
              <c:f>Sheet1!$W$26:$W$35</c:f>
            </c:strRef>
          </c:cat>
          <c:val>
            <c:numRef>
              <c:f>Sheet1!$Y$26:$Y$35</c:f>
              <c:numCache/>
            </c:numRef>
          </c:val>
        </c:ser>
        <c:ser>
          <c:idx val="1"/>
          <c:order val="1"/>
          <c:tx>
            <c:strRef>
              <c:f>Sheet1!$Z$25</c:f>
            </c:strRef>
          </c:tx>
          <c:spPr>
            <a:solidFill>
              <a:srgbClr val="9900FF"/>
            </a:solidFill>
            <a:ln cmpd="sng">
              <a:noFill/>
            </a:ln>
          </c:spPr>
          <c:cat>
            <c:strRef>
              <c:f>Sheet1!$W$26:$W$35</c:f>
            </c:strRef>
          </c:cat>
          <c:val>
            <c:numRef>
              <c:f>Sheet1!$Z$26:$Z$35</c:f>
              <c:numCache/>
            </c:numRef>
          </c:val>
        </c:ser>
        <c:axId val="1162454088"/>
        <c:axId val="2013761917"/>
      </c:bar3DChart>
      <c:catAx>
        <c:axId val="1162454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FFFF"/>
                </a:solidFill>
                <a:latin typeface="+mn-lt"/>
              </a:defRPr>
            </a:pPr>
          </a:p>
        </c:txPr>
        <c:crossAx val="2013761917"/>
      </c:catAx>
      <c:valAx>
        <c:axId val="2013761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00"/>
                </a:solidFill>
                <a:latin typeface="+mn-lt"/>
              </a:defRPr>
            </a:pPr>
          </a:p>
        </c:txPr>
        <c:crossAx val="11624540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6.xml"/><Relationship Id="rId10" Type="http://schemas.openxmlformats.org/officeDocument/2006/relationships/chart" Target="../charts/chart15.xml"/><Relationship Id="rId13" Type="http://schemas.openxmlformats.org/officeDocument/2006/relationships/chart" Target="../charts/chart18.xml"/><Relationship Id="rId12" Type="http://schemas.openxmlformats.org/officeDocument/2006/relationships/chart" Target="../charts/chart17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5" Type="http://schemas.openxmlformats.org/officeDocument/2006/relationships/chart" Target="../charts/chart20.xml"/><Relationship Id="rId14" Type="http://schemas.openxmlformats.org/officeDocument/2006/relationships/chart" Target="../charts/chart1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24</xdr:row>
      <xdr:rowOff>57150</xdr:rowOff>
    </xdr:from>
    <xdr:ext cx="5143500" cy="3228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28575</xdr:colOff>
      <xdr:row>2</xdr:row>
      <xdr:rowOff>95250</xdr:rowOff>
    </xdr:from>
    <xdr:ext cx="49339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104775</xdr:colOff>
      <xdr:row>20</xdr:row>
      <xdr:rowOff>219075</xdr:rowOff>
    </xdr:from>
    <xdr:ext cx="4829175" cy="3819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95250</xdr:colOff>
      <xdr:row>20</xdr:row>
      <xdr:rowOff>219075</xdr:rowOff>
    </xdr:from>
    <xdr:ext cx="5715000" cy="3810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104775</xdr:colOff>
      <xdr:row>2</xdr:row>
      <xdr:rowOff>95250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133350</xdr:rowOff>
    </xdr:from>
    <xdr:ext cx="4667250" cy="2895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123825</xdr:colOff>
      <xdr:row>17</xdr:row>
      <xdr:rowOff>19050</xdr:rowOff>
    </xdr:from>
    <xdr:ext cx="4667250" cy="28956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123825</xdr:colOff>
      <xdr:row>33</xdr:row>
      <xdr:rowOff>95250</xdr:rowOff>
    </xdr:from>
    <xdr:ext cx="4667250" cy="28956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457200</xdr:colOff>
      <xdr:row>0</xdr:row>
      <xdr:rowOff>133350</xdr:rowOff>
    </xdr:from>
    <xdr:ext cx="4667250" cy="28956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457200</xdr:colOff>
      <xdr:row>17</xdr:row>
      <xdr:rowOff>19050</xdr:rowOff>
    </xdr:from>
    <xdr:ext cx="4667250" cy="2895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457200</xdr:colOff>
      <xdr:row>33</xdr:row>
      <xdr:rowOff>95250</xdr:rowOff>
    </xdr:from>
    <xdr:ext cx="4667250" cy="2895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790575</xdr:colOff>
      <xdr:row>0</xdr:row>
      <xdr:rowOff>133350</xdr:rowOff>
    </xdr:from>
    <xdr:ext cx="4667250" cy="28956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790575</xdr:colOff>
      <xdr:row>17</xdr:row>
      <xdr:rowOff>19050</xdr:rowOff>
    </xdr:from>
    <xdr:ext cx="4667250" cy="28956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790575</xdr:colOff>
      <xdr:row>33</xdr:row>
      <xdr:rowOff>95250</xdr:rowOff>
    </xdr:from>
    <xdr:ext cx="4667250" cy="2895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16</xdr:col>
      <xdr:colOff>161925</xdr:colOff>
      <xdr:row>0</xdr:row>
      <xdr:rowOff>133350</xdr:rowOff>
    </xdr:from>
    <xdr:ext cx="4667250" cy="28956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16</xdr:col>
      <xdr:colOff>161925</xdr:colOff>
      <xdr:row>17</xdr:row>
      <xdr:rowOff>19050</xdr:rowOff>
    </xdr:from>
    <xdr:ext cx="4667250" cy="28956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16</xdr:col>
      <xdr:colOff>161925</xdr:colOff>
      <xdr:row>33</xdr:row>
      <xdr:rowOff>95250</xdr:rowOff>
    </xdr:from>
    <xdr:ext cx="4667250" cy="28956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21</xdr:col>
      <xdr:colOff>495300</xdr:colOff>
      <xdr:row>0</xdr:row>
      <xdr:rowOff>133350</xdr:rowOff>
    </xdr:from>
    <xdr:ext cx="4667250" cy="28956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21</xdr:col>
      <xdr:colOff>495300</xdr:colOff>
      <xdr:row>17</xdr:row>
      <xdr:rowOff>19050</xdr:rowOff>
    </xdr:from>
    <xdr:ext cx="4667250" cy="28956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21</xdr:col>
      <xdr:colOff>495300</xdr:colOff>
      <xdr:row>33</xdr:row>
      <xdr:rowOff>95250</xdr:rowOff>
    </xdr:from>
    <xdr:ext cx="4667250" cy="28956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</xdr:row>
      <xdr:rowOff>38100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447675</xdr:colOff>
      <xdr:row>1</xdr:row>
      <xdr:rowOff>38100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714375</xdr:colOff>
      <xdr:row>1</xdr:row>
      <xdr:rowOff>38100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180975</xdr:colOff>
      <xdr:row>21</xdr:row>
      <xdr:rowOff>104775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447675</xdr:colOff>
      <xdr:row>21</xdr:row>
      <xdr:rowOff>104775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1.71"/>
    <col customWidth="1" min="3" max="3" width="1.86"/>
    <col customWidth="1" min="4" max="4" width="3.57"/>
    <col customWidth="1" min="5" max="5" width="1.57"/>
    <col customWidth="1" min="6" max="6" width="14.43"/>
    <col customWidth="1" min="7" max="7" width="2.14"/>
    <col customWidth="1" min="9" max="9" width="2.29"/>
    <col customWidth="1" min="10" max="12" width="12.71"/>
    <col customWidth="1" min="13" max="13" width="2.0"/>
    <col customWidth="1" min="14" max="14" width="1.57"/>
    <col customWidth="1" min="15" max="15" width="2.0"/>
    <col customWidth="1" min="17" max="17" width="9.71"/>
    <col customWidth="1" min="18" max="22" width="12.71"/>
    <col customWidth="1" min="23" max="23" width="9.29"/>
    <col customWidth="1" min="24" max="24" width="16.57"/>
    <col customWidth="1" min="25" max="28" width="12.71"/>
    <col customWidth="1" min="29" max="29" width="2.0"/>
    <col customWidth="1" min="31" max="31" width="71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9.0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/>
      <c r="AE2" s="2"/>
      <c r="AF2" s="2"/>
    </row>
    <row r="3" ht="8.25" customHeight="1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2"/>
      <c r="AE3" s="2"/>
      <c r="AF3" s="2"/>
    </row>
    <row r="4">
      <c r="A4" s="1"/>
      <c r="B4" s="3"/>
      <c r="C4" s="1"/>
      <c r="D4" s="1"/>
      <c r="E4" s="1"/>
      <c r="F4" s="4" t="s">
        <v>0</v>
      </c>
      <c r="G4" s="5"/>
      <c r="H4" s="5"/>
      <c r="I4" s="5"/>
      <c r="J4" s="5"/>
      <c r="K4" s="5"/>
      <c r="L4" s="6"/>
      <c r="M4" s="1"/>
      <c r="N4" s="1"/>
      <c r="O4" s="7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2"/>
      <c r="AE4" s="2"/>
      <c r="AF4" s="2"/>
    </row>
    <row r="5">
      <c r="A5" s="8"/>
      <c r="B5" s="9"/>
      <c r="C5" s="10" t="s">
        <v>1</v>
      </c>
      <c r="D5" s="5"/>
      <c r="E5" s="6"/>
      <c r="F5" s="7"/>
      <c r="G5" s="7"/>
      <c r="H5" s="7"/>
      <c r="I5" s="7"/>
      <c r="J5" s="11" t="s">
        <v>2</v>
      </c>
      <c r="K5" s="12" t="s">
        <v>3</v>
      </c>
      <c r="L5" s="13" t="s">
        <v>4</v>
      </c>
      <c r="M5" s="14"/>
      <c r="N5" s="1"/>
      <c r="O5" s="8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3"/>
      <c r="AD5" s="8"/>
      <c r="AE5" s="8"/>
      <c r="AF5" s="8"/>
    </row>
    <row r="6" ht="19.5" customHeight="1">
      <c r="A6" s="1"/>
      <c r="B6" s="3"/>
      <c r="C6" s="1"/>
      <c r="D6" s="15">
        <v>1.0</v>
      </c>
      <c r="E6" s="1"/>
      <c r="F6" s="16">
        <v>1.0</v>
      </c>
      <c r="G6" s="17"/>
      <c r="H6" s="16">
        <v>250.0</v>
      </c>
      <c r="I6" s="7"/>
      <c r="J6" s="18">
        <f>Sheet1!D17</f>
        <v>13</v>
      </c>
      <c r="K6" s="19">
        <f>Sheet1!E16</f>
        <v>2369</v>
      </c>
      <c r="L6" s="20">
        <f>Sheet1!D16</f>
        <v>1129</v>
      </c>
      <c r="M6" s="14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1"/>
      <c r="AE6" s="1"/>
      <c r="AF6" s="1"/>
    </row>
    <row r="7" ht="19.5" customHeight="1">
      <c r="A7" s="1"/>
      <c r="B7" s="3"/>
      <c r="C7" s="1"/>
      <c r="D7" s="15">
        <v>2.0</v>
      </c>
      <c r="E7" s="1"/>
      <c r="F7" s="21">
        <f t="shared" ref="F7:F14" si="1">H6+1</f>
        <v>251</v>
      </c>
      <c r="G7" s="17"/>
      <c r="H7" s="16">
        <v>500.0</v>
      </c>
      <c r="I7" s="7"/>
      <c r="J7" s="22">
        <f>Sheet1!F17</f>
        <v>7</v>
      </c>
      <c r="K7" s="23">
        <f>Sheet1!G16</f>
        <v>2534</v>
      </c>
      <c r="L7" s="24">
        <f>Sheet1!F16</f>
        <v>1309</v>
      </c>
      <c r="M7" s="14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/>
      <c r="AD7" s="1"/>
      <c r="AE7" s="1"/>
      <c r="AF7" s="1"/>
    </row>
    <row r="8" ht="19.5" customHeight="1">
      <c r="A8" s="1"/>
      <c r="B8" s="3"/>
      <c r="C8" s="1"/>
      <c r="D8" s="15">
        <v>3.0</v>
      </c>
      <c r="E8" s="1"/>
      <c r="F8" s="21">
        <f t="shared" si="1"/>
        <v>501</v>
      </c>
      <c r="G8" s="17"/>
      <c r="H8" s="16">
        <v>1000.0</v>
      </c>
      <c r="I8" s="7"/>
      <c r="J8" s="22">
        <f>Sheet1!H17</f>
        <v>36</v>
      </c>
      <c r="K8" s="23">
        <f>Sheet1!I16</f>
        <v>27630</v>
      </c>
      <c r="L8" s="24">
        <f>Sheet1!H16</f>
        <v>14326</v>
      </c>
      <c r="M8" s="14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3"/>
      <c r="AD8" s="1"/>
      <c r="AE8" s="1"/>
      <c r="AF8" s="1"/>
    </row>
    <row r="9" ht="19.5" customHeight="1">
      <c r="A9" s="1"/>
      <c r="B9" s="3"/>
      <c r="C9" s="1"/>
      <c r="D9" s="15">
        <v>4.0</v>
      </c>
      <c r="E9" s="1"/>
      <c r="F9" s="21">
        <f t="shared" si="1"/>
        <v>1001</v>
      </c>
      <c r="G9" s="17"/>
      <c r="H9" s="16">
        <v>1500.0</v>
      </c>
      <c r="I9" s="7"/>
      <c r="J9" s="22">
        <f>Sheet1!J17</f>
        <v>13</v>
      </c>
      <c r="K9" s="23">
        <f>Sheet1!K16</f>
        <v>17550</v>
      </c>
      <c r="L9" s="24">
        <f>Sheet1!J16</f>
        <v>8107</v>
      </c>
      <c r="M9" s="14"/>
      <c r="N9" s="1"/>
      <c r="O9" s="1"/>
      <c r="P9" s="1"/>
      <c r="Q9" s="1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/>
      <c r="AD9" s="1"/>
      <c r="AE9" s="1"/>
      <c r="AF9" s="1"/>
    </row>
    <row r="10" ht="19.5" customHeight="1">
      <c r="A10" s="1"/>
      <c r="B10" s="3"/>
      <c r="C10" s="1"/>
      <c r="D10" s="15">
        <v>5.0</v>
      </c>
      <c r="E10" s="1"/>
      <c r="F10" s="21">
        <f t="shared" si="1"/>
        <v>1501</v>
      </c>
      <c r="G10" s="17"/>
      <c r="H10" s="16">
        <v>2500.0</v>
      </c>
      <c r="I10" s="7"/>
      <c r="J10" s="22">
        <f>Sheet1!L17</f>
        <v>40</v>
      </c>
      <c r="K10" s="23">
        <f>Sheet1!M16</f>
        <v>83000</v>
      </c>
      <c r="L10" s="24">
        <f>Sheet1!L16</f>
        <v>42305</v>
      </c>
      <c r="M10" s="14"/>
      <c r="N10" s="1"/>
      <c r="O10" s="1"/>
      <c r="P10" s="1"/>
      <c r="Q10" s="1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1"/>
      <c r="AE10" s="1"/>
      <c r="AF10" s="1"/>
    </row>
    <row r="11" ht="19.5" customHeight="1">
      <c r="A11" s="1"/>
      <c r="B11" s="3"/>
      <c r="C11" s="1"/>
      <c r="D11" s="15">
        <v>6.0</v>
      </c>
      <c r="E11" s="1"/>
      <c r="F11" s="21">
        <f t="shared" si="1"/>
        <v>2501</v>
      </c>
      <c r="G11" s="17"/>
      <c r="H11" s="16">
        <v>5000.0</v>
      </c>
      <c r="I11" s="7"/>
      <c r="J11" s="22">
        <f>Sheet1!N17</f>
        <v>25</v>
      </c>
      <c r="K11" s="23">
        <f>Sheet1!O16</f>
        <v>86700</v>
      </c>
      <c r="L11" s="24">
        <f>Sheet1!N16</f>
        <v>41007</v>
      </c>
      <c r="M11" s="14"/>
      <c r="N11" s="1"/>
      <c r="O11" s="1"/>
      <c r="P11" s="1"/>
      <c r="Q11" s="1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1"/>
      <c r="AE11" s="1"/>
      <c r="AF11" s="1"/>
    </row>
    <row r="12" ht="19.5" customHeight="1">
      <c r="A12" s="1"/>
      <c r="B12" s="3"/>
      <c r="C12" s="1"/>
      <c r="D12" s="15">
        <v>7.0</v>
      </c>
      <c r="E12" s="1"/>
      <c r="F12" s="21">
        <f t="shared" si="1"/>
        <v>5001</v>
      </c>
      <c r="G12" s="17"/>
      <c r="H12" s="16">
        <v>7500.0</v>
      </c>
      <c r="I12" s="7"/>
      <c r="J12" s="22">
        <f>Sheet1!P17</f>
        <v>3</v>
      </c>
      <c r="K12" s="23">
        <f>Sheet1!Q16</f>
        <v>18100</v>
      </c>
      <c r="L12" s="24">
        <f>Sheet1!P16</f>
        <v>7223</v>
      </c>
      <c r="M12" s="14"/>
      <c r="N12" s="1"/>
      <c r="O12" s="1"/>
      <c r="P12" s="1"/>
      <c r="Q12" s="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3"/>
      <c r="AD12" s="1"/>
      <c r="AE12" s="1"/>
      <c r="AF12" s="1"/>
    </row>
    <row r="13" ht="19.5" customHeight="1">
      <c r="A13" s="1"/>
      <c r="B13" s="3"/>
      <c r="C13" s="1"/>
      <c r="D13" s="15">
        <v>8.0</v>
      </c>
      <c r="E13" s="1"/>
      <c r="F13" s="21">
        <f t="shared" si="1"/>
        <v>7501</v>
      </c>
      <c r="G13" s="17"/>
      <c r="H13" s="16">
        <v>10000.0</v>
      </c>
      <c r="I13" s="7"/>
      <c r="J13" s="22">
        <f>Sheet1!R17</f>
        <v>2</v>
      </c>
      <c r="K13" s="23">
        <f>Sheet1!S16</f>
        <v>16550</v>
      </c>
      <c r="L13" s="24">
        <f>Sheet1!R16</f>
        <v>6483</v>
      </c>
      <c r="M13" s="14"/>
      <c r="N13" s="1"/>
      <c r="O13" s="1"/>
      <c r="P13" s="1"/>
      <c r="Q13" s="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3"/>
      <c r="AD13" s="1"/>
      <c r="AE13" s="1"/>
      <c r="AF13" s="1"/>
    </row>
    <row r="14" ht="19.5" customHeight="1">
      <c r="A14" s="1"/>
      <c r="B14" s="3"/>
      <c r="C14" s="1"/>
      <c r="D14" s="15">
        <v>9.0</v>
      </c>
      <c r="E14" s="1"/>
      <c r="F14" s="21">
        <f t="shared" si="1"/>
        <v>10001</v>
      </c>
      <c r="G14" s="17"/>
      <c r="H14" s="16">
        <v>15000.0</v>
      </c>
      <c r="I14" s="7"/>
      <c r="J14" s="22">
        <f>Sheet1!T17</f>
        <v>0</v>
      </c>
      <c r="K14" s="23">
        <f>Sheet1!U16</f>
        <v>0</v>
      </c>
      <c r="L14" s="24">
        <f>Sheet1!T16</f>
        <v>0</v>
      </c>
      <c r="M14" s="14"/>
      <c r="N14" s="1"/>
      <c r="O14" s="1"/>
      <c r="P14" s="1"/>
      <c r="Q14" s="1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"/>
      <c r="AD14" s="1"/>
      <c r="AE14" s="1"/>
      <c r="AF14" s="1"/>
    </row>
    <row r="15" ht="19.5" customHeight="1">
      <c r="A15" s="1"/>
      <c r="B15" s="3"/>
      <c r="C15" s="1"/>
      <c r="D15" s="15">
        <v>10.0</v>
      </c>
      <c r="E15" s="1"/>
      <c r="F15" s="25" t="s">
        <v>5</v>
      </c>
      <c r="G15" s="17"/>
      <c r="H15" s="21">
        <f>H14+1</f>
        <v>15001</v>
      </c>
      <c r="I15" s="7"/>
      <c r="J15" s="26">
        <f>Sheet1!V17</f>
        <v>1</v>
      </c>
      <c r="K15" s="27">
        <f>Sheet1!W16</f>
        <v>15250</v>
      </c>
      <c r="L15" s="28">
        <f>Sheet1!V16</f>
        <v>8400</v>
      </c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3"/>
      <c r="AD15" s="1"/>
      <c r="AE15" s="1"/>
      <c r="AF15" s="1"/>
    </row>
    <row r="16" ht="8.25" customHeight="1">
      <c r="A16" s="1"/>
      <c r="B16" s="3"/>
      <c r="C16" s="1"/>
      <c r="D16" s="1"/>
      <c r="E16" s="1"/>
      <c r="F16" s="29"/>
      <c r="G16" s="29"/>
      <c r="H16" s="1"/>
      <c r="I16" s="1"/>
      <c r="J16" s="30"/>
      <c r="K16" s="30"/>
      <c r="L16" s="3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3"/>
      <c r="AD16" s="1"/>
      <c r="AE16" s="1"/>
      <c r="AF16" s="1"/>
    </row>
    <row r="17">
      <c r="A17" s="1"/>
      <c r="B17" s="3"/>
      <c r="C17" s="1"/>
      <c r="D17" s="1"/>
      <c r="E17" s="31" t="s">
        <v>6</v>
      </c>
      <c r="F17" s="5"/>
      <c r="G17" s="5"/>
      <c r="H17" s="6"/>
      <c r="I17" s="1"/>
      <c r="J17" s="32">
        <f t="shared" ref="J17:L17" si="2">SUM(J6:J15)</f>
        <v>140</v>
      </c>
      <c r="K17" s="33">
        <f t="shared" si="2"/>
        <v>269683</v>
      </c>
      <c r="L17" s="34">
        <f t="shared" si="2"/>
        <v>130289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3"/>
      <c r="AD17" s="1"/>
      <c r="AE17" s="1"/>
      <c r="AF17" s="1"/>
    </row>
    <row r="18" ht="8.25" customHeight="1">
      <c r="A18" s="1"/>
      <c r="B18" s="3"/>
      <c r="C18" s="1"/>
      <c r="D18" s="1"/>
      <c r="E18" s="1"/>
      <c r="F18" s="29"/>
      <c r="G18" s="2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"/>
      <c r="AD18" s="1"/>
      <c r="AE18" s="1"/>
      <c r="AF18" s="1"/>
    </row>
    <row r="19" ht="9.75" customHeight="1">
      <c r="A19" s="1"/>
      <c r="B19" s="3"/>
      <c r="C19" s="1"/>
      <c r="D19" s="1"/>
      <c r="E19" s="35"/>
      <c r="F19" s="35"/>
      <c r="G19" s="35"/>
      <c r="H19" s="36"/>
      <c r="I19" s="36"/>
      <c r="J19" s="36"/>
      <c r="K19" s="36"/>
      <c r="L19" s="3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3"/>
      <c r="AD19" s="1"/>
      <c r="AE19" s="1"/>
      <c r="AF19" s="1"/>
    </row>
    <row r="20" ht="20.25" customHeight="1">
      <c r="A20" s="1"/>
      <c r="B20" s="3"/>
      <c r="C20" s="1"/>
      <c r="D20" s="1"/>
      <c r="E20" s="35"/>
      <c r="F20" s="37" t="s">
        <v>7</v>
      </c>
      <c r="G20" s="5"/>
      <c r="H20" s="6"/>
      <c r="I20" s="36"/>
      <c r="J20" s="38">
        <f>'Sales Data Input'!E14</f>
        <v>140</v>
      </c>
      <c r="K20" s="39"/>
      <c r="L20" s="3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"/>
      <c r="AD20" s="1"/>
      <c r="AE20" s="1"/>
      <c r="AF20" s="1"/>
    </row>
    <row r="21" ht="20.25" customHeight="1">
      <c r="A21" s="1"/>
      <c r="B21" s="3"/>
      <c r="C21" s="1"/>
      <c r="D21" s="1"/>
      <c r="E21" s="35"/>
      <c r="F21" s="40" t="s">
        <v>8</v>
      </c>
      <c r="G21" s="5"/>
      <c r="H21" s="6"/>
      <c r="I21" s="36"/>
      <c r="J21" s="41">
        <f>L17/J17</f>
        <v>930.6357143</v>
      </c>
      <c r="K21" s="42">
        <f>L17/K17</f>
        <v>0.4831190694</v>
      </c>
      <c r="L21" s="3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3"/>
      <c r="AD21" s="1"/>
      <c r="AE21" s="1"/>
      <c r="AF21" s="1"/>
    </row>
    <row r="22" ht="20.25" customHeight="1">
      <c r="A22" s="1"/>
      <c r="B22" s="3"/>
      <c r="C22" s="1"/>
      <c r="D22" s="1"/>
      <c r="E22" s="35"/>
      <c r="F22" s="40" t="s">
        <v>9</v>
      </c>
      <c r="G22" s="5"/>
      <c r="H22" s="6"/>
      <c r="I22" s="36"/>
      <c r="J22" s="43">
        <f>K17/J17</f>
        <v>1926.307143</v>
      </c>
      <c r="K22" s="39"/>
      <c r="L22" s="3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3"/>
      <c r="AD22" s="1"/>
      <c r="AE22" s="1"/>
      <c r="AF22" s="1"/>
    </row>
    <row r="23" ht="9.75" customHeight="1">
      <c r="A23" s="1"/>
      <c r="B23" s="3"/>
      <c r="C23" s="1"/>
      <c r="D23" s="1"/>
      <c r="E23" s="35"/>
      <c r="F23" s="35"/>
      <c r="G23" s="35"/>
      <c r="H23" s="36"/>
      <c r="I23" s="36"/>
      <c r="J23" s="36"/>
      <c r="K23" s="36"/>
      <c r="L23" s="36"/>
      <c r="M23" s="1"/>
      <c r="N23" s="1"/>
      <c r="O23" s="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3"/>
      <c r="AD23" s="1"/>
      <c r="AE23" s="1"/>
      <c r="AF23" s="1"/>
    </row>
    <row r="24" ht="8.25" customHeight="1">
      <c r="A24" s="1"/>
      <c r="B24" s="3"/>
      <c r="C24" s="1"/>
      <c r="D24" s="44"/>
      <c r="E24" s="44"/>
      <c r="F24" s="44"/>
      <c r="G24" s="44"/>
      <c r="H24" s="1"/>
      <c r="I24" s="1"/>
      <c r="J24" s="1"/>
      <c r="K24" s="1"/>
      <c r="L24" s="1"/>
      <c r="M24" s="1"/>
      <c r="N24" s="1"/>
      <c r="O24" s="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3"/>
      <c r="AD24" s="1"/>
      <c r="AE24" s="1"/>
      <c r="AF24" s="1"/>
    </row>
    <row r="25" ht="8.25" customHeight="1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3"/>
      <c r="AD25" s="1"/>
      <c r="AE25" s="1"/>
      <c r="AF25" s="1"/>
    </row>
    <row r="26" ht="15.75" customHeight="1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3"/>
      <c r="AD26" s="1"/>
      <c r="AE26" s="1"/>
      <c r="AF26" s="1"/>
    </row>
    <row r="27" ht="15.75" customHeight="1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3"/>
      <c r="AD27" s="1"/>
      <c r="AE27" s="1"/>
      <c r="AF27" s="1"/>
    </row>
    <row r="28" ht="15.75" customHeight="1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"/>
      <c r="AD28" s="1"/>
      <c r="AE28" s="1"/>
      <c r="AF28" s="1"/>
    </row>
    <row r="29" ht="15.75" customHeight="1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3"/>
      <c r="AD29" s="1"/>
      <c r="AE29" s="1"/>
      <c r="AF29" s="1"/>
    </row>
    <row r="30" ht="15.75" customHeight="1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"/>
      <c r="AD30" s="1"/>
      <c r="AE30" s="1"/>
      <c r="AF30" s="1"/>
    </row>
    <row r="31" ht="15.75" customHeight="1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3"/>
      <c r="AD31" s="1"/>
      <c r="AE31" s="1"/>
      <c r="AF31" s="1"/>
    </row>
    <row r="32" ht="15.75" customHeight="1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1"/>
      <c r="AE32" s="1"/>
      <c r="AF32" s="1"/>
    </row>
    <row r="33" ht="15.75" customHeight="1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"/>
      <c r="AD33" s="1"/>
      <c r="AE33" s="1"/>
      <c r="AF33" s="1"/>
    </row>
    <row r="34" ht="15.75" customHeight="1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1"/>
      <c r="AE34" s="1"/>
      <c r="AF34" s="1"/>
    </row>
    <row r="35" ht="15.75" customHeight="1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3"/>
      <c r="AD35" s="1"/>
      <c r="AE35" s="1"/>
      <c r="AF35" s="1"/>
    </row>
    <row r="36" ht="15.75" customHeight="1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3"/>
      <c r="AD36" s="1"/>
      <c r="AE36" s="1"/>
      <c r="AF36" s="1"/>
    </row>
    <row r="37" ht="15.75" customHeight="1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3"/>
      <c r="AD37" s="1"/>
      <c r="AE37" s="1"/>
      <c r="AF37" s="1"/>
    </row>
    <row r="38" ht="25.5" customHeight="1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3"/>
      <c r="AD38" s="1"/>
      <c r="AE38" s="1"/>
      <c r="AF38" s="1"/>
    </row>
    <row r="39" ht="15.75" customHeight="1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3"/>
      <c r="AD39" s="1"/>
      <c r="AE39" s="1"/>
      <c r="AF39" s="1"/>
    </row>
    <row r="40" ht="15.75" customHeight="1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3"/>
      <c r="AD40" s="1"/>
      <c r="AE40" s="1"/>
      <c r="AF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3"/>
      <c r="AD41" s="1"/>
      <c r="AE41" s="1"/>
      <c r="AF41" s="1"/>
    </row>
    <row r="42" ht="9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"/>
      <c r="AE42" s="1"/>
      <c r="AF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1"/>
      <c r="AD43" s="1"/>
      <c r="AE43" s="1"/>
      <c r="AF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1"/>
      <c r="AD44" s="1"/>
      <c r="AE44" s="1"/>
      <c r="AF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1"/>
      <c r="AD45" s="1"/>
      <c r="AE45" s="1"/>
      <c r="AF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1"/>
      <c r="AD46" s="1"/>
      <c r="AE46" s="1"/>
      <c r="AF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1"/>
      <c r="AD47" s="1"/>
      <c r="AE47" s="1"/>
      <c r="AF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1"/>
      <c r="AD48" s="1"/>
      <c r="AE48" s="1"/>
      <c r="AF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1"/>
      <c r="AD49" s="1"/>
      <c r="AE49" s="1"/>
      <c r="AF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1"/>
      <c r="AD50" s="1"/>
      <c r="AE50" s="1"/>
      <c r="AF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1"/>
      <c r="AD51" s="1"/>
      <c r="AE51" s="1"/>
      <c r="AF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1"/>
      <c r="AD52" s="1"/>
      <c r="AE52" s="1"/>
      <c r="AF52" s="1"/>
    </row>
    <row r="53" ht="15.75" customHeight="1">
      <c r="A53" s="1"/>
      <c r="B53" s="1"/>
      <c r="C53" s="1"/>
      <c r="D53" s="1"/>
      <c r="E53" s="1"/>
      <c r="F53" s="45"/>
      <c r="G53" s="46"/>
      <c r="H53" s="6"/>
      <c r="I53" s="1"/>
      <c r="J53" s="1"/>
      <c r="K53" s="1"/>
      <c r="L53" s="1"/>
      <c r="M53" s="1"/>
      <c r="N53" s="1"/>
      <c r="O53" s="1"/>
      <c r="P53" s="1"/>
      <c r="Q53" s="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1"/>
      <c r="AD53" s="1"/>
      <c r="AE53" s="1"/>
      <c r="AF53" s="1"/>
    </row>
    <row r="54" ht="15.75" customHeight="1">
      <c r="A54" s="1"/>
      <c r="B54" s="1"/>
      <c r="C54" s="1"/>
      <c r="D54" s="1"/>
      <c r="E54" s="1"/>
      <c r="F54" s="45"/>
      <c r="G54" s="46"/>
      <c r="H54" s="6"/>
      <c r="I54" s="1"/>
      <c r="J54" s="1"/>
      <c r="K54" s="1"/>
      <c r="L54" s="1"/>
      <c r="M54" s="1"/>
      <c r="N54" s="1"/>
      <c r="O54" s="1"/>
      <c r="P54" s="1"/>
      <c r="Q54" s="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1"/>
      <c r="AD54" s="1"/>
      <c r="AE54" s="1"/>
      <c r="AF54" s="1"/>
    </row>
    <row r="55" ht="15.75" customHeight="1">
      <c r="A55" s="1"/>
      <c r="B55" s="1"/>
      <c r="C55" s="1"/>
      <c r="D55" s="1"/>
      <c r="E55" s="1"/>
      <c r="F55" s="45"/>
      <c r="G55" s="46"/>
      <c r="H55" s="6"/>
      <c r="I55" s="1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1"/>
      <c r="AD55" s="1"/>
      <c r="AE55" s="1"/>
      <c r="AF55" s="1"/>
    </row>
    <row r="56" ht="15.75" customHeight="1">
      <c r="A56" s="1"/>
      <c r="B56" s="1"/>
      <c r="C56" s="1"/>
      <c r="D56" s="1"/>
      <c r="E56" s="1"/>
      <c r="F56" s="45"/>
      <c r="G56" s="46"/>
      <c r="H56" s="6"/>
      <c r="I56" s="1"/>
      <c r="J56" s="1"/>
      <c r="K56" s="1"/>
      <c r="L56" s="1"/>
      <c r="M56" s="1"/>
      <c r="N56" s="1"/>
      <c r="O56" s="1"/>
      <c r="P56" s="1"/>
      <c r="Q56" s="1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1"/>
      <c r="AD56" s="1"/>
      <c r="AE56" s="1"/>
      <c r="AF56" s="1"/>
    </row>
    <row r="57" ht="15.75" customHeight="1">
      <c r="A57" s="1"/>
      <c r="B57" s="1"/>
      <c r="C57" s="1"/>
      <c r="D57" s="1"/>
      <c r="E57" s="1"/>
      <c r="F57" s="45"/>
      <c r="G57" s="46"/>
      <c r="H57" s="6"/>
      <c r="I57" s="1"/>
      <c r="J57" s="1"/>
      <c r="K57" s="1"/>
      <c r="L57" s="1"/>
      <c r="M57" s="1"/>
      <c r="N57" s="1"/>
      <c r="O57" s="1"/>
      <c r="P57" s="1"/>
      <c r="Q57" s="1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1"/>
      <c r="AD57" s="1"/>
      <c r="AE57" s="1"/>
      <c r="AF57" s="1"/>
    </row>
    <row r="58" ht="15.75" customHeight="1">
      <c r="A58" s="1"/>
      <c r="B58" s="1"/>
      <c r="C58" s="1"/>
      <c r="D58" s="1"/>
      <c r="E58" s="1"/>
      <c r="F58" s="45"/>
      <c r="G58" s="46"/>
      <c r="H58" s="6"/>
      <c r="I58" s="1"/>
      <c r="J58" s="1"/>
      <c r="K58" s="1"/>
      <c r="L58" s="1"/>
      <c r="M58" s="1"/>
      <c r="N58" s="1"/>
      <c r="O58" s="1"/>
      <c r="P58" s="1"/>
      <c r="Q58" s="1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1"/>
      <c r="AD58" s="1"/>
      <c r="AE58" s="1"/>
      <c r="AF58" s="1"/>
    </row>
    <row r="59" ht="15.75" customHeight="1">
      <c r="A59" s="1"/>
      <c r="B59" s="1"/>
      <c r="C59" s="1"/>
      <c r="D59" s="1"/>
      <c r="E59" s="1"/>
      <c r="F59" s="45"/>
      <c r="G59" s="46"/>
      <c r="H59" s="6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1"/>
      <c r="AD59" s="1"/>
      <c r="AE59" s="1"/>
      <c r="AF59" s="1"/>
    </row>
    <row r="60" ht="15.75" customHeight="1">
      <c r="A60" s="1"/>
      <c r="B60" s="1"/>
      <c r="C60" s="1"/>
      <c r="D60" s="1"/>
      <c r="E60" s="1"/>
      <c r="F60" s="45"/>
      <c r="G60" s="46"/>
      <c r="H60" s="6"/>
      <c r="I60" s="1"/>
      <c r="J60" s="1"/>
      <c r="K60" s="1"/>
      <c r="L60" s="1"/>
      <c r="M60" s="1"/>
      <c r="N60" s="1"/>
      <c r="O60" s="1"/>
      <c r="P60" s="1"/>
      <c r="Q60" s="1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1"/>
      <c r="AD60" s="1"/>
      <c r="AE60" s="1"/>
      <c r="AF60" s="1"/>
    </row>
    <row r="61" ht="15.75" customHeight="1">
      <c r="A61" s="1"/>
      <c r="B61" s="1"/>
      <c r="C61" s="1"/>
      <c r="D61" s="1"/>
      <c r="E61" s="1"/>
      <c r="F61" s="45"/>
      <c r="G61" s="46"/>
      <c r="H61" s="6"/>
      <c r="I61" s="1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1"/>
      <c r="AD61" s="1"/>
      <c r="AE61" s="1"/>
      <c r="AF61" s="1"/>
    </row>
    <row r="62" ht="15.75" customHeight="1">
      <c r="A62" s="1"/>
      <c r="B62" s="1"/>
      <c r="C62" s="1"/>
      <c r="D62" s="1"/>
      <c r="E62" s="1"/>
      <c r="F62" s="4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5.75" customHeight="1">
      <c r="A63" s="1"/>
      <c r="B63" s="1"/>
      <c r="C63" s="1"/>
      <c r="D63" s="1"/>
      <c r="E63" s="1"/>
      <c r="F63" s="4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5.75" customHeight="1">
      <c r="A65" s="1"/>
      <c r="B65" s="1"/>
      <c r="C65" s="1"/>
      <c r="D65" s="1"/>
      <c r="E65" s="1"/>
      <c r="F65" s="47"/>
      <c r="G65" s="48"/>
      <c r="H65" s="6"/>
      <c r="I65" s="48"/>
      <c r="J65" s="6"/>
      <c r="K65" s="1"/>
      <c r="L65" s="1"/>
      <c r="M65" s="1"/>
      <c r="N65" s="1"/>
      <c r="O65" s="1"/>
      <c r="P65" s="1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5.75" customHeight="1">
      <c r="A66" s="1"/>
      <c r="B66" s="1"/>
      <c r="C66" s="1"/>
      <c r="D66" s="1"/>
      <c r="E66" s="1"/>
      <c r="F66" s="49"/>
      <c r="G66" s="50"/>
      <c r="H66" s="50"/>
      <c r="I66" s="51"/>
      <c r="J66" s="51"/>
      <c r="K66" s="1"/>
      <c r="L66" s="1"/>
      <c r="M66" s="1"/>
      <c r="N66" s="1"/>
      <c r="O66" s="1"/>
      <c r="P66" s="1"/>
      <c r="Q66" s="45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5.75" customHeight="1">
      <c r="A67" s="1"/>
      <c r="B67" s="1"/>
      <c r="C67" s="1"/>
      <c r="D67" s="1"/>
      <c r="E67" s="1"/>
      <c r="F67" s="49"/>
      <c r="G67" s="50"/>
      <c r="H67" s="50"/>
      <c r="I67" s="51"/>
      <c r="J67" s="51"/>
      <c r="K67" s="1"/>
      <c r="L67" s="1"/>
      <c r="M67" s="1"/>
      <c r="N67" s="1"/>
      <c r="O67" s="1"/>
      <c r="P67" s="1"/>
      <c r="Q67" s="4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5.75" customHeight="1">
      <c r="A68" s="1"/>
      <c r="B68" s="1"/>
      <c r="C68" s="1"/>
      <c r="D68" s="1"/>
      <c r="E68" s="1"/>
      <c r="F68" s="49"/>
      <c r="G68" s="50"/>
      <c r="H68" s="50"/>
      <c r="I68" s="51"/>
      <c r="J68" s="51"/>
      <c r="K68" s="1"/>
      <c r="L68" s="1"/>
      <c r="M68" s="1"/>
      <c r="N68" s="1"/>
      <c r="O68" s="1"/>
      <c r="P68" s="1"/>
      <c r="Q68" s="1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5.75" customHeight="1">
      <c r="A69" s="1"/>
      <c r="B69" s="1"/>
      <c r="C69" s="1"/>
      <c r="D69" s="1"/>
      <c r="E69" s="1"/>
      <c r="F69" s="49"/>
      <c r="G69" s="50"/>
      <c r="H69" s="50"/>
      <c r="I69" s="51"/>
      <c r="J69" s="51"/>
      <c r="K69" s="1"/>
      <c r="L69" s="1"/>
      <c r="M69" s="1"/>
      <c r="N69" s="1"/>
      <c r="O69" s="1"/>
      <c r="P69" s="1"/>
      <c r="Q69" s="1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5.75" customHeight="1">
      <c r="A70" s="1"/>
      <c r="B70" s="1"/>
      <c r="C70" s="1"/>
      <c r="D70" s="1"/>
      <c r="E70" s="1"/>
      <c r="F70" s="49"/>
      <c r="G70" s="50"/>
      <c r="H70" s="50"/>
      <c r="I70" s="51"/>
      <c r="J70" s="51"/>
      <c r="K70" s="53"/>
      <c r="L70" s="1"/>
      <c r="M70" s="1"/>
      <c r="N70" s="1"/>
      <c r="O70" s="1"/>
      <c r="P70" s="1"/>
      <c r="Q70" s="1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5.75" customHeight="1">
      <c r="A71" s="1"/>
      <c r="B71" s="1"/>
      <c r="C71" s="1"/>
      <c r="D71" s="1"/>
      <c r="E71" s="1"/>
      <c r="F71" s="49"/>
      <c r="G71" s="50"/>
      <c r="H71" s="50"/>
      <c r="I71" s="51"/>
      <c r="J71" s="51"/>
      <c r="K71" s="53"/>
      <c r="L71" s="1"/>
      <c r="M71" s="1"/>
      <c r="N71" s="1"/>
      <c r="O71" s="1"/>
      <c r="P71" s="1"/>
      <c r="Q71" s="1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5.75" customHeight="1">
      <c r="A72" s="1"/>
      <c r="B72" s="1"/>
      <c r="C72" s="1"/>
      <c r="D72" s="1"/>
      <c r="E72" s="1"/>
      <c r="F72" s="49"/>
      <c r="G72" s="50"/>
      <c r="H72" s="50"/>
      <c r="I72" s="51"/>
      <c r="J72" s="51"/>
      <c r="K72" s="53"/>
      <c r="L72" s="1"/>
      <c r="M72" s="1"/>
      <c r="N72" s="1"/>
      <c r="O72" s="1"/>
      <c r="P72" s="1"/>
      <c r="Q72" s="1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5.75" customHeight="1">
      <c r="A73" s="1"/>
      <c r="B73" s="1"/>
      <c r="C73" s="1"/>
      <c r="D73" s="1"/>
      <c r="E73" s="1"/>
      <c r="F73" s="49"/>
      <c r="G73" s="50"/>
      <c r="H73" s="50"/>
      <c r="I73" s="51"/>
      <c r="J73" s="51"/>
      <c r="K73" s="53"/>
      <c r="L73" s="1"/>
      <c r="M73" s="1"/>
      <c r="N73" s="1"/>
      <c r="O73" s="1"/>
      <c r="P73" s="1"/>
      <c r="Q73" s="1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5.75" customHeight="1">
      <c r="A74" s="1"/>
      <c r="B74" s="1"/>
      <c r="C74" s="1"/>
      <c r="D74" s="1"/>
      <c r="E74" s="1"/>
      <c r="F74" s="49"/>
      <c r="G74" s="50"/>
      <c r="H74" s="50"/>
      <c r="I74" s="51"/>
      <c r="J74" s="51"/>
      <c r="K74" s="1"/>
      <c r="L74" s="1"/>
      <c r="M74" s="1"/>
      <c r="N74" s="1"/>
      <c r="O74" s="1"/>
      <c r="P74" s="1"/>
      <c r="Q74" s="1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5.75" customHeight="1">
      <c r="A75" s="1"/>
      <c r="B75" s="1"/>
      <c r="C75" s="1"/>
      <c r="D75" s="1"/>
      <c r="E75" s="1"/>
      <c r="F75" s="54"/>
      <c r="G75" s="1"/>
      <c r="H75" s="1"/>
      <c r="I75" s="1"/>
      <c r="J75" s="1"/>
      <c r="K75" s="55"/>
      <c r="L75" s="1"/>
      <c r="M75" s="1"/>
      <c r="N75" s="1"/>
      <c r="O75" s="1"/>
      <c r="P75" s="1"/>
      <c r="Q75" s="1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5.75" customHeight="1">
      <c r="A76" s="1"/>
      <c r="B76" s="1"/>
      <c r="C76" s="1"/>
      <c r="D76" s="1"/>
      <c r="E76" s="1"/>
      <c r="F76" s="54"/>
      <c r="G76" s="1"/>
      <c r="H76" s="1"/>
      <c r="I76" s="1"/>
      <c r="J76" s="1"/>
      <c r="K76" s="55"/>
      <c r="L76" s="1"/>
      <c r="M76" s="1"/>
      <c r="N76" s="1"/>
      <c r="O76" s="1"/>
      <c r="P76" s="1"/>
      <c r="Q76" s="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55"/>
      <c r="L77" s="1"/>
      <c r="M77" s="1"/>
      <c r="N77" s="1"/>
      <c r="O77" s="1"/>
      <c r="P77" s="1"/>
      <c r="Q77" s="1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55"/>
      <c r="L78" s="1"/>
      <c r="M78" s="1"/>
      <c r="N78" s="1"/>
      <c r="O78" s="1"/>
      <c r="P78" s="1"/>
      <c r="Q78" s="1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9">
    <mergeCell ref="F4:L4"/>
    <mergeCell ref="C5:E5"/>
    <mergeCell ref="E17:H17"/>
    <mergeCell ref="F20:H20"/>
    <mergeCell ref="J20:K20"/>
    <mergeCell ref="F21:H21"/>
    <mergeCell ref="J22:K22"/>
    <mergeCell ref="G59:H59"/>
    <mergeCell ref="G60:H60"/>
    <mergeCell ref="G61:H61"/>
    <mergeCell ref="G65:H65"/>
    <mergeCell ref="I65:J65"/>
    <mergeCell ref="F22:H22"/>
    <mergeCell ref="G53:H53"/>
    <mergeCell ref="G54:H54"/>
    <mergeCell ref="G55:H55"/>
    <mergeCell ref="G56:H56"/>
    <mergeCell ref="G57:H57"/>
    <mergeCell ref="G58:H5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2.43"/>
    <col customWidth="1" min="2" max="2" width="22.86"/>
    <col customWidth="1" min="3" max="3" width="23.71"/>
    <col customWidth="1" min="4" max="4" width="21.86"/>
    <col customWidth="1" min="5" max="8" width="17.0"/>
    <col customWidth="1" min="9" max="9" width="19.71"/>
    <col customWidth="1" min="10" max="10" width="17.43"/>
    <col customWidth="1" min="13" max="13" width="63.14"/>
    <col customWidth="1" min="34" max="34" width="15.0"/>
    <col customWidth="1" min="38" max="38" width="17.57"/>
    <col customWidth="1" min="44" max="44" width="4.86"/>
    <col customWidth="1" min="45" max="48" width="14.71"/>
    <col customWidth="1" min="49" max="49" width="4.0"/>
    <col customWidth="1" min="50" max="50" width="14.71"/>
    <col customWidth="1" min="54" max="54" width="4.0"/>
    <col customWidth="1" min="59" max="59" width="4.14"/>
    <col customWidth="1" min="60" max="60" width="20.0"/>
    <col customWidth="1" min="67" max="67" width="3.14"/>
  </cols>
  <sheetData>
    <row r="1">
      <c r="A1" s="59"/>
      <c r="B1" s="60" t="s">
        <v>10</v>
      </c>
      <c r="C1" s="61" t="s">
        <v>11</v>
      </c>
      <c r="D1" s="62" t="str">
        <f>D16</f>
        <v>Product Category</v>
      </c>
      <c r="E1" s="63"/>
      <c r="F1" s="64"/>
      <c r="G1" s="64"/>
      <c r="H1" s="64"/>
      <c r="I1" s="60" t="s">
        <v>12</v>
      </c>
      <c r="J1" s="61" t="s">
        <v>13</v>
      </c>
      <c r="K1" s="59"/>
      <c r="L1" s="65"/>
      <c r="M1" s="65"/>
      <c r="BM1" s="66"/>
      <c r="BN1" s="66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</row>
    <row r="2">
      <c r="A2" s="67">
        <v>1.0</v>
      </c>
      <c r="B2" s="68" t="s">
        <v>14</v>
      </c>
      <c r="C2" s="69" t="s">
        <v>15</v>
      </c>
      <c r="D2" s="70" t="s">
        <v>16</v>
      </c>
      <c r="E2" s="63"/>
      <c r="F2" s="64"/>
      <c r="G2" s="64"/>
      <c r="H2" s="64"/>
      <c r="I2" s="69" t="s">
        <v>17</v>
      </c>
      <c r="J2" s="71" t="s">
        <v>18</v>
      </c>
      <c r="K2" s="59"/>
      <c r="L2" s="65"/>
      <c r="M2" s="65"/>
      <c r="BM2" s="66"/>
      <c r="BN2" s="66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>
      <c r="A3" s="67">
        <v>2.0</v>
      </c>
      <c r="B3" s="68" t="s">
        <v>19</v>
      </c>
      <c r="C3" s="69" t="s">
        <v>20</v>
      </c>
      <c r="D3" s="70" t="s">
        <v>21</v>
      </c>
      <c r="E3" s="63"/>
      <c r="F3" s="64"/>
      <c r="G3" s="64"/>
      <c r="H3" s="64"/>
      <c r="I3" s="69" t="s">
        <v>22</v>
      </c>
      <c r="J3" s="71" t="s">
        <v>23</v>
      </c>
      <c r="K3" s="59"/>
      <c r="L3" s="65"/>
      <c r="M3" s="65"/>
      <c r="BM3" s="66"/>
      <c r="BN3" s="66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>
      <c r="A4" s="67">
        <v>3.0</v>
      </c>
      <c r="B4" s="68" t="s">
        <v>24</v>
      </c>
      <c r="C4" s="69" t="s">
        <v>25</v>
      </c>
      <c r="D4" s="70" t="s">
        <v>26</v>
      </c>
      <c r="E4" s="63"/>
      <c r="F4" s="64"/>
      <c r="G4" s="64"/>
      <c r="H4" s="64"/>
      <c r="I4" s="69" t="s">
        <v>27</v>
      </c>
      <c r="J4" s="71" t="s">
        <v>28</v>
      </c>
      <c r="K4" s="59"/>
      <c r="L4" s="65"/>
      <c r="M4" s="65"/>
      <c r="BM4" s="66"/>
      <c r="BN4" s="66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>
      <c r="A5" s="67">
        <v>4.0</v>
      </c>
      <c r="B5" s="68" t="s">
        <v>29</v>
      </c>
      <c r="C5" s="69" t="s">
        <v>30</v>
      </c>
      <c r="D5" s="70" t="s">
        <v>31</v>
      </c>
      <c r="E5" s="63"/>
      <c r="F5" s="64"/>
      <c r="G5" s="64"/>
      <c r="H5" s="64"/>
      <c r="I5" s="69" t="s">
        <v>32</v>
      </c>
      <c r="J5" s="71" t="s">
        <v>33</v>
      </c>
      <c r="K5" s="59"/>
      <c r="L5" s="65"/>
      <c r="M5" s="65"/>
      <c r="BM5" s="66"/>
      <c r="BN5" s="66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>
      <c r="A6" s="67">
        <v>5.0</v>
      </c>
      <c r="B6" s="68" t="s">
        <v>34</v>
      </c>
      <c r="C6" s="69" t="s">
        <v>35</v>
      </c>
      <c r="D6" s="70" t="s">
        <v>36</v>
      </c>
      <c r="E6" s="63"/>
      <c r="F6" s="64"/>
      <c r="G6" s="64"/>
      <c r="H6" s="64"/>
      <c r="I6" s="69" t="s">
        <v>37</v>
      </c>
      <c r="J6" s="71" t="s">
        <v>38</v>
      </c>
      <c r="K6" s="59"/>
      <c r="L6" s="65"/>
      <c r="M6" s="65"/>
      <c r="BM6" s="66"/>
      <c r="BN6" s="66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>
      <c r="A7" s="67">
        <v>6.0</v>
      </c>
      <c r="B7" s="68" t="s">
        <v>39</v>
      </c>
      <c r="C7" s="69" t="s">
        <v>40</v>
      </c>
      <c r="D7" s="70" t="s">
        <v>41</v>
      </c>
      <c r="E7" s="63"/>
      <c r="F7" s="64"/>
      <c r="G7" s="64"/>
      <c r="H7" s="64"/>
      <c r="I7" s="69" t="s">
        <v>42</v>
      </c>
      <c r="J7" s="71" t="s">
        <v>43</v>
      </c>
      <c r="K7" s="59"/>
      <c r="L7" s="65"/>
      <c r="M7" s="65"/>
      <c r="BM7" s="66"/>
      <c r="BN7" s="66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>
      <c r="A8" s="67">
        <v>7.0</v>
      </c>
      <c r="B8" s="68" t="s">
        <v>44</v>
      </c>
      <c r="C8" s="69" t="s">
        <v>45</v>
      </c>
      <c r="D8" s="70" t="s">
        <v>46</v>
      </c>
      <c r="E8" s="63"/>
      <c r="F8" s="64"/>
      <c r="G8" s="64"/>
      <c r="H8" s="64"/>
      <c r="I8" s="69" t="s">
        <v>47</v>
      </c>
      <c r="J8" s="71" t="s">
        <v>48</v>
      </c>
      <c r="K8" s="59"/>
      <c r="L8" s="65"/>
      <c r="M8" s="65"/>
      <c r="BM8" s="66"/>
      <c r="BN8" s="66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>
      <c r="A9" s="67">
        <v>8.0</v>
      </c>
      <c r="B9" s="68" t="s">
        <v>49</v>
      </c>
      <c r="C9" s="69" t="s">
        <v>50</v>
      </c>
      <c r="D9" s="70" t="s">
        <v>51</v>
      </c>
      <c r="E9" s="63"/>
      <c r="F9" s="64"/>
      <c r="G9" s="64"/>
      <c r="H9" s="64"/>
      <c r="I9" s="69" t="s">
        <v>52</v>
      </c>
      <c r="J9" s="71" t="s">
        <v>53</v>
      </c>
      <c r="K9" s="59"/>
      <c r="L9" s="65"/>
      <c r="M9" s="65"/>
      <c r="BM9" s="66"/>
      <c r="BN9" s="66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  <row r="10">
      <c r="A10" s="67">
        <v>9.0</v>
      </c>
      <c r="B10" s="68" t="s">
        <v>54</v>
      </c>
      <c r="C10" s="69" t="s">
        <v>55</v>
      </c>
      <c r="D10" s="70" t="s">
        <v>56</v>
      </c>
      <c r="E10" s="72"/>
      <c r="F10" s="73"/>
      <c r="G10" s="73"/>
      <c r="H10" s="74"/>
      <c r="I10" s="69" t="s">
        <v>57</v>
      </c>
      <c r="J10" s="71" t="s">
        <v>58</v>
      </c>
      <c r="K10" s="59"/>
      <c r="L10" s="65"/>
      <c r="M10" s="65"/>
      <c r="BM10" s="66"/>
      <c r="BN10" s="66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</row>
    <row r="11">
      <c r="A11" s="67">
        <v>10.0</v>
      </c>
      <c r="B11" s="68" t="s">
        <v>59</v>
      </c>
      <c r="C11" s="71" t="s">
        <v>60</v>
      </c>
      <c r="D11" s="71" t="s">
        <v>61</v>
      </c>
      <c r="E11" s="66"/>
      <c r="F11" s="66"/>
      <c r="G11" s="66"/>
      <c r="H11" s="66"/>
      <c r="I11" s="71" t="s">
        <v>62</v>
      </c>
      <c r="J11" s="71" t="s">
        <v>63</v>
      </c>
      <c r="K11" s="66"/>
      <c r="L11" s="65"/>
      <c r="M11" s="65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</row>
    <row r="12" ht="8.25" customHeight="1">
      <c r="A12" s="59"/>
      <c r="B12" s="66"/>
      <c r="C12" s="66"/>
      <c r="D12" s="75"/>
      <c r="E12" s="66"/>
      <c r="F12" s="66"/>
      <c r="G12" s="66"/>
      <c r="H12" s="66"/>
      <c r="I12" s="66"/>
      <c r="J12" s="66"/>
      <c r="K12" s="66"/>
      <c r="L12" s="65"/>
      <c r="M12" s="65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</row>
    <row r="13" ht="20.25" customHeight="1">
      <c r="A13" s="59"/>
      <c r="B13" s="66"/>
      <c r="C13" s="59"/>
      <c r="D13" s="76"/>
      <c r="E13" s="77">
        <f t="shared" ref="E13:G13" si="1">SUM(E18:E518)</f>
        <v>269683</v>
      </c>
      <c r="F13" s="77">
        <f t="shared" si="1"/>
        <v>139394</v>
      </c>
      <c r="G13" s="77">
        <f t="shared" si="1"/>
        <v>130289</v>
      </c>
      <c r="H13" s="78">
        <f>if(E13=0,0,(E13-F13)/E13)</f>
        <v>0.4831190694</v>
      </c>
      <c r="I13" s="59"/>
      <c r="J13" s="59"/>
      <c r="K13" s="59"/>
      <c r="L13" s="65"/>
      <c r="M13" s="65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</row>
    <row r="14" ht="20.25" customHeight="1">
      <c r="A14" s="59"/>
      <c r="B14" s="66"/>
      <c r="C14" s="59"/>
      <c r="D14" s="79"/>
      <c r="E14" s="80">
        <f>countif(E18:E508,"&gt;=1")</f>
        <v>140</v>
      </c>
      <c r="F14" s="59"/>
      <c r="G14" s="59"/>
      <c r="H14" s="59"/>
      <c r="I14" s="59"/>
      <c r="J14" s="59"/>
      <c r="K14" s="59"/>
      <c r="L14" s="65"/>
      <c r="M14" s="65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</row>
    <row r="15">
      <c r="A15" s="59"/>
      <c r="B15" s="81"/>
      <c r="C15" s="82"/>
      <c r="D15" s="83"/>
      <c r="E15" s="84"/>
      <c r="F15" s="85"/>
      <c r="G15" s="85"/>
      <c r="H15" s="85"/>
      <c r="I15" s="85"/>
      <c r="J15" s="85"/>
      <c r="K15" s="59"/>
      <c r="L15" s="65"/>
      <c r="M15" s="65"/>
      <c r="BM15" s="86"/>
      <c r="BN15" s="86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</row>
    <row r="16">
      <c r="A16" s="59"/>
      <c r="B16" s="88" t="s">
        <v>64</v>
      </c>
      <c r="C16" s="88" t="s">
        <v>65</v>
      </c>
      <c r="D16" s="89" t="s">
        <v>66</v>
      </c>
      <c r="E16" s="90" t="s">
        <v>67</v>
      </c>
      <c r="F16" s="91" t="s">
        <v>68</v>
      </c>
      <c r="G16" s="92" t="s">
        <v>69</v>
      </c>
      <c r="H16" s="92" t="s">
        <v>70</v>
      </c>
      <c r="I16" s="91" t="s">
        <v>12</v>
      </c>
      <c r="J16" s="91" t="s">
        <v>13</v>
      </c>
      <c r="K16" s="59"/>
      <c r="L16" s="65"/>
      <c r="M16" s="65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</row>
    <row r="17" ht="11.25" customHeight="1">
      <c r="A17" s="59"/>
      <c r="B17" s="66"/>
      <c r="C17" s="66"/>
      <c r="D17" s="75"/>
      <c r="E17" s="66"/>
      <c r="F17" s="59"/>
      <c r="G17" s="59"/>
      <c r="H17" s="59"/>
      <c r="I17" s="59"/>
      <c r="J17" s="59"/>
      <c r="K17" s="59"/>
      <c r="L17" s="65"/>
      <c r="M17" s="65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66"/>
      <c r="AN17" s="66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</row>
    <row r="18">
      <c r="A18" s="59"/>
      <c r="B18" s="93" t="s">
        <v>14</v>
      </c>
      <c r="C18" s="69" t="s">
        <v>15</v>
      </c>
      <c r="D18" s="70" t="s">
        <v>16</v>
      </c>
      <c r="E18" s="94">
        <v>15250.0</v>
      </c>
      <c r="F18" s="95">
        <v>6850.0</v>
      </c>
      <c r="G18" s="96">
        <f t="shared" ref="G18:G517" si="2">E18-F18</f>
        <v>8400</v>
      </c>
      <c r="H18" s="97">
        <f t="shared" ref="H18:H517" si="3">if(E18=0,0,(E18-F18)/E18)</f>
        <v>0.5508196721</v>
      </c>
      <c r="I18" s="98" t="s">
        <v>17</v>
      </c>
      <c r="J18" s="71" t="s">
        <v>18</v>
      </c>
      <c r="K18" s="59"/>
      <c r="L18" s="65"/>
      <c r="M18" s="65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66"/>
      <c r="AN18" s="66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</row>
    <row r="19">
      <c r="A19" s="59"/>
      <c r="B19" s="93" t="s">
        <v>14</v>
      </c>
      <c r="C19" s="69" t="s">
        <v>20</v>
      </c>
      <c r="D19" s="70" t="s">
        <v>21</v>
      </c>
      <c r="E19" s="99">
        <v>8750.0</v>
      </c>
      <c r="F19" s="95">
        <v>5478.0</v>
      </c>
      <c r="G19" s="96">
        <f t="shared" si="2"/>
        <v>3272</v>
      </c>
      <c r="H19" s="97">
        <f t="shared" si="3"/>
        <v>0.3739428571</v>
      </c>
      <c r="I19" s="98" t="s">
        <v>17</v>
      </c>
      <c r="J19" s="71" t="s">
        <v>23</v>
      </c>
      <c r="K19" s="59"/>
      <c r="L19" s="65"/>
      <c r="M19" s="65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66"/>
      <c r="AN19" s="66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</row>
    <row r="20">
      <c r="A20" s="59"/>
      <c r="B20" s="93" t="s">
        <v>14</v>
      </c>
      <c r="C20" s="69" t="s">
        <v>25</v>
      </c>
      <c r="D20" s="70" t="s">
        <v>26</v>
      </c>
      <c r="E20" s="99">
        <v>7800.0</v>
      </c>
      <c r="F20" s="95">
        <v>4589.0</v>
      </c>
      <c r="G20" s="96">
        <f t="shared" si="2"/>
        <v>3211</v>
      </c>
      <c r="H20" s="97">
        <f t="shared" si="3"/>
        <v>0.4116666667</v>
      </c>
      <c r="I20" s="98" t="s">
        <v>17</v>
      </c>
      <c r="J20" s="71" t="s">
        <v>28</v>
      </c>
      <c r="K20" s="59"/>
      <c r="L20" s="65"/>
      <c r="M20" s="65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66"/>
      <c r="AN20" s="66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</row>
    <row r="21">
      <c r="A21" s="59"/>
      <c r="B21" s="93" t="s">
        <v>14</v>
      </c>
      <c r="C21" s="69" t="s">
        <v>30</v>
      </c>
      <c r="D21" s="70" t="s">
        <v>31</v>
      </c>
      <c r="E21" s="99">
        <v>6500.0</v>
      </c>
      <c r="F21" s="95">
        <v>3698.0</v>
      </c>
      <c r="G21" s="96">
        <f t="shared" si="2"/>
        <v>2802</v>
      </c>
      <c r="H21" s="97">
        <f t="shared" si="3"/>
        <v>0.4310769231</v>
      </c>
      <c r="I21" s="98" t="s">
        <v>17</v>
      </c>
      <c r="J21" s="71" t="s">
        <v>33</v>
      </c>
      <c r="K21" s="59"/>
      <c r="L21" s="65"/>
      <c r="M21" s="65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66"/>
      <c r="AN21" s="66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</row>
    <row r="22">
      <c r="A22" s="59"/>
      <c r="B22" s="93" t="s">
        <v>14</v>
      </c>
      <c r="C22" s="69" t="s">
        <v>35</v>
      </c>
      <c r="D22" s="70" t="s">
        <v>36</v>
      </c>
      <c r="E22" s="99">
        <v>5800.0</v>
      </c>
      <c r="F22" s="95">
        <v>4123.0</v>
      </c>
      <c r="G22" s="96">
        <f t="shared" si="2"/>
        <v>1677</v>
      </c>
      <c r="H22" s="97">
        <f t="shared" si="3"/>
        <v>0.289137931</v>
      </c>
      <c r="I22" s="98" t="s">
        <v>17</v>
      </c>
      <c r="J22" s="71" t="s">
        <v>38</v>
      </c>
      <c r="K22" s="59"/>
      <c r="L22" s="65"/>
      <c r="M22" s="65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66"/>
      <c r="AN22" s="66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</row>
    <row r="23">
      <c r="A23" s="59"/>
      <c r="B23" s="93" t="s">
        <v>14</v>
      </c>
      <c r="C23" s="69" t="s">
        <v>40</v>
      </c>
      <c r="D23" s="70" t="s">
        <v>41</v>
      </c>
      <c r="E23" s="99">
        <v>5800.0</v>
      </c>
      <c r="F23" s="95">
        <v>3056.0</v>
      </c>
      <c r="G23" s="96">
        <f t="shared" si="2"/>
        <v>2744</v>
      </c>
      <c r="H23" s="97">
        <f t="shared" si="3"/>
        <v>0.4731034483</v>
      </c>
      <c r="I23" s="98" t="s">
        <v>17</v>
      </c>
      <c r="J23" s="71" t="s">
        <v>43</v>
      </c>
      <c r="K23" s="59"/>
      <c r="L23" s="65"/>
      <c r="M23" s="65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66"/>
      <c r="AN23" s="66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</row>
    <row r="24">
      <c r="A24" s="59"/>
      <c r="B24" s="93" t="s">
        <v>14</v>
      </c>
      <c r="C24" s="69" t="s">
        <v>45</v>
      </c>
      <c r="D24" s="70" t="s">
        <v>46</v>
      </c>
      <c r="E24" s="99">
        <v>4800.0</v>
      </c>
      <c r="F24" s="95">
        <v>2589.0</v>
      </c>
      <c r="G24" s="96">
        <f t="shared" si="2"/>
        <v>2211</v>
      </c>
      <c r="H24" s="97">
        <f t="shared" si="3"/>
        <v>0.460625</v>
      </c>
      <c r="I24" s="98" t="s">
        <v>17</v>
      </c>
      <c r="J24" s="71" t="s">
        <v>48</v>
      </c>
      <c r="K24" s="59"/>
      <c r="L24" s="65"/>
      <c r="M24" s="65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66"/>
      <c r="AN24" s="66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</row>
    <row r="25">
      <c r="A25" s="59"/>
      <c r="B25" s="93" t="s">
        <v>14</v>
      </c>
      <c r="C25" s="69" t="s">
        <v>50</v>
      </c>
      <c r="D25" s="70" t="s">
        <v>51</v>
      </c>
      <c r="E25" s="99">
        <v>4800.0</v>
      </c>
      <c r="F25" s="95">
        <v>2547.0</v>
      </c>
      <c r="G25" s="96">
        <f t="shared" si="2"/>
        <v>2253</v>
      </c>
      <c r="H25" s="97">
        <f t="shared" si="3"/>
        <v>0.469375</v>
      </c>
      <c r="I25" s="98" t="s">
        <v>17</v>
      </c>
      <c r="J25" s="71" t="s">
        <v>53</v>
      </c>
      <c r="K25" s="59"/>
      <c r="L25" s="65"/>
      <c r="M25" s="65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66"/>
      <c r="AN25" s="66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</row>
    <row r="26">
      <c r="A26" s="59"/>
      <c r="B26" s="93" t="s">
        <v>19</v>
      </c>
      <c r="C26" s="69" t="s">
        <v>55</v>
      </c>
      <c r="D26" s="70" t="s">
        <v>56</v>
      </c>
      <c r="E26" s="99">
        <v>4800.0</v>
      </c>
      <c r="F26" s="95">
        <v>2365.0</v>
      </c>
      <c r="G26" s="96">
        <f t="shared" si="2"/>
        <v>2435</v>
      </c>
      <c r="H26" s="97">
        <f t="shared" si="3"/>
        <v>0.5072916667</v>
      </c>
      <c r="I26" s="98" t="s">
        <v>22</v>
      </c>
      <c r="J26" s="71" t="s">
        <v>58</v>
      </c>
      <c r="K26" s="59"/>
      <c r="L26" s="65"/>
      <c r="M26" s="65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66"/>
      <c r="AN26" s="66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</row>
    <row r="27">
      <c r="A27" s="59"/>
      <c r="B27" s="93" t="s">
        <v>19</v>
      </c>
      <c r="C27" s="71" t="s">
        <v>60</v>
      </c>
      <c r="D27" s="71" t="s">
        <v>61</v>
      </c>
      <c r="E27" s="99">
        <v>4800.0</v>
      </c>
      <c r="F27" s="95">
        <v>3145.0</v>
      </c>
      <c r="G27" s="96">
        <f t="shared" si="2"/>
        <v>1655</v>
      </c>
      <c r="H27" s="97">
        <f t="shared" si="3"/>
        <v>0.3447916667</v>
      </c>
      <c r="I27" s="98" t="s">
        <v>22</v>
      </c>
      <c r="J27" s="71" t="s">
        <v>63</v>
      </c>
      <c r="K27" s="59"/>
      <c r="L27" s="65"/>
      <c r="M27" s="65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66"/>
      <c r="AN27" s="66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</row>
    <row r="28">
      <c r="A28" s="59"/>
      <c r="B28" s="93" t="s">
        <v>19</v>
      </c>
      <c r="C28" s="69" t="s">
        <v>15</v>
      </c>
      <c r="D28" s="71" t="s">
        <v>61</v>
      </c>
      <c r="E28" s="99">
        <v>4800.0</v>
      </c>
      <c r="F28" s="95">
        <v>2541.0</v>
      </c>
      <c r="G28" s="96">
        <f t="shared" si="2"/>
        <v>2259</v>
      </c>
      <c r="H28" s="97">
        <f t="shared" si="3"/>
        <v>0.470625</v>
      </c>
      <c r="I28" s="98" t="s">
        <v>22</v>
      </c>
      <c r="J28" s="71" t="s">
        <v>18</v>
      </c>
      <c r="K28" s="59"/>
      <c r="L28" s="65"/>
      <c r="M28" s="65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66"/>
      <c r="AN28" s="66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</row>
    <row r="29" ht="15.75" customHeight="1">
      <c r="A29" s="59"/>
      <c r="B29" s="93" t="s">
        <v>19</v>
      </c>
      <c r="C29" s="69" t="s">
        <v>20</v>
      </c>
      <c r="D29" s="71" t="s">
        <v>61</v>
      </c>
      <c r="E29" s="99">
        <v>3750.0</v>
      </c>
      <c r="F29" s="95">
        <v>2589.0</v>
      </c>
      <c r="G29" s="96">
        <f t="shared" si="2"/>
        <v>1161</v>
      </c>
      <c r="H29" s="97">
        <f t="shared" si="3"/>
        <v>0.3096</v>
      </c>
      <c r="I29" s="98" t="s">
        <v>22</v>
      </c>
      <c r="J29" s="71" t="s">
        <v>23</v>
      </c>
      <c r="K29" s="59"/>
      <c r="L29" s="65"/>
      <c r="M29" s="65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66"/>
      <c r="AN29" s="66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</row>
    <row r="30" ht="15.75" customHeight="1">
      <c r="A30" s="59"/>
      <c r="B30" s="93" t="s">
        <v>19</v>
      </c>
      <c r="C30" s="69" t="s">
        <v>25</v>
      </c>
      <c r="D30" s="100" t="s">
        <v>21</v>
      </c>
      <c r="E30" s="99">
        <v>3750.0</v>
      </c>
      <c r="F30" s="95">
        <v>2587.0</v>
      </c>
      <c r="G30" s="96">
        <f t="shared" si="2"/>
        <v>1163</v>
      </c>
      <c r="H30" s="97">
        <f t="shared" si="3"/>
        <v>0.3101333333</v>
      </c>
      <c r="I30" s="98" t="s">
        <v>22</v>
      </c>
      <c r="J30" s="71" t="s">
        <v>28</v>
      </c>
      <c r="K30" s="59"/>
      <c r="L30" s="65"/>
      <c r="M30" s="65"/>
      <c r="N30" s="101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66"/>
      <c r="AN30" s="66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</row>
    <row r="31" ht="15.75" customHeight="1">
      <c r="A31" s="59"/>
      <c r="B31" s="93" t="s">
        <v>24</v>
      </c>
      <c r="C31" s="69" t="s">
        <v>30</v>
      </c>
      <c r="D31" s="100" t="s">
        <v>21</v>
      </c>
      <c r="E31" s="99">
        <v>3750.0</v>
      </c>
      <c r="F31" s="95">
        <v>2145.0</v>
      </c>
      <c r="G31" s="96">
        <f t="shared" si="2"/>
        <v>1605</v>
      </c>
      <c r="H31" s="97">
        <f t="shared" si="3"/>
        <v>0.428</v>
      </c>
      <c r="I31" s="98" t="s">
        <v>22</v>
      </c>
      <c r="J31" s="71" t="s">
        <v>33</v>
      </c>
      <c r="K31" s="59"/>
      <c r="L31" s="65"/>
      <c r="M31" s="65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66"/>
      <c r="AN31" s="66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</row>
    <row r="32" ht="15.75" customHeight="1">
      <c r="A32" s="59"/>
      <c r="B32" s="93" t="s">
        <v>24</v>
      </c>
      <c r="C32" s="69" t="s">
        <v>35</v>
      </c>
      <c r="D32" s="100" t="s">
        <v>21</v>
      </c>
      <c r="E32" s="99">
        <v>3750.0</v>
      </c>
      <c r="F32" s="95">
        <v>2365.0</v>
      </c>
      <c r="G32" s="96">
        <f t="shared" si="2"/>
        <v>1385</v>
      </c>
      <c r="H32" s="97">
        <f t="shared" si="3"/>
        <v>0.3693333333</v>
      </c>
      <c r="I32" s="98" t="s">
        <v>27</v>
      </c>
      <c r="J32" s="71" t="s">
        <v>38</v>
      </c>
      <c r="K32" s="59"/>
      <c r="L32" s="65"/>
      <c r="M32" s="65"/>
      <c r="N32" s="101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66"/>
      <c r="AN32" s="66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</row>
    <row r="33" ht="15.75" customHeight="1">
      <c r="A33" s="59"/>
      <c r="B33" s="93" t="s">
        <v>24</v>
      </c>
      <c r="C33" s="69" t="s">
        <v>40</v>
      </c>
      <c r="D33" s="100" t="s">
        <v>21</v>
      </c>
      <c r="E33" s="99">
        <v>3200.0</v>
      </c>
      <c r="F33" s="95">
        <v>1587.0</v>
      </c>
      <c r="G33" s="96">
        <f t="shared" si="2"/>
        <v>1613</v>
      </c>
      <c r="H33" s="97">
        <f t="shared" si="3"/>
        <v>0.5040625</v>
      </c>
      <c r="I33" s="98" t="s">
        <v>27</v>
      </c>
      <c r="J33" s="71" t="s">
        <v>43</v>
      </c>
      <c r="K33" s="59"/>
      <c r="L33" s="65"/>
      <c r="M33" s="65"/>
      <c r="N33" s="101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66"/>
      <c r="AN33" s="66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</row>
    <row r="34" ht="15.75" customHeight="1">
      <c r="A34" s="59"/>
      <c r="B34" s="93" t="s">
        <v>24</v>
      </c>
      <c r="C34" s="69" t="s">
        <v>45</v>
      </c>
      <c r="D34" s="100" t="s">
        <v>21</v>
      </c>
      <c r="E34" s="99">
        <v>3200.0</v>
      </c>
      <c r="F34" s="95">
        <v>1589.0</v>
      </c>
      <c r="G34" s="96">
        <f t="shared" si="2"/>
        <v>1611</v>
      </c>
      <c r="H34" s="97">
        <f t="shared" si="3"/>
        <v>0.5034375</v>
      </c>
      <c r="I34" s="98" t="s">
        <v>27</v>
      </c>
      <c r="J34" s="71" t="s">
        <v>48</v>
      </c>
      <c r="K34" s="59"/>
      <c r="L34" s="65"/>
      <c r="M34" s="65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66"/>
      <c r="AN34" s="66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</row>
    <row r="35" ht="15.75" customHeight="1">
      <c r="A35" s="59"/>
      <c r="B35" s="93" t="s">
        <v>24</v>
      </c>
      <c r="C35" s="69" t="s">
        <v>50</v>
      </c>
      <c r="D35" s="100" t="s">
        <v>26</v>
      </c>
      <c r="E35" s="99">
        <v>3200.0</v>
      </c>
      <c r="F35" s="95">
        <v>1563.0</v>
      </c>
      <c r="G35" s="96">
        <f t="shared" si="2"/>
        <v>1637</v>
      </c>
      <c r="H35" s="97">
        <f t="shared" si="3"/>
        <v>0.5115625</v>
      </c>
      <c r="I35" s="98" t="s">
        <v>27</v>
      </c>
      <c r="J35" s="71" t="s">
        <v>53</v>
      </c>
      <c r="K35" s="59"/>
      <c r="L35" s="65"/>
      <c r="M35" s="65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6"/>
      <c r="AN35" s="66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</row>
    <row r="36" ht="15.75" customHeight="1">
      <c r="A36" s="59"/>
      <c r="B36" s="93" t="s">
        <v>24</v>
      </c>
      <c r="C36" s="69" t="s">
        <v>55</v>
      </c>
      <c r="D36" s="100" t="s">
        <v>26</v>
      </c>
      <c r="E36" s="99">
        <v>3200.0</v>
      </c>
      <c r="F36" s="95">
        <v>1542.0</v>
      </c>
      <c r="G36" s="96">
        <f t="shared" si="2"/>
        <v>1658</v>
      </c>
      <c r="H36" s="97">
        <f t="shared" si="3"/>
        <v>0.518125</v>
      </c>
      <c r="I36" s="98" t="s">
        <v>27</v>
      </c>
      <c r="J36" s="71" t="s">
        <v>58</v>
      </c>
      <c r="K36" s="59"/>
      <c r="L36" s="65"/>
      <c r="M36" s="65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66"/>
      <c r="AN36" s="66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</row>
    <row r="37" ht="15.75" customHeight="1">
      <c r="A37" s="59"/>
      <c r="B37" s="93" t="s">
        <v>29</v>
      </c>
      <c r="C37" s="71" t="s">
        <v>60</v>
      </c>
      <c r="D37" s="100" t="s">
        <v>26</v>
      </c>
      <c r="E37" s="99">
        <v>3200.0</v>
      </c>
      <c r="F37" s="95">
        <v>2145.0</v>
      </c>
      <c r="G37" s="96">
        <f t="shared" si="2"/>
        <v>1055</v>
      </c>
      <c r="H37" s="97">
        <f t="shared" si="3"/>
        <v>0.3296875</v>
      </c>
      <c r="I37" s="98" t="s">
        <v>27</v>
      </c>
      <c r="J37" s="71" t="s">
        <v>63</v>
      </c>
      <c r="K37" s="59"/>
      <c r="L37" s="65"/>
      <c r="M37" s="65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66"/>
      <c r="AN37" s="66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</row>
    <row r="38" ht="15.75" customHeight="1">
      <c r="A38" s="59"/>
      <c r="B38" s="93" t="s">
        <v>29</v>
      </c>
      <c r="C38" s="69" t="s">
        <v>15</v>
      </c>
      <c r="D38" s="100" t="s">
        <v>26</v>
      </c>
      <c r="E38" s="99">
        <v>3200.0</v>
      </c>
      <c r="F38" s="95">
        <v>1458.0</v>
      </c>
      <c r="G38" s="96">
        <f t="shared" si="2"/>
        <v>1742</v>
      </c>
      <c r="H38" s="97">
        <f t="shared" si="3"/>
        <v>0.544375</v>
      </c>
      <c r="I38" s="98" t="s">
        <v>27</v>
      </c>
      <c r="J38" s="71" t="s">
        <v>18</v>
      </c>
      <c r="K38" s="59"/>
      <c r="L38" s="65"/>
      <c r="M38" s="65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66"/>
      <c r="AN38" s="66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</row>
    <row r="39" ht="15.75" customHeight="1">
      <c r="A39" s="59"/>
      <c r="B39" s="93" t="s">
        <v>29</v>
      </c>
      <c r="C39" s="69" t="s">
        <v>20</v>
      </c>
      <c r="D39" s="100" t="s">
        <v>26</v>
      </c>
      <c r="E39" s="99">
        <v>2850.0</v>
      </c>
      <c r="F39" s="95">
        <v>1056.0</v>
      </c>
      <c r="G39" s="96">
        <f t="shared" si="2"/>
        <v>1794</v>
      </c>
      <c r="H39" s="97">
        <f t="shared" si="3"/>
        <v>0.6294736842</v>
      </c>
      <c r="I39" s="98" t="s">
        <v>32</v>
      </c>
      <c r="J39" s="71" t="s">
        <v>23</v>
      </c>
      <c r="K39" s="59"/>
      <c r="L39" s="65"/>
      <c r="M39" s="65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66"/>
      <c r="AN39" s="66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</row>
    <row r="40" ht="15.75" customHeight="1">
      <c r="A40" s="59"/>
      <c r="B40" s="93" t="s">
        <v>29</v>
      </c>
      <c r="C40" s="69" t="s">
        <v>25</v>
      </c>
      <c r="D40" s="100" t="s">
        <v>26</v>
      </c>
      <c r="E40" s="99">
        <v>2850.0</v>
      </c>
      <c r="F40" s="95">
        <v>1478.0</v>
      </c>
      <c r="G40" s="96">
        <f t="shared" si="2"/>
        <v>1372</v>
      </c>
      <c r="H40" s="97">
        <f t="shared" si="3"/>
        <v>0.4814035088</v>
      </c>
      <c r="I40" s="98" t="s">
        <v>32</v>
      </c>
      <c r="J40" s="71" t="s">
        <v>28</v>
      </c>
      <c r="K40" s="59"/>
      <c r="L40" s="65"/>
      <c r="M40" s="65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66"/>
      <c r="AN40" s="66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</row>
    <row r="41" ht="15.75" customHeight="1">
      <c r="A41" s="59"/>
      <c r="B41" s="93" t="s">
        <v>29</v>
      </c>
      <c r="C41" s="69" t="s">
        <v>30</v>
      </c>
      <c r="D41" s="100" t="s">
        <v>36</v>
      </c>
      <c r="E41" s="99">
        <v>2850.0</v>
      </c>
      <c r="F41" s="95">
        <v>1654.0</v>
      </c>
      <c r="G41" s="96">
        <f t="shared" si="2"/>
        <v>1196</v>
      </c>
      <c r="H41" s="97">
        <f t="shared" si="3"/>
        <v>0.4196491228</v>
      </c>
      <c r="I41" s="98" t="s">
        <v>32</v>
      </c>
      <c r="J41" s="71" t="s">
        <v>33</v>
      </c>
      <c r="K41" s="59"/>
      <c r="L41" s="65"/>
      <c r="M41" s="65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66"/>
      <c r="AN41" s="66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</row>
    <row r="42" ht="15.75" customHeight="1">
      <c r="A42" s="59"/>
      <c r="B42" s="102" t="str">
        <f t="shared" ref="B42:B44" si="4">B41</f>
        <v>Apple</v>
      </c>
      <c r="C42" s="69" t="s">
        <v>35</v>
      </c>
      <c r="D42" s="100" t="s">
        <v>36</v>
      </c>
      <c r="E42" s="99">
        <v>2850.0</v>
      </c>
      <c r="F42" s="95">
        <v>1458.0</v>
      </c>
      <c r="G42" s="96">
        <f t="shared" si="2"/>
        <v>1392</v>
      </c>
      <c r="H42" s="97">
        <f t="shared" si="3"/>
        <v>0.4884210526</v>
      </c>
      <c r="I42" s="98" t="s">
        <v>32</v>
      </c>
      <c r="J42" s="71" t="s">
        <v>38</v>
      </c>
      <c r="K42" s="59"/>
      <c r="L42" s="65"/>
      <c r="M42" s="65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66"/>
      <c r="AN42" s="66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</row>
    <row r="43" ht="15.75" customHeight="1">
      <c r="A43" s="59"/>
      <c r="B43" s="102" t="str">
        <f t="shared" si="4"/>
        <v>Apple</v>
      </c>
      <c r="C43" s="69" t="s">
        <v>40</v>
      </c>
      <c r="D43" s="100" t="s">
        <v>36</v>
      </c>
      <c r="E43" s="99">
        <v>2850.0</v>
      </c>
      <c r="F43" s="95">
        <v>1895.0</v>
      </c>
      <c r="G43" s="96">
        <f t="shared" si="2"/>
        <v>955</v>
      </c>
      <c r="H43" s="97">
        <f t="shared" si="3"/>
        <v>0.3350877193</v>
      </c>
      <c r="I43" s="98" t="s">
        <v>32</v>
      </c>
      <c r="J43" s="71" t="s">
        <v>43</v>
      </c>
      <c r="K43" s="59"/>
      <c r="L43" s="65"/>
      <c r="M43" s="65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66"/>
      <c r="AN43" s="66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</row>
    <row r="44" ht="15.75" customHeight="1">
      <c r="A44" s="59"/>
      <c r="B44" s="102" t="str">
        <f t="shared" si="4"/>
        <v>Apple</v>
      </c>
      <c r="C44" s="69" t="s">
        <v>45</v>
      </c>
      <c r="D44" s="100" t="s">
        <v>36</v>
      </c>
      <c r="E44" s="99">
        <v>2850.0</v>
      </c>
      <c r="F44" s="95">
        <v>987.0</v>
      </c>
      <c r="G44" s="96">
        <f t="shared" si="2"/>
        <v>1863</v>
      </c>
      <c r="H44" s="97">
        <f t="shared" si="3"/>
        <v>0.6536842105</v>
      </c>
      <c r="I44" s="98" t="s">
        <v>32</v>
      </c>
      <c r="J44" s="71" t="s">
        <v>48</v>
      </c>
      <c r="K44" s="59"/>
      <c r="L44" s="65"/>
      <c r="M44" s="65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66"/>
      <c r="AN44" s="66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</row>
    <row r="45" ht="15.75" customHeight="1">
      <c r="A45" s="59"/>
      <c r="B45" s="93" t="s">
        <v>34</v>
      </c>
      <c r="C45" s="69" t="s">
        <v>50</v>
      </c>
      <c r="D45" s="100" t="s">
        <v>36</v>
      </c>
      <c r="E45" s="99">
        <v>2850.0</v>
      </c>
      <c r="F45" s="95">
        <v>1453.0</v>
      </c>
      <c r="G45" s="96">
        <f t="shared" si="2"/>
        <v>1397</v>
      </c>
      <c r="H45" s="97">
        <f t="shared" si="3"/>
        <v>0.4901754386</v>
      </c>
      <c r="I45" s="98" t="s">
        <v>37</v>
      </c>
      <c r="J45" s="71" t="s">
        <v>53</v>
      </c>
      <c r="K45" s="59"/>
      <c r="L45" s="65"/>
      <c r="M45" s="65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66"/>
      <c r="AN45" s="66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</row>
    <row r="46" ht="15.75" customHeight="1">
      <c r="A46" s="59"/>
      <c r="B46" s="102" t="str">
        <f t="shared" ref="B46:B52" si="5">B45</f>
        <v>Honda</v>
      </c>
      <c r="C46" s="69" t="s">
        <v>55</v>
      </c>
      <c r="D46" s="100" t="s">
        <v>46</v>
      </c>
      <c r="E46" s="99">
        <v>2850.0</v>
      </c>
      <c r="F46" s="95">
        <v>985.0</v>
      </c>
      <c r="G46" s="96">
        <f t="shared" si="2"/>
        <v>1865</v>
      </c>
      <c r="H46" s="97">
        <f t="shared" si="3"/>
        <v>0.6543859649</v>
      </c>
      <c r="I46" s="98" t="s">
        <v>37</v>
      </c>
      <c r="J46" s="71" t="s">
        <v>58</v>
      </c>
      <c r="K46" s="59"/>
      <c r="L46" s="65"/>
      <c r="M46" s="65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66"/>
      <c r="AN46" s="66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</row>
    <row r="47" ht="15.75" customHeight="1">
      <c r="A47" s="59"/>
      <c r="B47" s="102" t="str">
        <f t="shared" si="5"/>
        <v>Honda</v>
      </c>
      <c r="C47" s="71" t="s">
        <v>60</v>
      </c>
      <c r="D47" s="100" t="s">
        <v>46</v>
      </c>
      <c r="E47" s="99">
        <v>2850.0</v>
      </c>
      <c r="F47" s="95">
        <v>985.0</v>
      </c>
      <c r="G47" s="96">
        <f t="shared" si="2"/>
        <v>1865</v>
      </c>
      <c r="H47" s="97">
        <f t="shared" si="3"/>
        <v>0.6543859649</v>
      </c>
      <c r="I47" s="98" t="s">
        <v>37</v>
      </c>
      <c r="J47" s="71" t="s">
        <v>63</v>
      </c>
      <c r="K47" s="59"/>
      <c r="L47" s="65"/>
      <c r="M47" s="65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66"/>
      <c r="AN47" s="66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</row>
    <row r="48" ht="15.75" customHeight="1">
      <c r="A48" s="59"/>
      <c r="B48" s="102" t="str">
        <f t="shared" si="5"/>
        <v>Honda</v>
      </c>
      <c r="C48" s="69" t="s">
        <v>15</v>
      </c>
      <c r="D48" s="100" t="s">
        <v>46</v>
      </c>
      <c r="E48" s="99">
        <v>2850.0</v>
      </c>
      <c r="F48" s="95">
        <v>985.0</v>
      </c>
      <c r="G48" s="96">
        <f t="shared" si="2"/>
        <v>1865</v>
      </c>
      <c r="H48" s="97">
        <f t="shared" si="3"/>
        <v>0.6543859649</v>
      </c>
      <c r="I48" s="98" t="s">
        <v>37</v>
      </c>
      <c r="J48" s="71" t="s">
        <v>18</v>
      </c>
      <c r="K48" s="59"/>
      <c r="L48" s="65"/>
      <c r="M48" s="65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66"/>
      <c r="AN48" s="66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</row>
    <row r="49" ht="15.75" customHeight="1">
      <c r="A49" s="59"/>
      <c r="B49" s="102" t="str">
        <f t="shared" si="5"/>
        <v>Honda</v>
      </c>
      <c r="C49" s="69" t="s">
        <v>20</v>
      </c>
      <c r="D49" s="100" t="s">
        <v>46</v>
      </c>
      <c r="E49" s="99">
        <v>2400.0</v>
      </c>
      <c r="F49" s="95">
        <v>985.0</v>
      </c>
      <c r="G49" s="96">
        <f t="shared" si="2"/>
        <v>1415</v>
      </c>
      <c r="H49" s="97">
        <f t="shared" si="3"/>
        <v>0.5895833333</v>
      </c>
      <c r="I49" s="98" t="s">
        <v>37</v>
      </c>
      <c r="J49" s="71" t="s">
        <v>23</v>
      </c>
      <c r="K49" s="59"/>
      <c r="L49" s="65"/>
      <c r="M49" s="6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66"/>
      <c r="AN49" s="66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</row>
    <row r="50" ht="15.75" customHeight="1">
      <c r="A50" s="59"/>
      <c r="B50" s="102" t="str">
        <f t="shared" si="5"/>
        <v>Honda</v>
      </c>
      <c r="C50" s="69" t="s">
        <v>25</v>
      </c>
      <c r="D50" s="100" t="s">
        <v>46</v>
      </c>
      <c r="E50" s="99">
        <v>2400.0</v>
      </c>
      <c r="F50" s="95">
        <v>985.0</v>
      </c>
      <c r="G50" s="96">
        <f t="shared" si="2"/>
        <v>1415</v>
      </c>
      <c r="H50" s="97">
        <f t="shared" si="3"/>
        <v>0.5895833333</v>
      </c>
      <c r="I50" s="98" t="s">
        <v>37</v>
      </c>
      <c r="J50" s="71" t="s">
        <v>28</v>
      </c>
      <c r="K50" s="59"/>
      <c r="L50" s="65"/>
      <c r="M50" s="65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66"/>
      <c r="AN50" s="66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</row>
    <row r="51" ht="15.75" customHeight="1">
      <c r="A51" s="59"/>
      <c r="B51" s="102" t="str">
        <f t="shared" si="5"/>
        <v>Honda</v>
      </c>
      <c r="C51" s="69" t="s">
        <v>30</v>
      </c>
      <c r="D51" s="100" t="s">
        <v>51</v>
      </c>
      <c r="E51" s="99">
        <v>2400.0</v>
      </c>
      <c r="F51" s="95">
        <v>985.0</v>
      </c>
      <c r="G51" s="96">
        <f t="shared" si="2"/>
        <v>1415</v>
      </c>
      <c r="H51" s="97">
        <f t="shared" si="3"/>
        <v>0.5895833333</v>
      </c>
      <c r="I51" s="98" t="s">
        <v>37</v>
      </c>
      <c r="J51" s="71" t="s">
        <v>33</v>
      </c>
      <c r="K51" s="59"/>
      <c r="L51" s="65"/>
      <c r="M51" s="65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66"/>
      <c r="AN51" s="66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</row>
    <row r="52" ht="15.75" customHeight="1">
      <c r="A52" s="59"/>
      <c r="B52" s="102" t="str">
        <f t="shared" si="5"/>
        <v>Honda</v>
      </c>
      <c r="C52" s="69" t="s">
        <v>35</v>
      </c>
      <c r="D52" s="100" t="s">
        <v>51</v>
      </c>
      <c r="E52" s="99">
        <v>2400.0</v>
      </c>
      <c r="F52" s="95">
        <v>1200.0</v>
      </c>
      <c r="G52" s="96">
        <f t="shared" si="2"/>
        <v>1200</v>
      </c>
      <c r="H52" s="97">
        <f t="shared" si="3"/>
        <v>0.5</v>
      </c>
      <c r="I52" s="98" t="s">
        <v>37</v>
      </c>
      <c r="J52" s="71" t="s">
        <v>38</v>
      </c>
      <c r="K52" s="59"/>
      <c r="L52" s="65"/>
      <c r="M52" s="65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66"/>
      <c r="AN52" s="66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</row>
    <row r="53" ht="15.75" customHeight="1">
      <c r="A53" s="59"/>
      <c r="B53" s="93" t="s">
        <v>39</v>
      </c>
      <c r="C53" s="69" t="s">
        <v>40</v>
      </c>
      <c r="D53" s="100" t="s">
        <v>51</v>
      </c>
      <c r="E53" s="99">
        <v>2400.0</v>
      </c>
      <c r="F53" s="95">
        <v>1200.0</v>
      </c>
      <c r="G53" s="96">
        <f t="shared" si="2"/>
        <v>1200</v>
      </c>
      <c r="H53" s="97">
        <f t="shared" si="3"/>
        <v>0.5</v>
      </c>
      <c r="I53" s="98" t="s">
        <v>37</v>
      </c>
      <c r="J53" s="71" t="s">
        <v>43</v>
      </c>
      <c r="K53" s="59"/>
      <c r="L53" s="65"/>
      <c r="M53" s="65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66"/>
      <c r="AN53" s="66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</row>
    <row r="54" ht="15.75" customHeight="1">
      <c r="A54" s="59"/>
      <c r="B54" s="102" t="str">
        <f t="shared" ref="B54:B61" si="6">B53</f>
        <v>Seiko</v>
      </c>
      <c r="C54" s="69" t="s">
        <v>45</v>
      </c>
      <c r="D54" s="100" t="s">
        <v>51</v>
      </c>
      <c r="E54" s="99">
        <v>2400.0</v>
      </c>
      <c r="F54" s="95">
        <v>1200.0</v>
      </c>
      <c r="G54" s="96">
        <f t="shared" si="2"/>
        <v>1200</v>
      </c>
      <c r="H54" s="97">
        <f t="shared" si="3"/>
        <v>0.5</v>
      </c>
      <c r="I54" s="98" t="s">
        <v>37</v>
      </c>
      <c r="J54" s="71" t="s">
        <v>48</v>
      </c>
      <c r="K54" s="59"/>
      <c r="L54" s="65"/>
      <c r="M54" s="65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66"/>
      <c r="AN54" s="66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</row>
    <row r="55" ht="15.75" customHeight="1">
      <c r="A55" s="59"/>
      <c r="B55" s="102" t="str">
        <f t="shared" si="6"/>
        <v>Seiko</v>
      </c>
      <c r="C55" s="69" t="s">
        <v>50</v>
      </c>
      <c r="D55" s="100" t="s">
        <v>51</v>
      </c>
      <c r="E55" s="99">
        <v>2400.0</v>
      </c>
      <c r="F55" s="95">
        <v>1200.0</v>
      </c>
      <c r="G55" s="96">
        <f t="shared" si="2"/>
        <v>1200</v>
      </c>
      <c r="H55" s="97">
        <f t="shared" si="3"/>
        <v>0.5</v>
      </c>
      <c r="I55" s="98" t="s">
        <v>42</v>
      </c>
      <c r="J55" s="71" t="s">
        <v>53</v>
      </c>
      <c r="K55" s="59"/>
      <c r="L55" s="65"/>
      <c r="M55" s="65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66"/>
      <c r="AN55" s="66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</row>
    <row r="56" ht="15.75" customHeight="1">
      <c r="A56" s="59"/>
      <c r="B56" s="102" t="str">
        <f t="shared" si="6"/>
        <v>Seiko</v>
      </c>
      <c r="C56" s="69" t="s">
        <v>55</v>
      </c>
      <c r="D56" s="100" t="s">
        <v>61</v>
      </c>
      <c r="E56" s="99">
        <v>2400.0</v>
      </c>
      <c r="F56" s="95">
        <v>1200.0</v>
      </c>
      <c r="G56" s="96">
        <f t="shared" si="2"/>
        <v>1200</v>
      </c>
      <c r="H56" s="97">
        <f t="shared" si="3"/>
        <v>0.5</v>
      </c>
      <c r="I56" s="98" t="s">
        <v>42</v>
      </c>
      <c r="J56" s="71" t="s">
        <v>58</v>
      </c>
      <c r="K56" s="59"/>
      <c r="L56" s="65"/>
      <c r="M56" s="65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66"/>
      <c r="AN56" s="66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</row>
    <row r="57" ht="15.75" customHeight="1">
      <c r="A57" s="59"/>
      <c r="B57" s="102" t="str">
        <f t="shared" si="6"/>
        <v>Seiko</v>
      </c>
      <c r="C57" s="71" t="s">
        <v>60</v>
      </c>
      <c r="D57" s="100" t="s">
        <v>61</v>
      </c>
      <c r="E57" s="99">
        <v>2400.0</v>
      </c>
      <c r="F57" s="95">
        <v>1200.0</v>
      </c>
      <c r="G57" s="96">
        <f t="shared" si="2"/>
        <v>1200</v>
      </c>
      <c r="H57" s="97">
        <f t="shared" si="3"/>
        <v>0.5</v>
      </c>
      <c r="I57" s="98" t="s">
        <v>42</v>
      </c>
      <c r="J57" s="71" t="s">
        <v>63</v>
      </c>
      <c r="K57" s="59"/>
      <c r="L57" s="65"/>
      <c r="M57" s="65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66"/>
      <c r="AN57" s="66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</row>
    <row r="58" ht="15.75" customHeight="1">
      <c r="A58" s="59"/>
      <c r="B58" s="102" t="str">
        <f t="shared" si="6"/>
        <v>Seiko</v>
      </c>
      <c r="C58" s="69" t="s">
        <v>15</v>
      </c>
      <c r="D58" s="100" t="s">
        <v>61</v>
      </c>
      <c r="E58" s="99">
        <v>2400.0</v>
      </c>
      <c r="F58" s="95">
        <v>1200.0</v>
      </c>
      <c r="G58" s="96">
        <f t="shared" si="2"/>
        <v>1200</v>
      </c>
      <c r="H58" s="97">
        <f t="shared" si="3"/>
        <v>0.5</v>
      </c>
      <c r="I58" s="98" t="s">
        <v>42</v>
      </c>
      <c r="J58" s="71" t="s">
        <v>18</v>
      </c>
      <c r="K58" s="59"/>
      <c r="L58" s="65"/>
      <c r="M58" s="65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66"/>
      <c r="AN58" s="66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</row>
    <row r="59" ht="15.75" customHeight="1">
      <c r="A59" s="59"/>
      <c r="B59" s="102" t="str">
        <f t="shared" si="6"/>
        <v>Seiko</v>
      </c>
      <c r="C59" s="69" t="s">
        <v>20</v>
      </c>
      <c r="D59" s="100" t="s">
        <v>61</v>
      </c>
      <c r="E59" s="99">
        <v>2400.0</v>
      </c>
      <c r="F59" s="95">
        <v>1200.0</v>
      </c>
      <c r="G59" s="96">
        <f t="shared" si="2"/>
        <v>1200</v>
      </c>
      <c r="H59" s="97">
        <f t="shared" si="3"/>
        <v>0.5</v>
      </c>
      <c r="I59" s="98" t="s">
        <v>42</v>
      </c>
      <c r="J59" s="71" t="s">
        <v>23</v>
      </c>
      <c r="K59" s="59"/>
      <c r="L59" s="65"/>
      <c r="M59" s="65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66"/>
      <c r="AN59" s="66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</row>
    <row r="60" ht="15.75" customHeight="1">
      <c r="A60" s="59"/>
      <c r="B60" s="102" t="str">
        <f t="shared" si="6"/>
        <v>Seiko</v>
      </c>
      <c r="C60" s="69" t="s">
        <v>25</v>
      </c>
      <c r="D60" s="100" t="s">
        <v>61</v>
      </c>
      <c r="E60" s="99">
        <v>2400.0</v>
      </c>
      <c r="F60" s="95">
        <v>1200.0</v>
      </c>
      <c r="G60" s="96">
        <f t="shared" si="2"/>
        <v>1200</v>
      </c>
      <c r="H60" s="97">
        <f t="shared" si="3"/>
        <v>0.5</v>
      </c>
      <c r="I60" s="98" t="s">
        <v>42</v>
      </c>
      <c r="J60" s="71" t="s">
        <v>28</v>
      </c>
      <c r="K60" s="59"/>
      <c r="L60" s="65"/>
      <c r="M60" s="65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66"/>
      <c r="AN60" s="66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</row>
    <row r="61" ht="15.75" customHeight="1">
      <c r="A61" s="59"/>
      <c r="B61" s="102" t="str">
        <f t="shared" si="6"/>
        <v>Seiko</v>
      </c>
      <c r="C61" s="69" t="s">
        <v>30</v>
      </c>
      <c r="D61" s="100" t="s">
        <v>61</v>
      </c>
      <c r="E61" s="99">
        <v>2400.0</v>
      </c>
      <c r="F61" s="95">
        <v>1200.0</v>
      </c>
      <c r="G61" s="96">
        <f t="shared" si="2"/>
        <v>1200</v>
      </c>
      <c r="H61" s="97">
        <f t="shared" si="3"/>
        <v>0.5</v>
      </c>
      <c r="I61" s="98" t="s">
        <v>42</v>
      </c>
      <c r="J61" s="71" t="s">
        <v>33</v>
      </c>
      <c r="K61" s="59"/>
      <c r="L61" s="65"/>
      <c r="M61" s="65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66"/>
      <c r="AN61" s="66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</row>
    <row r="62" ht="15.75" customHeight="1">
      <c r="A62" s="59"/>
      <c r="B62" s="93" t="s">
        <v>44</v>
      </c>
      <c r="C62" s="69" t="s">
        <v>35</v>
      </c>
      <c r="D62" s="100" t="s">
        <v>31</v>
      </c>
      <c r="E62" s="99">
        <v>2400.0</v>
      </c>
      <c r="F62" s="95">
        <v>1200.0</v>
      </c>
      <c r="G62" s="96">
        <f t="shared" si="2"/>
        <v>1200</v>
      </c>
      <c r="H62" s="97">
        <f t="shared" si="3"/>
        <v>0.5</v>
      </c>
      <c r="I62" s="98" t="s">
        <v>42</v>
      </c>
      <c r="J62" s="71" t="s">
        <v>38</v>
      </c>
      <c r="K62" s="59"/>
      <c r="L62" s="65"/>
      <c r="M62" s="65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66"/>
      <c r="AN62" s="66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</row>
    <row r="63" ht="15.75" customHeight="1">
      <c r="A63" s="59"/>
      <c r="B63" s="102" t="str">
        <f t="shared" ref="B63:B67" si="7">B62</f>
        <v>Shimano</v>
      </c>
      <c r="C63" s="69" t="s">
        <v>40</v>
      </c>
      <c r="D63" s="100" t="s">
        <v>31</v>
      </c>
      <c r="E63" s="99">
        <v>2400.0</v>
      </c>
      <c r="F63" s="95">
        <v>1200.0</v>
      </c>
      <c r="G63" s="96">
        <f t="shared" si="2"/>
        <v>1200</v>
      </c>
      <c r="H63" s="97">
        <f t="shared" si="3"/>
        <v>0.5</v>
      </c>
      <c r="I63" s="98" t="s">
        <v>42</v>
      </c>
      <c r="J63" s="71" t="s">
        <v>43</v>
      </c>
      <c r="K63" s="59"/>
      <c r="L63" s="65"/>
      <c r="M63" s="65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66"/>
      <c r="AN63" s="66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</row>
    <row r="64" ht="15.75" customHeight="1">
      <c r="A64" s="59"/>
      <c r="B64" s="102" t="str">
        <f t="shared" si="7"/>
        <v>Shimano</v>
      </c>
      <c r="C64" s="69" t="s">
        <v>45</v>
      </c>
      <c r="D64" s="100" t="s">
        <v>31</v>
      </c>
      <c r="E64" s="99">
        <v>2400.0</v>
      </c>
      <c r="F64" s="95">
        <v>1200.0</v>
      </c>
      <c r="G64" s="96">
        <f t="shared" si="2"/>
        <v>1200</v>
      </c>
      <c r="H64" s="97">
        <f t="shared" si="3"/>
        <v>0.5</v>
      </c>
      <c r="I64" s="98" t="s">
        <v>42</v>
      </c>
      <c r="J64" s="71" t="s">
        <v>48</v>
      </c>
      <c r="K64" s="59"/>
      <c r="L64" s="65"/>
      <c r="M64" s="65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66"/>
      <c r="AN64" s="66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</row>
    <row r="65" ht="15.75" customHeight="1">
      <c r="A65" s="59"/>
      <c r="B65" s="102" t="str">
        <f t="shared" si="7"/>
        <v>Shimano</v>
      </c>
      <c r="C65" s="69" t="s">
        <v>50</v>
      </c>
      <c r="D65" s="100" t="s">
        <v>31</v>
      </c>
      <c r="E65" s="99">
        <v>2400.0</v>
      </c>
      <c r="F65" s="95">
        <v>1200.0</v>
      </c>
      <c r="G65" s="96">
        <f t="shared" si="2"/>
        <v>1200</v>
      </c>
      <c r="H65" s="97">
        <f t="shared" si="3"/>
        <v>0.5</v>
      </c>
      <c r="I65" s="98" t="s">
        <v>47</v>
      </c>
      <c r="J65" s="71" t="s">
        <v>53</v>
      </c>
      <c r="K65" s="59"/>
      <c r="L65" s="65"/>
      <c r="M65" s="65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66"/>
      <c r="AN65" s="66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</row>
    <row r="66" ht="15.75" customHeight="1">
      <c r="A66" s="59"/>
      <c r="B66" s="102" t="str">
        <f t="shared" si="7"/>
        <v>Shimano</v>
      </c>
      <c r="C66" s="69" t="s">
        <v>55</v>
      </c>
      <c r="D66" s="100" t="s">
        <v>31</v>
      </c>
      <c r="E66" s="99">
        <v>2400.0</v>
      </c>
      <c r="F66" s="95">
        <v>1200.0</v>
      </c>
      <c r="G66" s="96">
        <f t="shared" si="2"/>
        <v>1200</v>
      </c>
      <c r="H66" s="97">
        <f t="shared" si="3"/>
        <v>0.5</v>
      </c>
      <c r="I66" s="98" t="s">
        <v>47</v>
      </c>
      <c r="J66" s="71" t="s">
        <v>58</v>
      </c>
      <c r="K66" s="59"/>
      <c r="L66" s="65"/>
      <c r="M66" s="65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66"/>
      <c r="AN66" s="66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</row>
    <row r="67" ht="15.75" customHeight="1">
      <c r="A67" s="59"/>
      <c r="B67" s="102" t="str">
        <f t="shared" si="7"/>
        <v>Shimano</v>
      </c>
      <c r="C67" s="71" t="s">
        <v>60</v>
      </c>
      <c r="D67" s="100" t="s">
        <v>31</v>
      </c>
      <c r="E67" s="99">
        <v>1850.0</v>
      </c>
      <c r="F67" s="95">
        <v>987.0</v>
      </c>
      <c r="G67" s="96">
        <f t="shared" si="2"/>
        <v>863</v>
      </c>
      <c r="H67" s="97">
        <f t="shared" si="3"/>
        <v>0.4664864865</v>
      </c>
      <c r="I67" s="98" t="s">
        <v>47</v>
      </c>
      <c r="J67" s="71" t="s">
        <v>63</v>
      </c>
      <c r="K67" s="59"/>
      <c r="L67" s="65"/>
      <c r="M67" s="65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66"/>
      <c r="AN67" s="66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</row>
    <row r="68" ht="15.75" customHeight="1">
      <c r="A68" s="59"/>
      <c r="B68" s="93" t="s">
        <v>49</v>
      </c>
      <c r="C68" s="69" t="s">
        <v>15</v>
      </c>
      <c r="D68" s="100" t="s">
        <v>31</v>
      </c>
      <c r="E68" s="99">
        <v>1850.0</v>
      </c>
      <c r="F68" s="95">
        <v>987.0</v>
      </c>
      <c r="G68" s="96">
        <f t="shared" si="2"/>
        <v>863</v>
      </c>
      <c r="H68" s="97">
        <f t="shared" si="3"/>
        <v>0.4664864865</v>
      </c>
      <c r="I68" s="98" t="s">
        <v>47</v>
      </c>
      <c r="J68" s="71" t="s">
        <v>18</v>
      </c>
      <c r="K68" s="59"/>
      <c r="L68" s="65"/>
      <c r="M68" s="65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66"/>
      <c r="AN68" s="66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</row>
    <row r="69" ht="15.75" customHeight="1">
      <c r="A69" s="59"/>
      <c r="B69" s="102" t="str">
        <f t="shared" ref="B69:B71" si="8">B68</f>
        <v>Samsung</v>
      </c>
      <c r="C69" s="69" t="s">
        <v>20</v>
      </c>
      <c r="D69" s="100" t="s">
        <v>21</v>
      </c>
      <c r="E69" s="99">
        <v>1850.0</v>
      </c>
      <c r="F69" s="95">
        <v>987.0</v>
      </c>
      <c r="G69" s="96">
        <f t="shared" si="2"/>
        <v>863</v>
      </c>
      <c r="H69" s="97">
        <f t="shared" si="3"/>
        <v>0.4664864865</v>
      </c>
      <c r="I69" s="98" t="s">
        <v>47</v>
      </c>
      <c r="J69" s="71" t="s">
        <v>23</v>
      </c>
      <c r="K69" s="59"/>
      <c r="L69" s="65"/>
      <c r="M69" s="65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66"/>
      <c r="AN69" s="66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</row>
    <row r="70" ht="15.75" customHeight="1">
      <c r="A70" s="59"/>
      <c r="B70" s="102" t="str">
        <f t="shared" si="8"/>
        <v>Samsung</v>
      </c>
      <c r="C70" s="69" t="s">
        <v>25</v>
      </c>
      <c r="D70" s="100" t="s">
        <v>21</v>
      </c>
      <c r="E70" s="99">
        <v>1850.0</v>
      </c>
      <c r="F70" s="95">
        <v>987.0</v>
      </c>
      <c r="G70" s="96">
        <f t="shared" si="2"/>
        <v>863</v>
      </c>
      <c r="H70" s="97">
        <f t="shared" si="3"/>
        <v>0.4664864865</v>
      </c>
      <c r="I70" s="98" t="s">
        <v>47</v>
      </c>
      <c r="J70" s="71" t="s">
        <v>28</v>
      </c>
      <c r="K70" s="59"/>
      <c r="L70" s="65"/>
      <c r="M70" s="65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66"/>
      <c r="AN70" s="66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</row>
    <row r="71" ht="15.75" customHeight="1">
      <c r="A71" s="59"/>
      <c r="B71" s="102" t="str">
        <f t="shared" si="8"/>
        <v>Samsung</v>
      </c>
      <c r="C71" s="69" t="s">
        <v>30</v>
      </c>
      <c r="D71" s="100" t="s">
        <v>21</v>
      </c>
      <c r="E71" s="99">
        <v>1850.0</v>
      </c>
      <c r="F71" s="95">
        <v>987.0</v>
      </c>
      <c r="G71" s="96">
        <f t="shared" si="2"/>
        <v>863</v>
      </c>
      <c r="H71" s="97">
        <f t="shared" si="3"/>
        <v>0.4664864865</v>
      </c>
      <c r="I71" s="98" t="s">
        <v>47</v>
      </c>
      <c r="J71" s="71" t="s">
        <v>33</v>
      </c>
      <c r="K71" s="59"/>
      <c r="L71" s="65"/>
      <c r="M71" s="65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66"/>
      <c r="AN71" s="66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</row>
    <row r="72" ht="15.75" customHeight="1">
      <c r="A72" s="59"/>
      <c r="B72" s="93" t="s">
        <v>54</v>
      </c>
      <c r="C72" s="69" t="s">
        <v>35</v>
      </c>
      <c r="D72" s="100" t="s">
        <v>21</v>
      </c>
      <c r="E72" s="99">
        <v>1850.0</v>
      </c>
      <c r="F72" s="95">
        <v>987.0</v>
      </c>
      <c r="G72" s="96">
        <f t="shared" si="2"/>
        <v>863</v>
      </c>
      <c r="H72" s="97">
        <f t="shared" si="3"/>
        <v>0.4664864865</v>
      </c>
      <c r="I72" s="98" t="s">
        <v>52</v>
      </c>
      <c r="J72" s="71" t="s">
        <v>38</v>
      </c>
      <c r="K72" s="59"/>
      <c r="L72" s="65"/>
      <c r="M72" s="65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66"/>
      <c r="AN72" s="66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</row>
    <row r="73" ht="15.75" customHeight="1">
      <c r="A73" s="59"/>
      <c r="B73" s="102" t="str">
        <f t="shared" ref="B73:B85" si="9">B72</f>
        <v>Dulux</v>
      </c>
      <c r="C73" s="69" t="s">
        <v>40</v>
      </c>
      <c r="D73" s="100" t="s">
        <v>21</v>
      </c>
      <c r="E73" s="99">
        <v>1850.0</v>
      </c>
      <c r="F73" s="95">
        <v>987.0</v>
      </c>
      <c r="G73" s="96">
        <f t="shared" si="2"/>
        <v>863</v>
      </c>
      <c r="H73" s="97">
        <f t="shared" si="3"/>
        <v>0.4664864865</v>
      </c>
      <c r="I73" s="98" t="s">
        <v>52</v>
      </c>
      <c r="J73" s="71" t="s">
        <v>43</v>
      </c>
      <c r="K73" s="59"/>
      <c r="L73" s="65"/>
      <c r="M73" s="65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66"/>
      <c r="AN73" s="66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</row>
    <row r="74" ht="15.75" customHeight="1">
      <c r="A74" s="59"/>
      <c r="B74" s="102" t="str">
        <f t="shared" si="9"/>
        <v>Dulux</v>
      </c>
      <c r="C74" s="69" t="s">
        <v>45</v>
      </c>
      <c r="D74" s="100" t="s">
        <v>21</v>
      </c>
      <c r="E74" s="99">
        <v>1850.0</v>
      </c>
      <c r="F74" s="95">
        <v>987.0</v>
      </c>
      <c r="G74" s="96">
        <f t="shared" si="2"/>
        <v>863</v>
      </c>
      <c r="H74" s="97">
        <f t="shared" si="3"/>
        <v>0.4664864865</v>
      </c>
      <c r="I74" s="98" t="s">
        <v>52</v>
      </c>
      <c r="J74" s="71" t="s">
        <v>48</v>
      </c>
      <c r="K74" s="59"/>
      <c r="L74" s="65"/>
      <c r="M74" s="65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66"/>
      <c r="AN74" s="66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</row>
    <row r="75" ht="15.75" customHeight="1">
      <c r="A75" s="59"/>
      <c r="B75" s="102" t="str">
        <f t="shared" si="9"/>
        <v>Dulux</v>
      </c>
      <c r="C75" s="69" t="s">
        <v>50</v>
      </c>
      <c r="D75" s="100" t="s">
        <v>21</v>
      </c>
      <c r="E75" s="99">
        <v>1850.0</v>
      </c>
      <c r="F75" s="95">
        <v>987.0</v>
      </c>
      <c r="G75" s="96">
        <f t="shared" si="2"/>
        <v>863</v>
      </c>
      <c r="H75" s="97">
        <f t="shared" si="3"/>
        <v>0.4664864865</v>
      </c>
      <c r="I75" s="98" t="s">
        <v>52</v>
      </c>
      <c r="J75" s="71" t="s">
        <v>53</v>
      </c>
      <c r="K75" s="59"/>
      <c r="L75" s="65"/>
      <c r="M75" s="65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66"/>
      <c r="AN75" s="66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</row>
    <row r="76" ht="15.75" customHeight="1">
      <c r="A76" s="59"/>
      <c r="B76" s="102" t="str">
        <f t="shared" si="9"/>
        <v>Dulux</v>
      </c>
      <c r="C76" s="69" t="s">
        <v>55</v>
      </c>
      <c r="D76" s="100" t="s">
        <v>16</v>
      </c>
      <c r="E76" s="99">
        <v>1850.0</v>
      </c>
      <c r="F76" s="95">
        <v>987.0</v>
      </c>
      <c r="G76" s="96">
        <f t="shared" si="2"/>
        <v>863</v>
      </c>
      <c r="H76" s="97">
        <f t="shared" si="3"/>
        <v>0.4664864865</v>
      </c>
      <c r="I76" s="98" t="s">
        <v>52</v>
      </c>
      <c r="J76" s="71" t="s">
        <v>58</v>
      </c>
      <c r="K76" s="59"/>
      <c r="L76" s="65"/>
      <c r="M76" s="65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66"/>
      <c r="AN76" s="66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</row>
    <row r="77" ht="15.75" customHeight="1">
      <c r="A77" s="59"/>
      <c r="B77" s="102" t="str">
        <f t="shared" si="9"/>
        <v>Dulux</v>
      </c>
      <c r="C77" s="71" t="s">
        <v>60</v>
      </c>
      <c r="D77" s="100" t="s">
        <v>16</v>
      </c>
      <c r="E77" s="99">
        <v>1850.0</v>
      </c>
      <c r="F77" s="95">
        <v>987.0</v>
      </c>
      <c r="G77" s="96">
        <f t="shared" si="2"/>
        <v>863</v>
      </c>
      <c r="H77" s="97">
        <f t="shared" si="3"/>
        <v>0.4664864865</v>
      </c>
      <c r="I77" s="98" t="s">
        <v>52</v>
      </c>
      <c r="J77" s="71" t="s">
        <v>63</v>
      </c>
      <c r="K77" s="59"/>
      <c r="L77" s="65"/>
      <c r="M77" s="65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66"/>
      <c r="AN77" s="66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</row>
    <row r="78" ht="15.75" customHeight="1">
      <c r="A78" s="59"/>
      <c r="B78" s="102" t="str">
        <f t="shared" si="9"/>
        <v>Dulux</v>
      </c>
      <c r="C78" s="69" t="s">
        <v>15</v>
      </c>
      <c r="D78" s="100" t="s">
        <v>16</v>
      </c>
      <c r="E78" s="99">
        <v>1850.0</v>
      </c>
      <c r="F78" s="95">
        <v>987.0</v>
      </c>
      <c r="G78" s="96">
        <f t="shared" si="2"/>
        <v>863</v>
      </c>
      <c r="H78" s="97">
        <f t="shared" si="3"/>
        <v>0.4664864865</v>
      </c>
      <c r="I78" s="98" t="s">
        <v>52</v>
      </c>
      <c r="J78" s="71" t="s">
        <v>18</v>
      </c>
      <c r="K78" s="59"/>
      <c r="L78" s="65"/>
      <c r="M78" s="65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66"/>
      <c r="AN78" s="66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</row>
    <row r="79" ht="15.75" customHeight="1">
      <c r="A79" s="59"/>
      <c r="B79" s="102" t="str">
        <f t="shared" si="9"/>
        <v>Dulux</v>
      </c>
      <c r="C79" s="69" t="s">
        <v>20</v>
      </c>
      <c r="D79" s="100" t="s">
        <v>16</v>
      </c>
      <c r="E79" s="99">
        <v>1850.0</v>
      </c>
      <c r="F79" s="95">
        <v>987.0</v>
      </c>
      <c r="G79" s="96">
        <f t="shared" si="2"/>
        <v>863</v>
      </c>
      <c r="H79" s="97">
        <f t="shared" si="3"/>
        <v>0.4664864865</v>
      </c>
      <c r="I79" s="98" t="s">
        <v>52</v>
      </c>
      <c r="J79" s="71" t="s">
        <v>23</v>
      </c>
      <c r="K79" s="59"/>
      <c r="L79" s="65"/>
      <c r="M79" s="65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66"/>
      <c r="AN79" s="66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</row>
    <row r="80" ht="15.75" customHeight="1">
      <c r="A80" s="59"/>
      <c r="B80" s="102" t="str">
        <f t="shared" si="9"/>
        <v>Dulux</v>
      </c>
      <c r="C80" s="69" t="s">
        <v>25</v>
      </c>
      <c r="D80" s="100" t="s">
        <v>16</v>
      </c>
      <c r="E80" s="99">
        <v>1850.0</v>
      </c>
      <c r="F80" s="95">
        <v>987.0</v>
      </c>
      <c r="G80" s="96">
        <f t="shared" si="2"/>
        <v>863</v>
      </c>
      <c r="H80" s="97">
        <f t="shared" si="3"/>
        <v>0.4664864865</v>
      </c>
      <c r="I80" s="98" t="s">
        <v>52</v>
      </c>
      <c r="J80" s="71" t="s">
        <v>28</v>
      </c>
      <c r="K80" s="59"/>
      <c r="L80" s="65"/>
      <c r="M80" s="65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66"/>
      <c r="AN80" s="66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</row>
    <row r="81" ht="15.75" customHeight="1">
      <c r="A81" s="59"/>
      <c r="B81" s="102" t="str">
        <f t="shared" si="9"/>
        <v>Dulux</v>
      </c>
      <c r="C81" s="69" t="s">
        <v>30</v>
      </c>
      <c r="D81" s="100" t="s">
        <v>16</v>
      </c>
      <c r="E81" s="99">
        <v>1850.0</v>
      </c>
      <c r="F81" s="95">
        <v>987.0</v>
      </c>
      <c r="G81" s="96">
        <f t="shared" si="2"/>
        <v>863</v>
      </c>
      <c r="H81" s="97">
        <f t="shared" si="3"/>
        <v>0.4664864865</v>
      </c>
      <c r="I81" s="98" t="s">
        <v>52</v>
      </c>
      <c r="J81" s="71" t="s">
        <v>33</v>
      </c>
      <c r="K81" s="59"/>
      <c r="L81" s="65"/>
      <c r="M81" s="65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66"/>
      <c r="AN81" s="66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</row>
    <row r="82" ht="15.75" customHeight="1">
      <c r="A82" s="59"/>
      <c r="B82" s="102" t="str">
        <f t="shared" si="9"/>
        <v>Dulux</v>
      </c>
      <c r="C82" s="69" t="s">
        <v>35</v>
      </c>
      <c r="D82" s="100" t="s">
        <v>16</v>
      </c>
      <c r="E82" s="99">
        <v>1850.0</v>
      </c>
      <c r="F82" s="95">
        <v>987.0</v>
      </c>
      <c r="G82" s="96">
        <f t="shared" si="2"/>
        <v>863</v>
      </c>
      <c r="H82" s="97">
        <f t="shared" si="3"/>
        <v>0.4664864865</v>
      </c>
      <c r="I82" s="98" t="s">
        <v>52</v>
      </c>
      <c r="J82" s="71" t="s">
        <v>38</v>
      </c>
      <c r="K82" s="59"/>
      <c r="L82" s="65"/>
      <c r="M82" s="65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66"/>
      <c r="AN82" s="66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</row>
    <row r="83" ht="15.75" customHeight="1">
      <c r="A83" s="59"/>
      <c r="B83" s="102" t="str">
        <f t="shared" si="9"/>
        <v>Dulux</v>
      </c>
      <c r="C83" s="69" t="s">
        <v>40</v>
      </c>
      <c r="D83" s="100" t="s">
        <v>16</v>
      </c>
      <c r="E83" s="99">
        <v>1700.0</v>
      </c>
      <c r="F83" s="95">
        <v>658.0</v>
      </c>
      <c r="G83" s="96">
        <f t="shared" si="2"/>
        <v>1042</v>
      </c>
      <c r="H83" s="97">
        <f t="shared" si="3"/>
        <v>0.6129411765</v>
      </c>
      <c r="I83" s="98" t="s">
        <v>52</v>
      </c>
      <c r="J83" s="71" t="s">
        <v>43</v>
      </c>
      <c r="K83" s="59"/>
      <c r="L83" s="65"/>
      <c r="M83" s="65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66"/>
      <c r="AN83" s="66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</row>
    <row r="84" ht="15.75" customHeight="1">
      <c r="A84" s="59"/>
      <c r="B84" s="102" t="str">
        <f t="shared" si="9"/>
        <v>Dulux</v>
      </c>
      <c r="C84" s="69" t="s">
        <v>45</v>
      </c>
      <c r="D84" s="100" t="s">
        <v>16</v>
      </c>
      <c r="E84" s="99">
        <v>1700.0</v>
      </c>
      <c r="F84" s="95">
        <v>658.0</v>
      </c>
      <c r="G84" s="96">
        <f t="shared" si="2"/>
        <v>1042</v>
      </c>
      <c r="H84" s="97">
        <f t="shared" si="3"/>
        <v>0.6129411765</v>
      </c>
      <c r="I84" s="98" t="s">
        <v>52</v>
      </c>
      <c r="J84" s="71" t="s">
        <v>48</v>
      </c>
      <c r="K84" s="59"/>
      <c r="L84" s="65"/>
      <c r="M84" s="65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66"/>
      <c r="AN84" s="66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</row>
    <row r="85" ht="15.75" customHeight="1">
      <c r="A85" s="59"/>
      <c r="B85" s="102" t="str">
        <f t="shared" si="9"/>
        <v>Dulux</v>
      </c>
      <c r="C85" s="69" t="s">
        <v>50</v>
      </c>
      <c r="D85" s="100" t="s">
        <v>26</v>
      </c>
      <c r="E85" s="99">
        <v>1700.0</v>
      </c>
      <c r="F85" s="95">
        <v>658.0</v>
      </c>
      <c r="G85" s="96">
        <f t="shared" si="2"/>
        <v>1042</v>
      </c>
      <c r="H85" s="97">
        <f t="shared" si="3"/>
        <v>0.6129411765</v>
      </c>
      <c r="I85" s="98" t="s">
        <v>52</v>
      </c>
      <c r="J85" s="71" t="s">
        <v>53</v>
      </c>
      <c r="K85" s="59"/>
      <c r="L85" s="65"/>
      <c r="M85" s="65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66"/>
      <c r="AN85" s="66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</row>
    <row r="86" ht="15.75" customHeight="1">
      <c r="A86" s="59"/>
      <c r="B86" s="93" t="s">
        <v>59</v>
      </c>
      <c r="C86" s="69" t="s">
        <v>55</v>
      </c>
      <c r="D86" s="100" t="s">
        <v>26</v>
      </c>
      <c r="E86" s="99">
        <v>1700.0</v>
      </c>
      <c r="F86" s="95">
        <v>658.0</v>
      </c>
      <c r="G86" s="96">
        <f t="shared" si="2"/>
        <v>1042</v>
      </c>
      <c r="H86" s="97">
        <f t="shared" si="3"/>
        <v>0.6129411765</v>
      </c>
      <c r="I86" s="98" t="s">
        <v>52</v>
      </c>
      <c r="J86" s="71" t="s">
        <v>58</v>
      </c>
      <c r="K86" s="59"/>
      <c r="L86" s="65"/>
      <c r="M86" s="65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66"/>
      <c r="AN86" s="66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</row>
    <row r="87" ht="15.75" customHeight="1">
      <c r="A87" s="59"/>
      <c r="B87" s="102" t="str">
        <f t="shared" ref="B87:B157" si="10">B86</f>
        <v>Toyota</v>
      </c>
      <c r="C87" s="71" t="s">
        <v>60</v>
      </c>
      <c r="D87" s="100" t="s">
        <v>26</v>
      </c>
      <c r="E87" s="99">
        <v>1700.0</v>
      </c>
      <c r="F87" s="95">
        <v>658.0</v>
      </c>
      <c r="G87" s="96">
        <f t="shared" si="2"/>
        <v>1042</v>
      </c>
      <c r="H87" s="97">
        <f t="shared" si="3"/>
        <v>0.6129411765</v>
      </c>
      <c r="I87" s="98" t="s">
        <v>52</v>
      </c>
      <c r="J87" s="71" t="s">
        <v>63</v>
      </c>
      <c r="K87" s="59"/>
      <c r="L87" s="65"/>
      <c r="M87" s="65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66"/>
      <c r="AN87" s="66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</row>
    <row r="88" ht="15.75" customHeight="1">
      <c r="A88" s="59"/>
      <c r="B88" s="102" t="str">
        <f t="shared" si="10"/>
        <v>Toyota</v>
      </c>
      <c r="C88" s="69" t="s">
        <v>15</v>
      </c>
      <c r="D88" s="100" t="s">
        <v>26</v>
      </c>
      <c r="E88" s="99">
        <v>1700.0</v>
      </c>
      <c r="F88" s="95">
        <v>658.0</v>
      </c>
      <c r="G88" s="96">
        <f t="shared" si="2"/>
        <v>1042</v>
      </c>
      <c r="H88" s="97">
        <f t="shared" si="3"/>
        <v>0.6129411765</v>
      </c>
      <c r="I88" s="98" t="s">
        <v>52</v>
      </c>
      <c r="J88" s="71" t="s">
        <v>18</v>
      </c>
      <c r="K88" s="59"/>
      <c r="L88" s="65"/>
      <c r="M88" s="65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66"/>
      <c r="AN88" s="66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</row>
    <row r="89" ht="15.75" customHeight="1">
      <c r="A89" s="59"/>
      <c r="B89" s="102" t="str">
        <f t="shared" si="10"/>
        <v>Toyota</v>
      </c>
      <c r="C89" s="69" t="s">
        <v>20</v>
      </c>
      <c r="D89" s="100" t="s">
        <v>26</v>
      </c>
      <c r="E89" s="99">
        <v>1350.0</v>
      </c>
      <c r="F89" s="95">
        <v>658.0</v>
      </c>
      <c r="G89" s="96">
        <f t="shared" si="2"/>
        <v>692</v>
      </c>
      <c r="H89" s="97">
        <f t="shared" si="3"/>
        <v>0.5125925926</v>
      </c>
      <c r="I89" s="98" t="s">
        <v>57</v>
      </c>
      <c r="J89" s="71" t="s">
        <v>23</v>
      </c>
      <c r="K89" s="59"/>
      <c r="L89" s="65"/>
      <c r="M89" s="65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66"/>
      <c r="AN89" s="66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</row>
    <row r="90" ht="15.75" customHeight="1">
      <c r="A90" s="59"/>
      <c r="B90" s="102" t="str">
        <f t="shared" si="10"/>
        <v>Toyota</v>
      </c>
      <c r="C90" s="69" t="s">
        <v>25</v>
      </c>
      <c r="D90" s="100" t="s">
        <v>26</v>
      </c>
      <c r="E90" s="99">
        <v>1350.0</v>
      </c>
      <c r="F90" s="95">
        <v>658.0</v>
      </c>
      <c r="G90" s="96">
        <f t="shared" si="2"/>
        <v>692</v>
      </c>
      <c r="H90" s="97">
        <f t="shared" si="3"/>
        <v>0.5125925926</v>
      </c>
      <c r="I90" s="98" t="s">
        <v>57</v>
      </c>
      <c r="J90" s="71" t="s">
        <v>28</v>
      </c>
      <c r="K90" s="59"/>
      <c r="L90" s="65"/>
      <c r="M90" s="65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66"/>
      <c r="AN90" s="66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</row>
    <row r="91" ht="15.75" customHeight="1">
      <c r="A91" s="59"/>
      <c r="B91" s="102" t="str">
        <f t="shared" si="10"/>
        <v>Toyota</v>
      </c>
      <c r="C91" s="69" t="s">
        <v>30</v>
      </c>
      <c r="D91" s="100" t="s">
        <v>26</v>
      </c>
      <c r="E91" s="99">
        <v>1350.0</v>
      </c>
      <c r="F91" s="95">
        <v>658.0</v>
      </c>
      <c r="G91" s="96">
        <f t="shared" si="2"/>
        <v>692</v>
      </c>
      <c r="H91" s="97">
        <f t="shared" si="3"/>
        <v>0.5125925926</v>
      </c>
      <c r="I91" s="98" t="s">
        <v>57</v>
      </c>
      <c r="J91" s="71" t="s">
        <v>33</v>
      </c>
      <c r="K91" s="59"/>
      <c r="L91" s="65"/>
      <c r="M91" s="65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66"/>
      <c r="AN91" s="66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</row>
    <row r="92" ht="15.75" customHeight="1">
      <c r="A92" s="59"/>
      <c r="B92" s="102" t="str">
        <f t="shared" si="10"/>
        <v>Toyota</v>
      </c>
      <c r="C92" s="69" t="s">
        <v>35</v>
      </c>
      <c r="D92" s="100" t="s">
        <v>26</v>
      </c>
      <c r="E92" s="99">
        <v>1350.0</v>
      </c>
      <c r="F92" s="95">
        <v>658.0</v>
      </c>
      <c r="G92" s="96">
        <f t="shared" si="2"/>
        <v>692</v>
      </c>
      <c r="H92" s="97">
        <f t="shared" si="3"/>
        <v>0.5125925926</v>
      </c>
      <c r="I92" s="98" t="s">
        <v>57</v>
      </c>
      <c r="J92" s="71" t="s">
        <v>38</v>
      </c>
      <c r="K92" s="59"/>
      <c r="L92" s="65"/>
      <c r="M92" s="65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66"/>
      <c r="AN92" s="66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</row>
    <row r="93" ht="15.75" customHeight="1">
      <c r="A93" s="59"/>
      <c r="B93" s="102" t="str">
        <f t="shared" si="10"/>
        <v>Toyota</v>
      </c>
      <c r="C93" s="69" t="s">
        <v>40</v>
      </c>
      <c r="D93" s="100" t="s">
        <v>26</v>
      </c>
      <c r="E93" s="99">
        <v>1350.0</v>
      </c>
      <c r="F93" s="95">
        <v>658.0</v>
      </c>
      <c r="G93" s="96">
        <f t="shared" si="2"/>
        <v>692</v>
      </c>
      <c r="H93" s="97">
        <f t="shared" si="3"/>
        <v>0.5125925926</v>
      </c>
      <c r="I93" s="98" t="s">
        <v>57</v>
      </c>
      <c r="J93" s="71" t="s">
        <v>43</v>
      </c>
      <c r="K93" s="59"/>
      <c r="L93" s="65"/>
      <c r="M93" s="65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66"/>
      <c r="AN93" s="66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</row>
    <row r="94" ht="15.75" customHeight="1">
      <c r="A94" s="59"/>
      <c r="B94" s="102" t="str">
        <f t="shared" si="10"/>
        <v>Toyota</v>
      </c>
      <c r="C94" s="69" t="s">
        <v>45</v>
      </c>
      <c r="D94" s="100" t="s">
        <v>26</v>
      </c>
      <c r="E94" s="99">
        <v>1350.0</v>
      </c>
      <c r="F94" s="95">
        <v>658.0</v>
      </c>
      <c r="G94" s="96">
        <f t="shared" si="2"/>
        <v>692</v>
      </c>
      <c r="H94" s="97">
        <f t="shared" si="3"/>
        <v>0.5125925926</v>
      </c>
      <c r="I94" s="98" t="s">
        <v>57</v>
      </c>
      <c r="J94" s="71" t="s">
        <v>48</v>
      </c>
      <c r="K94" s="59"/>
      <c r="L94" s="65"/>
      <c r="M94" s="65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66"/>
      <c r="AN94" s="66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</row>
    <row r="95" ht="15.75" customHeight="1">
      <c r="A95" s="59"/>
      <c r="B95" s="102" t="str">
        <f t="shared" si="10"/>
        <v>Toyota</v>
      </c>
      <c r="C95" s="69" t="s">
        <v>50</v>
      </c>
      <c r="D95" s="100" t="s">
        <v>26</v>
      </c>
      <c r="E95" s="99">
        <v>1350.0</v>
      </c>
      <c r="F95" s="95">
        <v>785.0</v>
      </c>
      <c r="G95" s="96">
        <f t="shared" si="2"/>
        <v>565</v>
      </c>
      <c r="H95" s="97">
        <f t="shared" si="3"/>
        <v>0.4185185185</v>
      </c>
      <c r="I95" s="98" t="s">
        <v>57</v>
      </c>
      <c r="J95" s="71" t="s">
        <v>53</v>
      </c>
      <c r="K95" s="59"/>
      <c r="L95" s="65"/>
      <c r="M95" s="65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66"/>
      <c r="AN95" s="66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</row>
    <row r="96" ht="15.75" customHeight="1">
      <c r="A96" s="59"/>
      <c r="B96" s="102" t="str">
        <f t="shared" si="10"/>
        <v>Toyota</v>
      </c>
      <c r="C96" s="69" t="s">
        <v>55</v>
      </c>
      <c r="D96" s="100" t="s">
        <v>26</v>
      </c>
      <c r="E96" s="99">
        <v>1350.0</v>
      </c>
      <c r="F96" s="95">
        <v>785.0</v>
      </c>
      <c r="G96" s="96">
        <f t="shared" si="2"/>
        <v>565</v>
      </c>
      <c r="H96" s="97">
        <f t="shared" si="3"/>
        <v>0.4185185185</v>
      </c>
      <c r="I96" s="98" t="s">
        <v>57</v>
      </c>
      <c r="J96" s="71" t="s">
        <v>58</v>
      </c>
      <c r="K96" s="59"/>
      <c r="L96" s="65"/>
      <c r="M96" s="65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66"/>
      <c r="AN96" s="66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</row>
    <row r="97" ht="15.75" customHeight="1">
      <c r="A97" s="59"/>
      <c r="B97" s="102" t="str">
        <f t="shared" si="10"/>
        <v>Toyota</v>
      </c>
      <c r="C97" s="71" t="s">
        <v>60</v>
      </c>
      <c r="D97" s="100" t="s">
        <v>56</v>
      </c>
      <c r="E97" s="99">
        <v>1350.0</v>
      </c>
      <c r="F97" s="95">
        <v>785.0</v>
      </c>
      <c r="G97" s="96">
        <f t="shared" si="2"/>
        <v>565</v>
      </c>
      <c r="H97" s="97">
        <f t="shared" si="3"/>
        <v>0.4185185185</v>
      </c>
      <c r="I97" s="98" t="s">
        <v>57</v>
      </c>
      <c r="J97" s="71" t="s">
        <v>63</v>
      </c>
      <c r="K97" s="59"/>
      <c r="L97" s="65"/>
      <c r="M97" s="65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66"/>
      <c r="AN97" s="66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</row>
    <row r="98" ht="15.75" customHeight="1">
      <c r="A98" s="59"/>
      <c r="B98" s="102" t="str">
        <f t="shared" si="10"/>
        <v>Toyota</v>
      </c>
      <c r="C98" s="69" t="s">
        <v>15</v>
      </c>
      <c r="D98" s="100" t="s">
        <v>56</v>
      </c>
      <c r="E98" s="99">
        <v>1350.0</v>
      </c>
      <c r="F98" s="95">
        <v>785.0</v>
      </c>
      <c r="G98" s="96">
        <f t="shared" si="2"/>
        <v>565</v>
      </c>
      <c r="H98" s="97">
        <f t="shared" si="3"/>
        <v>0.4185185185</v>
      </c>
      <c r="I98" s="98" t="s">
        <v>57</v>
      </c>
      <c r="J98" s="71" t="s">
        <v>18</v>
      </c>
      <c r="K98" s="59"/>
      <c r="L98" s="65"/>
      <c r="M98" s="65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66"/>
      <c r="AN98" s="66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</row>
    <row r="99" ht="15.75" customHeight="1">
      <c r="A99" s="59"/>
      <c r="B99" s="102" t="str">
        <f t="shared" si="10"/>
        <v>Toyota</v>
      </c>
      <c r="C99" s="69" t="s">
        <v>20</v>
      </c>
      <c r="D99" s="100" t="s">
        <v>56</v>
      </c>
      <c r="E99" s="99">
        <v>1350.0</v>
      </c>
      <c r="F99" s="95">
        <v>785.0</v>
      </c>
      <c r="G99" s="96">
        <f t="shared" si="2"/>
        <v>565</v>
      </c>
      <c r="H99" s="97">
        <f t="shared" si="3"/>
        <v>0.4185185185</v>
      </c>
      <c r="I99" s="98" t="s">
        <v>62</v>
      </c>
      <c r="J99" s="71" t="s">
        <v>23</v>
      </c>
      <c r="K99" s="59"/>
      <c r="L99" s="65"/>
      <c r="M99" s="65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66"/>
      <c r="AN99" s="66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</row>
    <row r="100" ht="15.75" customHeight="1">
      <c r="A100" s="59"/>
      <c r="B100" s="102" t="str">
        <f t="shared" si="10"/>
        <v>Toyota</v>
      </c>
      <c r="C100" s="69" t="s">
        <v>25</v>
      </c>
      <c r="D100" s="100" t="s">
        <v>56</v>
      </c>
      <c r="E100" s="99">
        <v>1350.0</v>
      </c>
      <c r="F100" s="95">
        <v>785.0</v>
      </c>
      <c r="G100" s="96">
        <f t="shared" si="2"/>
        <v>565</v>
      </c>
      <c r="H100" s="97">
        <f t="shared" si="3"/>
        <v>0.4185185185</v>
      </c>
      <c r="I100" s="98" t="s">
        <v>62</v>
      </c>
      <c r="J100" s="71" t="s">
        <v>28</v>
      </c>
      <c r="K100" s="59"/>
      <c r="L100" s="65"/>
      <c r="M100" s="65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66"/>
      <c r="AN100" s="66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</row>
    <row r="101" ht="15.75" customHeight="1">
      <c r="A101" s="59"/>
      <c r="B101" s="102" t="str">
        <f t="shared" si="10"/>
        <v>Toyota</v>
      </c>
      <c r="C101" s="69" t="s">
        <v>30</v>
      </c>
      <c r="D101" s="100" t="s">
        <v>56</v>
      </c>
      <c r="E101" s="99">
        <v>1350.0</v>
      </c>
      <c r="F101" s="95">
        <v>785.0</v>
      </c>
      <c r="G101" s="96">
        <f t="shared" si="2"/>
        <v>565</v>
      </c>
      <c r="H101" s="97">
        <f t="shared" si="3"/>
        <v>0.4185185185</v>
      </c>
      <c r="I101" s="98" t="s">
        <v>62</v>
      </c>
      <c r="J101" s="71" t="s">
        <v>33</v>
      </c>
      <c r="K101" s="59"/>
      <c r="L101" s="65"/>
      <c r="M101" s="65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66"/>
      <c r="AN101" s="66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</row>
    <row r="102" ht="15.75" customHeight="1">
      <c r="A102" s="59"/>
      <c r="B102" s="102" t="str">
        <f t="shared" si="10"/>
        <v>Toyota</v>
      </c>
      <c r="C102" s="69" t="s">
        <v>35</v>
      </c>
      <c r="D102" s="100" t="s">
        <v>56</v>
      </c>
      <c r="E102" s="99">
        <v>980.0</v>
      </c>
      <c r="F102" s="95">
        <v>547.0</v>
      </c>
      <c r="G102" s="96">
        <f t="shared" si="2"/>
        <v>433</v>
      </c>
      <c r="H102" s="97">
        <f t="shared" si="3"/>
        <v>0.4418367347</v>
      </c>
      <c r="I102" s="98" t="s">
        <v>62</v>
      </c>
      <c r="J102" s="71" t="s">
        <v>38</v>
      </c>
      <c r="K102" s="59"/>
      <c r="L102" s="65"/>
      <c r="M102" s="65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66"/>
      <c r="AN102" s="66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</row>
    <row r="103" ht="15.75" customHeight="1">
      <c r="A103" s="59"/>
      <c r="B103" s="102" t="str">
        <f t="shared" si="10"/>
        <v>Toyota</v>
      </c>
      <c r="C103" s="69" t="s">
        <v>40</v>
      </c>
      <c r="D103" s="100" t="s">
        <v>56</v>
      </c>
      <c r="E103" s="99">
        <v>980.0</v>
      </c>
      <c r="F103" s="95">
        <v>547.0</v>
      </c>
      <c r="G103" s="96">
        <f t="shared" si="2"/>
        <v>433</v>
      </c>
      <c r="H103" s="97">
        <f t="shared" si="3"/>
        <v>0.4418367347</v>
      </c>
      <c r="I103" s="98" t="s">
        <v>62</v>
      </c>
      <c r="J103" s="71" t="s">
        <v>43</v>
      </c>
      <c r="K103" s="59"/>
      <c r="L103" s="65"/>
      <c r="M103" s="65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66"/>
      <c r="AN103" s="66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</row>
    <row r="104" ht="15.75" customHeight="1">
      <c r="A104" s="59"/>
      <c r="B104" s="102" t="str">
        <f t="shared" si="10"/>
        <v>Toyota</v>
      </c>
      <c r="C104" s="69" t="s">
        <v>45</v>
      </c>
      <c r="D104" s="100" t="s">
        <v>56</v>
      </c>
      <c r="E104" s="99">
        <v>980.0</v>
      </c>
      <c r="F104" s="95">
        <v>547.0</v>
      </c>
      <c r="G104" s="96">
        <f t="shared" si="2"/>
        <v>433</v>
      </c>
      <c r="H104" s="97">
        <f t="shared" si="3"/>
        <v>0.4418367347</v>
      </c>
      <c r="I104" s="98" t="s">
        <v>62</v>
      </c>
      <c r="J104" s="71" t="s">
        <v>48</v>
      </c>
      <c r="K104" s="59"/>
      <c r="L104" s="65"/>
      <c r="M104" s="65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66"/>
      <c r="AN104" s="66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</row>
    <row r="105" ht="15.75" customHeight="1">
      <c r="A105" s="59"/>
      <c r="B105" s="102" t="str">
        <f t="shared" si="10"/>
        <v>Toyota</v>
      </c>
      <c r="C105" s="69" t="s">
        <v>50</v>
      </c>
      <c r="D105" s="100" t="s">
        <v>56</v>
      </c>
      <c r="E105" s="99">
        <v>980.0</v>
      </c>
      <c r="F105" s="95">
        <v>547.0</v>
      </c>
      <c r="G105" s="96">
        <f t="shared" si="2"/>
        <v>433</v>
      </c>
      <c r="H105" s="97">
        <f t="shared" si="3"/>
        <v>0.4418367347</v>
      </c>
      <c r="I105" s="98" t="s">
        <v>62</v>
      </c>
      <c r="J105" s="71" t="s">
        <v>53</v>
      </c>
      <c r="K105" s="59"/>
      <c r="L105" s="65"/>
      <c r="M105" s="65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66"/>
      <c r="AN105" s="66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</row>
    <row r="106" ht="15.75" customHeight="1">
      <c r="A106" s="59"/>
      <c r="B106" s="102" t="str">
        <f t="shared" si="10"/>
        <v>Toyota</v>
      </c>
      <c r="C106" s="69" t="s">
        <v>55</v>
      </c>
      <c r="D106" s="100" t="s">
        <v>61</v>
      </c>
      <c r="E106" s="99">
        <v>980.0</v>
      </c>
      <c r="F106" s="95">
        <v>547.0</v>
      </c>
      <c r="G106" s="96">
        <f t="shared" si="2"/>
        <v>433</v>
      </c>
      <c r="H106" s="97">
        <f t="shared" si="3"/>
        <v>0.4418367347</v>
      </c>
      <c r="I106" s="98" t="s">
        <v>62</v>
      </c>
      <c r="J106" s="71" t="s">
        <v>58</v>
      </c>
      <c r="K106" s="59"/>
      <c r="L106" s="65"/>
      <c r="M106" s="65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66"/>
      <c r="AN106" s="66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</row>
    <row r="107" ht="15.75" customHeight="1">
      <c r="A107" s="59"/>
      <c r="B107" s="102" t="str">
        <f t="shared" si="10"/>
        <v>Toyota</v>
      </c>
      <c r="C107" s="71" t="s">
        <v>60</v>
      </c>
      <c r="D107" s="100" t="s">
        <v>61</v>
      </c>
      <c r="E107" s="99">
        <v>980.0</v>
      </c>
      <c r="F107" s="95">
        <v>547.0</v>
      </c>
      <c r="G107" s="96">
        <f t="shared" si="2"/>
        <v>433</v>
      </c>
      <c r="H107" s="97">
        <f t="shared" si="3"/>
        <v>0.4418367347</v>
      </c>
      <c r="I107" s="98" t="s">
        <v>62</v>
      </c>
      <c r="J107" s="71" t="s">
        <v>63</v>
      </c>
      <c r="K107" s="59"/>
      <c r="L107" s="65"/>
      <c r="M107" s="65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66"/>
      <c r="AN107" s="66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</row>
    <row r="108" ht="15.75" customHeight="1">
      <c r="A108" s="59"/>
      <c r="B108" s="102" t="str">
        <f t="shared" si="10"/>
        <v>Toyota</v>
      </c>
      <c r="C108" s="69" t="s">
        <v>15</v>
      </c>
      <c r="D108" s="100" t="s">
        <v>61</v>
      </c>
      <c r="E108" s="99">
        <v>980.0</v>
      </c>
      <c r="F108" s="95">
        <v>547.0</v>
      </c>
      <c r="G108" s="96">
        <f t="shared" si="2"/>
        <v>433</v>
      </c>
      <c r="H108" s="97">
        <f t="shared" si="3"/>
        <v>0.4418367347</v>
      </c>
      <c r="I108" s="98" t="s">
        <v>62</v>
      </c>
      <c r="J108" s="71" t="s">
        <v>18</v>
      </c>
      <c r="K108" s="59"/>
      <c r="L108" s="65"/>
      <c r="M108" s="65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66"/>
      <c r="AN108" s="66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</row>
    <row r="109" ht="15.75" customHeight="1">
      <c r="A109" s="59"/>
      <c r="B109" s="102" t="str">
        <f t="shared" si="10"/>
        <v>Toyota</v>
      </c>
      <c r="C109" s="69" t="s">
        <v>20</v>
      </c>
      <c r="D109" s="100" t="s">
        <v>61</v>
      </c>
      <c r="E109" s="99">
        <v>980.0</v>
      </c>
      <c r="F109" s="95">
        <v>547.0</v>
      </c>
      <c r="G109" s="96">
        <f t="shared" si="2"/>
        <v>433</v>
      </c>
      <c r="H109" s="97">
        <f t="shared" si="3"/>
        <v>0.4418367347</v>
      </c>
      <c r="I109" s="98" t="s">
        <v>62</v>
      </c>
      <c r="J109" s="71" t="s">
        <v>23</v>
      </c>
      <c r="K109" s="59"/>
      <c r="L109" s="65"/>
      <c r="M109" s="65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66"/>
      <c r="AN109" s="66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</row>
    <row r="110" ht="15.75" customHeight="1">
      <c r="A110" s="59"/>
      <c r="B110" s="102" t="str">
        <f t="shared" si="10"/>
        <v>Toyota</v>
      </c>
      <c r="C110" s="69" t="s">
        <v>25</v>
      </c>
      <c r="D110" s="100" t="s">
        <v>61</v>
      </c>
      <c r="E110" s="99">
        <v>980.0</v>
      </c>
      <c r="F110" s="95">
        <v>547.0</v>
      </c>
      <c r="G110" s="96">
        <f t="shared" si="2"/>
        <v>433</v>
      </c>
      <c r="H110" s="97">
        <f t="shared" si="3"/>
        <v>0.4418367347</v>
      </c>
      <c r="I110" s="98" t="s">
        <v>62</v>
      </c>
      <c r="J110" s="71" t="s">
        <v>28</v>
      </c>
      <c r="K110" s="59"/>
      <c r="L110" s="65"/>
      <c r="M110" s="65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66"/>
      <c r="AN110" s="66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</row>
    <row r="111" ht="15.75" customHeight="1">
      <c r="A111" s="59"/>
      <c r="B111" s="102" t="str">
        <f t="shared" si="10"/>
        <v>Toyota</v>
      </c>
      <c r="C111" s="69" t="s">
        <v>30</v>
      </c>
      <c r="D111" s="100" t="s">
        <v>61</v>
      </c>
      <c r="E111" s="99">
        <v>980.0</v>
      </c>
      <c r="F111" s="95">
        <v>547.0</v>
      </c>
      <c r="G111" s="96">
        <f t="shared" si="2"/>
        <v>433</v>
      </c>
      <c r="H111" s="97">
        <f t="shared" si="3"/>
        <v>0.4418367347</v>
      </c>
      <c r="I111" s="98" t="s">
        <v>42</v>
      </c>
      <c r="J111" s="71" t="s">
        <v>33</v>
      </c>
      <c r="K111" s="59"/>
      <c r="L111" s="65"/>
      <c r="M111" s="65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66"/>
      <c r="AN111" s="66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</row>
    <row r="112" ht="15.75" customHeight="1">
      <c r="A112" s="59"/>
      <c r="B112" s="102" t="str">
        <f t="shared" si="10"/>
        <v>Toyota</v>
      </c>
      <c r="C112" s="69" t="s">
        <v>35</v>
      </c>
      <c r="D112" s="100" t="s">
        <v>61</v>
      </c>
      <c r="E112" s="99">
        <v>980.0</v>
      </c>
      <c r="F112" s="95">
        <v>547.0</v>
      </c>
      <c r="G112" s="96">
        <f t="shared" si="2"/>
        <v>433</v>
      </c>
      <c r="H112" s="97">
        <f t="shared" si="3"/>
        <v>0.4418367347</v>
      </c>
      <c r="I112" s="98" t="s">
        <v>42</v>
      </c>
      <c r="J112" s="71" t="s">
        <v>38</v>
      </c>
      <c r="K112" s="59"/>
      <c r="L112" s="65"/>
      <c r="M112" s="65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66"/>
      <c r="AN112" s="66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</row>
    <row r="113" ht="15.75" customHeight="1">
      <c r="A113" s="59"/>
      <c r="B113" s="102" t="str">
        <f t="shared" si="10"/>
        <v>Toyota</v>
      </c>
      <c r="C113" s="69" t="s">
        <v>40</v>
      </c>
      <c r="D113" s="100" t="s">
        <v>61</v>
      </c>
      <c r="E113" s="99">
        <v>980.0</v>
      </c>
      <c r="F113" s="95">
        <v>547.0</v>
      </c>
      <c r="G113" s="96">
        <f t="shared" si="2"/>
        <v>433</v>
      </c>
      <c r="H113" s="97">
        <f t="shared" si="3"/>
        <v>0.4418367347</v>
      </c>
      <c r="I113" s="98" t="s">
        <v>42</v>
      </c>
      <c r="J113" s="71" t="s">
        <v>43</v>
      </c>
      <c r="K113" s="59"/>
      <c r="L113" s="65"/>
      <c r="M113" s="65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66"/>
      <c r="AN113" s="66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</row>
    <row r="114" ht="15.75" customHeight="1">
      <c r="A114" s="59"/>
      <c r="B114" s="102" t="str">
        <f t="shared" si="10"/>
        <v>Toyota</v>
      </c>
      <c r="C114" s="69" t="s">
        <v>45</v>
      </c>
      <c r="D114" s="100" t="s">
        <v>61</v>
      </c>
      <c r="E114" s="99">
        <v>980.0</v>
      </c>
      <c r="F114" s="95">
        <v>547.0</v>
      </c>
      <c r="G114" s="96">
        <f t="shared" si="2"/>
        <v>433</v>
      </c>
      <c r="H114" s="97">
        <f t="shared" si="3"/>
        <v>0.4418367347</v>
      </c>
      <c r="I114" s="98" t="s">
        <v>42</v>
      </c>
      <c r="J114" s="71" t="s">
        <v>48</v>
      </c>
      <c r="K114" s="59"/>
      <c r="L114" s="65"/>
      <c r="M114" s="65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66"/>
      <c r="AN114" s="66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</row>
    <row r="115" ht="15.75" customHeight="1">
      <c r="A115" s="59"/>
      <c r="B115" s="102" t="str">
        <f t="shared" si="10"/>
        <v>Toyota</v>
      </c>
      <c r="C115" s="69" t="s">
        <v>50</v>
      </c>
      <c r="D115" s="100" t="s">
        <v>61</v>
      </c>
      <c r="E115" s="99">
        <v>725.0</v>
      </c>
      <c r="F115" s="95">
        <v>325.0</v>
      </c>
      <c r="G115" s="96">
        <f t="shared" si="2"/>
        <v>400</v>
      </c>
      <c r="H115" s="97">
        <f t="shared" si="3"/>
        <v>0.5517241379</v>
      </c>
      <c r="I115" s="98" t="s">
        <v>42</v>
      </c>
      <c r="J115" s="71" t="s">
        <v>53</v>
      </c>
      <c r="K115" s="59"/>
      <c r="L115" s="65"/>
      <c r="M115" s="65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66"/>
      <c r="AN115" s="66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</row>
    <row r="116" ht="15.75" customHeight="1">
      <c r="A116" s="59"/>
      <c r="B116" s="102" t="str">
        <f t="shared" si="10"/>
        <v>Toyota</v>
      </c>
      <c r="C116" s="69" t="s">
        <v>55</v>
      </c>
      <c r="D116" s="100" t="s">
        <v>51</v>
      </c>
      <c r="E116" s="99">
        <v>725.0</v>
      </c>
      <c r="F116" s="95">
        <v>325.0</v>
      </c>
      <c r="G116" s="96">
        <f t="shared" si="2"/>
        <v>400</v>
      </c>
      <c r="H116" s="97">
        <f t="shared" si="3"/>
        <v>0.5517241379</v>
      </c>
      <c r="I116" s="98" t="s">
        <v>42</v>
      </c>
      <c r="J116" s="71" t="s">
        <v>58</v>
      </c>
      <c r="K116" s="59"/>
      <c r="L116" s="65"/>
      <c r="M116" s="65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66"/>
      <c r="AN116" s="66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</row>
    <row r="117" ht="15.75" customHeight="1">
      <c r="A117" s="59"/>
      <c r="B117" s="102" t="str">
        <f t="shared" si="10"/>
        <v>Toyota</v>
      </c>
      <c r="C117" s="71" t="s">
        <v>60</v>
      </c>
      <c r="D117" s="100" t="s">
        <v>51</v>
      </c>
      <c r="E117" s="99">
        <v>725.0</v>
      </c>
      <c r="F117" s="95">
        <v>325.0</v>
      </c>
      <c r="G117" s="96">
        <f t="shared" si="2"/>
        <v>400</v>
      </c>
      <c r="H117" s="97">
        <f t="shared" si="3"/>
        <v>0.5517241379</v>
      </c>
      <c r="I117" s="98" t="s">
        <v>42</v>
      </c>
      <c r="J117" s="71" t="s">
        <v>63</v>
      </c>
      <c r="K117" s="59"/>
      <c r="L117" s="65"/>
      <c r="M117" s="65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66"/>
      <c r="AN117" s="66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</row>
    <row r="118" ht="15.75" customHeight="1">
      <c r="A118" s="59"/>
      <c r="B118" s="102" t="str">
        <f t="shared" si="10"/>
        <v>Toyota</v>
      </c>
      <c r="C118" s="69" t="s">
        <v>15</v>
      </c>
      <c r="D118" s="100" t="s">
        <v>51</v>
      </c>
      <c r="E118" s="99">
        <v>725.0</v>
      </c>
      <c r="F118" s="95">
        <v>325.0</v>
      </c>
      <c r="G118" s="96">
        <f t="shared" si="2"/>
        <v>400</v>
      </c>
      <c r="H118" s="97">
        <f t="shared" si="3"/>
        <v>0.5517241379</v>
      </c>
      <c r="I118" s="98" t="s">
        <v>42</v>
      </c>
      <c r="J118" s="71" t="s">
        <v>18</v>
      </c>
      <c r="K118" s="59"/>
      <c r="L118" s="65"/>
      <c r="M118" s="65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66"/>
      <c r="AN118" s="66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</row>
    <row r="119" ht="15.75" customHeight="1">
      <c r="A119" s="59"/>
      <c r="B119" s="102" t="str">
        <f t="shared" si="10"/>
        <v>Toyota</v>
      </c>
      <c r="C119" s="69" t="s">
        <v>20</v>
      </c>
      <c r="D119" s="100" t="s">
        <v>51</v>
      </c>
      <c r="E119" s="99">
        <v>725.0</v>
      </c>
      <c r="F119" s="95">
        <v>325.0</v>
      </c>
      <c r="G119" s="96">
        <f t="shared" si="2"/>
        <v>400</v>
      </c>
      <c r="H119" s="97">
        <f t="shared" si="3"/>
        <v>0.5517241379</v>
      </c>
      <c r="I119" s="98" t="s">
        <v>42</v>
      </c>
      <c r="J119" s="71" t="s">
        <v>23</v>
      </c>
      <c r="K119" s="59"/>
      <c r="L119" s="65"/>
      <c r="M119" s="65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66"/>
      <c r="AN119" s="66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</row>
    <row r="120" ht="15.75" customHeight="1">
      <c r="A120" s="59"/>
      <c r="B120" s="102" t="str">
        <f t="shared" si="10"/>
        <v>Toyota</v>
      </c>
      <c r="C120" s="69" t="s">
        <v>25</v>
      </c>
      <c r="D120" s="100" t="s">
        <v>51</v>
      </c>
      <c r="E120" s="99">
        <v>725.0</v>
      </c>
      <c r="F120" s="95">
        <v>325.0</v>
      </c>
      <c r="G120" s="96">
        <f t="shared" si="2"/>
        <v>400</v>
      </c>
      <c r="H120" s="97">
        <f t="shared" si="3"/>
        <v>0.5517241379</v>
      </c>
      <c r="I120" s="98" t="s">
        <v>42</v>
      </c>
      <c r="J120" s="71" t="s">
        <v>28</v>
      </c>
      <c r="K120" s="59"/>
      <c r="L120" s="65"/>
      <c r="M120" s="65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66"/>
      <c r="AN120" s="66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</row>
    <row r="121" ht="15.75" customHeight="1">
      <c r="A121" s="59"/>
      <c r="B121" s="102" t="str">
        <f t="shared" si="10"/>
        <v>Toyota</v>
      </c>
      <c r="C121" s="69" t="s">
        <v>30</v>
      </c>
      <c r="D121" s="100" t="s">
        <v>51</v>
      </c>
      <c r="E121" s="99">
        <v>725.0</v>
      </c>
      <c r="F121" s="95">
        <v>325.0</v>
      </c>
      <c r="G121" s="96">
        <f t="shared" si="2"/>
        <v>400</v>
      </c>
      <c r="H121" s="97">
        <f t="shared" si="3"/>
        <v>0.5517241379</v>
      </c>
      <c r="I121" s="98" t="s">
        <v>17</v>
      </c>
      <c r="J121" s="71" t="s">
        <v>33</v>
      </c>
      <c r="K121" s="59"/>
      <c r="L121" s="65"/>
      <c r="M121" s="65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66"/>
      <c r="AN121" s="66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</row>
    <row r="122" ht="15.75" customHeight="1">
      <c r="A122" s="59"/>
      <c r="B122" s="102" t="str">
        <f t="shared" si="10"/>
        <v>Toyota</v>
      </c>
      <c r="C122" s="69" t="s">
        <v>35</v>
      </c>
      <c r="D122" s="100" t="s">
        <v>51</v>
      </c>
      <c r="E122" s="99">
        <v>725.0</v>
      </c>
      <c r="F122" s="95">
        <v>325.0</v>
      </c>
      <c r="G122" s="96">
        <f t="shared" si="2"/>
        <v>400</v>
      </c>
      <c r="H122" s="97">
        <f t="shared" si="3"/>
        <v>0.5517241379</v>
      </c>
      <c r="I122" s="98" t="s">
        <v>17</v>
      </c>
      <c r="J122" s="71" t="s">
        <v>38</v>
      </c>
      <c r="K122" s="59"/>
      <c r="L122" s="65"/>
      <c r="M122" s="65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66"/>
      <c r="AN122" s="66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</row>
    <row r="123" ht="15.75" customHeight="1">
      <c r="A123" s="59"/>
      <c r="B123" s="102" t="str">
        <f t="shared" si="10"/>
        <v>Toyota</v>
      </c>
      <c r="C123" s="69" t="s">
        <v>40</v>
      </c>
      <c r="D123" s="100" t="s">
        <v>51</v>
      </c>
      <c r="E123" s="99">
        <v>725.0</v>
      </c>
      <c r="F123" s="95">
        <v>325.0</v>
      </c>
      <c r="G123" s="96">
        <f t="shared" si="2"/>
        <v>400</v>
      </c>
      <c r="H123" s="97">
        <f t="shared" si="3"/>
        <v>0.5517241379</v>
      </c>
      <c r="I123" s="98" t="s">
        <v>17</v>
      </c>
      <c r="J123" s="71" t="s">
        <v>43</v>
      </c>
      <c r="K123" s="59"/>
      <c r="L123" s="65"/>
      <c r="M123" s="65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66"/>
      <c r="AN123" s="66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</row>
    <row r="124" ht="15.75" customHeight="1">
      <c r="A124" s="59"/>
      <c r="B124" s="102" t="str">
        <f t="shared" si="10"/>
        <v>Toyota</v>
      </c>
      <c r="C124" s="69" t="s">
        <v>45</v>
      </c>
      <c r="D124" s="100" t="s">
        <v>51</v>
      </c>
      <c r="E124" s="99">
        <v>650.0</v>
      </c>
      <c r="F124" s="95">
        <v>245.0</v>
      </c>
      <c r="G124" s="96">
        <f t="shared" si="2"/>
        <v>405</v>
      </c>
      <c r="H124" s="97">
        <f t="shared" si="3"/>
        <v>0.6230769231</v>
      </c>
      <c r="I124" s="98" t="s">
        <v>17</v>
      </c>
      <c r="J124" s="71" t="s">
        <v>48</v>
      </c>
      <c r="K124" s="59"/>
      <c r="L124" s="65"/>
      <c r="M124" s="65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66"/>
      <c r="AN124" s="66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</row>
    <row r="125" ht="15.75" customHeight="1">
      <c r="A125" s="59"/>
      <c r="B125" s="102" t="str">
        <f t="shared" si="10"/>
        <v>Toyota</v>
      </c>
      <c r="C125" s="69" t="s">
        <v>50</v>
      </c>
      <c r="D125" s="100" t="s">
        <v>51</v>
      </c>
      <c r="E125" s="99">
        <v>650.0</v>
      </c>
      <c r="F125" s="95">
        <v>245.0</v>
      </c>
      <c r="G125" s="96">
        <f t="shared" si="2"/>
        <v>405</v>
      </c>
      <c r="H125" s="97">
        <f t="shared" si="3"/>
        <v>0.6230769231</v>
      </c>
      <c r="I125" s="98" t="s">
        <v>17</v>
      </c>
      <c r="J125" s="71" t="s">
        <v>53</v>
      </c>
      <c r="K125" s="59"/>
      <c r="L125" s="65"/>
      <c r="M125" s="65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66"/>
      <c r="AN125" s="66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</row>
    <row r="126" ht="15.75" customHeight="1">
      <c r="A126" s="59"/>
      <c r="B126" s="102" t="str">
        <f t="shared" si="10"/>
        <v>Toyota</v>
      </c>
      <c r="C126" s="69" t="s">
        <v>55</v>
      </c>
      <c r="D126" s="100" t="s">
        <v>51</v>
      </c>
      <c r="E126" s="99">
        <v>650.0</v>
      </c>
      <c r="F126" s="95">
        <v>245.0</v>
      </c>
      <c r="G126" s="96">
        <f t="shared" si="2"/>
        <v>405</v>
      </c>
      <c r="H126" s="97">
        <f t="shared" si="3"/>
        <v>0.6230769231</v>
      </c>
      <c r="I126" s="98" t="s">
        <v>17</v>
      </c>
      <c r="J126" s="71" t="s">
        <v>58</v>
      </c>
      <c r="K126" s="59"/>
      <c r="L126" s="65"/>
      <c r="M126" s="65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66"/>
      <c r="AN126" s="66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</row>
    <row r="127" ht="15.75" customHeight="1">
      <c r="A127" s="59"/>
      <c r="B127" s="102" t="str">
        <f t="shared" si="10"/>
        <v>Toyota</v>
      </c>
      <c r="C127" s="71" t="s">
        <v>60</v>
      </c>
      <c r="D127" s="100" t="s">
        <v>16</v>
      </c>
      <c r="E127" s="99">
        <v>650.0</v>
      </c>
      <c r="F127" s="95">
        <v>245.0</v>
      </c>
      <c r="G127" s="96">
        <f t="shared" si="2"/>
        <v>405</v>
      </c>
      <c r="H127" s="97">
        <f t="shared" si="3"/>
        <v>0.6230769231</v>
      </c>
      <c r="I127" s="98" t="s">
        <v>17</v>
      </c>
      <c r="J127" s="71" t="s">
        <v>63</v>
      </c>
      <c r="K127" s="59"/>
      <c r="L127" s="65"/>
      <c r="M127" s="65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66"/>
      <c r="AN127" s="66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</row>
    <row r="128" ht="15.75" customHeight="1">
      <c r="A128" s="59"/>
      <c r="B128" s="102" t="str">
        <f t="shared" si="10"/>
        <v>Toyota</v>
      </c>
      <c r="C128" s="69" t="s">
        <v>15</v>
      </c>
      <c r="D128" s="100" t="s">
        <v>16</v>
      </c>
      <c r="E128" s="99">
        <v>650.0</v>
      </c>
      <c r="F128" s="95">
        <v>245.0</v>
      </c>
      <c r="G128" s="96">
        <f t="shared" si="2"/>
        <v>405</v>
      </c>
      <c r="H128" s="97">
        <f t="shared" si="3"/>
        <v>0.6230769231</v>
      </c>
      <c r="I128" s="98" t="s">
        <v>27</v>
      </c>
      <c r="J128" s="71" t="s">
        <v>18</v>
      </c>
      <c r="K128" s="59"/>
      <c r="L128" s="65"/>
      <c r="M128" s="65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66"/>
      <c r="AN128" s="66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</row>
    <row r="129" ht="15.75" customHeight="1">
      <c r="A129" s="59"/>
      <c r="B129" s="102" t="str">
        <f t="shared" si="10"/>
        <v>Toyota</v>
      </c>
      <c r="C129" s="69" t="s">
        <v>20</v>
      </c>
      <c r="D129" s="100" t="s">
        <v>16</v>
      </c>
      <c r="E129" s="99">
        <v>650.0</v>
      </c>
      <c r="F129" s="95">
        <v>245.0</v>
      </c>
      <c r="G129" s="96">
        <f t="shared" si="2"/>
        <v>405</v>
      </c>
      <c r="H129" s="97">
        <f t="shared" si="3"/>
        <v>0.6230769231</v>
      </c>
      <c r="I129" s="98" t="s">
        <v>27</v>
      </c>
      <c r="J129" s="71" t="s">
        <v>23</v>
      </c>
      <c r="K129" s="59"/>
      <c r="L129" s="65"/>
      <c r="M129" s="65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66"/>
      <c r="AN129" s="66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</row>
    <row r="130" ht="15.75" customHeight="1">
      <c r="A130" s="59"/>
      <c r="B130" s="102" t="str">
        <f t="shared" si="10"/>
        <v>Toyota</v>
      </c>
      <c r="C130" s="69" t="s">
        <v>25</v>
      </c>
      <c r="D130" s="100" t="s">
        <v>16</v>
      </c>
      <c r="E130" s="99">
        <v>650.0</v>
      </c>
      <c r="F130" s="95">
        <v>245.0</v>
      </c>
      <c r="G130" s="96">
        <f t="shared" si="2"/>
        <v>405</v>
      </c>
      <c r="H130" s="97">
        <f t="shared" si="3"/>
        <v>0.6230769231</v>
      </c>
      <c r="I130" s="98" t="s">
        <v>27</v>
      </c>
      <c r="J130" s="71" t="s">
        <v>28</v>
      </c>
      <c r="K130" s="59"/>
      <c r="L130" s="65"/>
      <c r="M130" s="65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66"/>
      <c r="AN130" s="66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</row>
    <row r="131" ht="15.75" customHeight="1">
      <c r="A131" s="59"/>
      <c r="B131" s="102" t="str">
        <f t="shared" si="10"/>
        <v>Toyota</v>
      </c>
      <c r="C131" s="69" t="s">
        <v>30</v>
      </c>
      <c r="D131" s="100" t="s">
        <v>16</v>
      </c>
      <c r="E131" s="94">
        <v>545.0</v>
      </c>
      <c r="F131" s="95">
        <v>245.0</v>
      </c>
      <c r="G131" s="96">
        <f t="shared" si="2"/>
        <v>300</v>
      </c>
      <c r="H131" s="97">
        <f t="shared" si="3"/>
        <v>0.5504587156</v>
      </c>
      <c r="I131" s="98" t="s">
        <v>27</v>
      </c>
      <c r="J131" s="71" t="s">
        <v>33</v>
      </c>
      <c r="K131" s="59"/>
      <c r="L131" s="65"/>
      <c r="M131" s="65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66"/>
      <c r="AN131" s="66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</row>
    <row r="132" ht="15.75" customHeight="1">
      <c r="A132" s="59"/>
      <c r="B132" s="102" t="str">
        <f t="shared" si="10"/>
        <v>Toyota</v>
      </c>
      <c r="C132" s="69" t="s">
        <v>35</v>
      </c>
      <c r="D132" s="100" t="s">
        <v>16</v>
      </c>
      <c r="E132" s="94">
        <v>545.0</v>
      </c>
      <c r="F132" s="95">
        <v>218.0</v>
      </c>
      <c r="G132" s="96">
        <f t="shared" si="2"/>
        <v>327</v>
      </c>
      <c r="H132" s="97">
        <f t="shared" si="3"/>
        <v>0.6</v>
      </c>
      <c r="I132" s="98" t="s">
        <v>27</v>
      </c>
      <c r="J132" s="71" t="s">
        <v>38</v>
      </c>
      <c r="K132" s="59"/>
      <c r="L132" s="65"/>
      <c r="M132" s="65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66"/>
      <c r="AN132" s="66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</row>
    <row r="133" ht="15.75" customHeight="1">
      <c r="A133" s="59"/>
      <c r="B133" s="102" t="str">
        <f t="shared" si="10"/>
        <v>Toyota</v>
      </c>
      <c r="C133" s="69" t="s">
        <v>40</v>
      </c>
      <c r="D133" s="100" t="s">
        <v>16</v>
      </c>
      <c r="E133" s="94">
        <v>545.0</v>
      </c>
      <c r="F133" s="95">
        <v>218.0</v>
      </c>
      <c r="G133" s="96">
        <f t="shared" si="2"/>
        <v>327</v>
      </c>
      <c r="H133" s="97">
        <f t="shared" si="3"/>
        <v>0.6</v>
      </c>
      <c r="I133" s="98" t="s">
        <v>27</v>
      </c>
      <c r="J133" s="71" t="s">
        <v>43</v>
      </c>
      <c r="K133" s="59"/>
      <c r="L133" s="65"/>
      <c r="M133" s="65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66"/>
      <c r="AN133" s="66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</row>
    <row r="134" ht="15.75" customHeight="1">
      <c r="A134" s="59"/>
      <c r="B134" s="102" t="str">
        <f t="shared" si="10"/>
        <v>Toyota</v>
      </c>
      <c r="C134" s="69" t="s">
        <v>45</v>
      </c>
      <c r="D134" s="100" t="s">
        <v>16</v>
      </c>
      <c r="E134" s="94">
        <v>545.0</v>
      </c>
      <c r="F134" s="95">
        <v>218.0</v>
      </c>
      <c r="G134" s="96">
        <f t="shared" si="2"/>
        <v>327</v>
      </c>
      <c r="H134" s="97">
        <f t="shared" si="3"/>
        <v>0.6</v>
      </c>
      <c r="I134" s="98" t="s">
        <v>27</v>
      </c>
      <c r="J134" s="71" t="s">
        <v>48</v>
      </c>
      <c r="K134" s="59"/>
      <c r="L134" s="65"/>
      <c r="M134" s="65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66"/>
      <c r="AN134" s="66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</row>
    <row r="135" ht="15.75" customHeight="1">
      <c r="A135" s="59"/>
      <c r="B135" s="102" t="str">
        <f t="shared" si="10"/>
        <v>Toyota</v>
      </c>
      <c r="C135" s="69" t="s">
        <v>50</v>
      </c>
      <c r="D135" s="100" t="s">
        <v>16</v>
      </c>
      <c r="E135" s="94">
        <v>545.0</v>
      </c>
      <c r="F135" s="95">
        <v>218.0</v>
      </c>
      <c r="G135" s="96">
        <f t="shared" si="2"/>
        <v>327</v>
      </c>
      <c r="H135" s="97">
        <f t="shared" si="3"/>
        <v>0.6</v>
      </c>
      <c r="I135" s="98" t="s">
        <v>27</v>
      </c>
      <c r="J135" s="71" t="s">
        <v>53</v>
      </c>
      <c r="K135" s="59"/>
      <c r="L135" s="65"/>
      <c r="M135" s="65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66"/>
      <c r="AN135" s="66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</row>
    <row r="136" ht="15.75" customHeight="1">
      <c r="A136" s="59"/>
      <c r="B136" s="102" t="str">
        <f t="shared" si="10"/>
        <v>Toyota</v>
      </c>
      <c r="C136" s="69" t="s">
        <v>55</v>
      </c>
      <c r="D136" s="100" t="s">
        <v>16</v>
      </c>
      <c r="E136" s="94">
        <v>545.0</v>
      </c>
      <c r="F136" s="95">
        <v>218.0</v>
      </c>
      <c r="G136" s="96">
        <f t="shared" si="2"/>
        <v>327</v>
      </c>
      <c r="H136" s="97">
        <f t="shared" si="3"/>
        <v>0.6</v>
      </c>
      <c r="I136" s="98" t="s">
        <v>27</v>
      </c>
      <c r="J136" s="71" t="s">
        <v>58</v>
      </c>
      <c r="K136" s="59"/>
      <c r="L136" s="65"/>
      <c r="M136" s="65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66"/>
      <c r="AN136" s="66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</row>
    <row r="137" ht="15.75" customHeight="1">
      <c r="A137" s="59"/>
      <c r="B137" s="102" t="str">
        <f t="shared" si="10"/>
        <v>Toyota</v>
      </c>
      <c r="C137" s="71" t="s">
        <v>60</v>
      </c>
      <c r="D137" s="100" t="s">
        <v>21</v>
      </c>
      <c r="E137" s="94">
        <v>545.0</v>
      </c>
      <c r="F137" s="95">
        <v>218.0</v>
      </c>
      <c r="G137" s="96">
        <f t="shared" si="2"/>
        <v>327</v>
      </c>
      <c r="H137" s="97">
        <f t="shared" si="3"/>
        <v>0.6</v>
      </c>
      <c r="I137" s="98" t="s">
        <v>27</v>
      </c>
      <c r="J137" s="71" t="s">
        <v>63</v>
      </c>
      <c r="K137" s="59"/>
      <c r="L137" s="65"/>
      <c r="M137" s="65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66"/>
      <c r="AN137" s="66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</row>
    <row r="138" ht="15.75" customHeight="1">
      <c r="A138" s="59"/>
      <c r="B138" s="102" t="str">
        <f t="shared" si="10"/>
        <v>Toyota</v>
      </c>
      <c r="C138" s="69" t="s">
        <v>15</v>
      </c>
      <c r="D138" s="100" t="s">
        <v>21</v>
      </c>
      <c r="E138" s="94">
        <v>362.0</v>
      </c>
      <c r="F138" s="95">
        <v>175.0</v>
      </c>
      <c r="G138" s="96">
        <f t="shared" si="2"/>
        <v>187</v>
      </c>
      <c r="H138" s="97">
        <f t="shared" si="3"/>
        <v>0.5165745856</v>
      </c>
      <c r="I138" s="98" t="s">
        <v>32</v>
      </c>
      <c r="J138" s="71" t="s">
        <v>18</v>
      </c>
      <c r="K138" s="59"/>
      <c r="L138" s="65"/>
      <c r="M138" s="65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66"/>
      <c r="AN138" s="66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</row>
    <row r="139" ht="15.75" customHeight="1">
      <c r="A139" s="59"/>
      <c r="B139" s="102" t="str">
        <f t="shared" si="10"/>
        <v>Toyota</v>
      </c>
      <c r="C139" s="69" t="s">
        <v>20</v>
      </c>
      <c r="D139" s="100" t="s">
        <v>21</v>
      </c>
      <c r="E139" s="94">
        <v>362.0</v>
      </c>
      <c r="F139" s="95">
        <v>175.0</v>
      </c>
      <c r="G139" s="96">
        <f t="shared" si="2"/>
        <v>187</v>
      </c>
      <c r="H139" s="97">
        <f t="shared" si="3"/>
        <v>0.5165745856</v>
      </c>
      <c r="I139" s="98" t="s">
        <v>32</v>
      </c>
      <c r="J139" s="71" t="s">
        <v>23</v>
      </c>
      <c r="K139" s="59"/>
      <c r="L139" s="65"/>
      <c r="M139" s="65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66"/>
      <c r="AN139" s="66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</row>
    <row r="140" ht="15.75" customHeight="1">
      <c r="A140" s="59"/>
      <c r="B140" s="102" t="str">
        <f t="shared" si="10"/>
        <v>Toyota</v>
      </c>
      <c r="C140" s="69" t="s">
        <v>25</v>
      </c>
      <c r="D140" s="100" t="s">
        <v>21</v>
      </c>
      <c r="E140" s="94">
        <v>362.0</v>
      </c>
      <c r="F140" s="95">
        <v>175.0</v>
      </c>
      <c r="G140" s="96">
        <f t="shared" si="2"/>
        <v>187</v>
      </c>
      <c r="H140" s="97">
        <f t="shared" si="3"/>
        <v>0.5165745856</v>
      </c>
      <c r="I140" s="98" t="s">
        <v>32</v>
      </c>
      <c r="J140" s="71" t="s">
        <v>28</v>
      </c>
      <c r="K140" s="59"/>
      <c r="L140" s="65"/>
      <c r="M140" s="65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66"/>
      <c r="AN140" s="66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</row>
    <row r="141" ht="15.75" customHeight="1">
      <c r="A141" s="59"/>
      <c r="B141" s="102" t="str">
        <f t="shared" si="10"/>
        <v>Toyota</v>
      </c>
      <c r="C141" s="69" t="s">
        <v>30</v>
      </c>
      <c r="D141" s="100" t="s">
        <v>21</v>
      </c>
      <c r="E141" s="94">
        <v>362.0</v>
      </c>
      <c r="F141" s="95">
        <v>175.0</v>
      </c>
      <c r="G141" s="96">
        <f t="shared" si="2"/>
        <v>187</v>
      </c>
      <c r="H141" s="97">
        <f t="shared" si="3"/>
        <v>0.5165745856</v>
      </c>
      <c r="I141" s="98" t="s">
        <v>32</v>
      </c>
      <c r="J141" s="71" t="s">
        <v>33</v>
      </c>
      <c r="K141" s="59"/>
      <c r="L141" s="65"/>
      <c r="M141" s="65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66"/>
      <c r="AN141" s="66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</row>
    <row r="142" ht="15.75" customHeight="1">
      <c r="A142" s="59"/>
      <c r="B142" s="102" t="str">
        <f t="shared" si="10"/>
        <v>Toyota</v>
      </c>
      <c r="C142" s="69" t="s">
        <v>35</v>
      </c>
      <c r="D142" s="100" t="s">
        <v>21</v>
      </c>
      <c r="E142" s="94">
        <v>362.0</v>
      </c>
      <c r="F142" s="95">
        <v>175.0</v>
      </c>
      <c r="G142" s="96">
        <f t="shared" si="2"/>
        <v>187</v>
      </c>
      <c r="H142" s="97">
        <f t="shared" si="3"/>
        <v>0.5165745856</v>
      </c>
      <c r="I142" s="98" t="s">
        <v>32</v>
      </c>
      <c r="J142" s="71" t="s">
        <v>38</v>
      </c>
      <c r="K142" s="59"/>
      <c r="L142" s="65"/>
      <c r="M142" s="65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66"/>
      <c r="AN142" s="66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</row>
    <row r="143" ht="15.75" customHeight="1">
      <c r="A143" s="59"/>
      <c r="B143" s="102" t="str">
        <f t="shared" si="10"/>
        <v>Toyota</v>
      </c>
      <c r="C143" s="69" t="s">
        <v>40</v>
      </c>
      <c r="D143" s="100" t="s">
        <v>21</v>
      </c>
      <c r="E143" s="94">
        <v>362.0</v>
      </c>
      <c r="F143" s="95">
        <v>175.0</v>
      </c>
      <c r="G143" s="96">
        <f t="shared" si="2"/>
        <v>187</v>
      </c>
      <c r="H143" s="97">
        <f t="shared" si="3"/>
        <v>0.5165745856</v>
      </c>
      <c r="I143" s="98" t="s">
        <v>32</v>
      </c>
      <c r="J143" s="71" t="s">
        <v>43</v>
      </c>
      <c r="K143" s="59"/>
      <c r="L143" s="65"/>
      <c r="M143" s="65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66"/>
      <c r="AN143" s="66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</row>
    <row r="144" ht="15.75" customHeight="1">
      <c r="A144" s="59"/>
      <c r="B144" s="102" t="str">
        <f t="shared" si="10"/>
        <v>Toyota</v>
      </c>
      <c r="C144" s="69" t="s">
        <v>45</v>
      </c>
      <c r="D144" s="100" t="s">
        <v>21</v>
      </c>
      <c r="E144" s="94">
        <v>362.0</v>
      </c>
      <c r="F144" s="95">
        <v>175.0</v>
      </c>
      <c r="G144" s="96">
        <f t="shared" si="2"/>
        <v>187</v>
      </c>
      <c r="H144" s="97">
        <f t="shared" si="3"/>
        <v>0.5165745856</v>
      </c>
      <c r="I144" s="98" t="s">
        <v>32</v>
      </c>
      <c r="J144" s="71" t="s">
        <v>48</v>
      </c>
      <c r="K144" s="59"/>
      <c r="L144" s="65"/>
      <c r="M144" s="65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66"/>
      <c r="AN144" s="66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</row>
    <row r="145" ht="15.75" customHeight="1">
      <c r="A145" s="59"/>
      <c r="B145" s="102" t="str">
        <f t="shared" si="10"/>
        <v>Toyota</v>
      </c>
      <c r="C145" s="69" t="s">
        <v>50</v>
      </c>
      <c r="D145" s="100" t="s">
        <v>21</v>
      </c>
      <c r="E145" s="94">
        <v>218.0</v>
      </c>
      <c r="F145" s="95">
        <v>105.0</v>
      </c>
      <c r="G145" s="96">
        <f t="shared" si="2"/>
        <v>113</v>
      </c>
      <c r="H145" s="97">
        <f t="shared" si="3"/>
        <v>0.5183486239</v>
      </c>
      <c r="I145" s="98" t="s">
        <v>32</v>
      </c>
      <c r="J145" s="71" t="s">
        <v>53</v>
      </c>
      <c r="K145" s="59"/>
      <c r="L145" s="65"/>
      <c r="M145" s="65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66"/>
      <c r="AN145" s="66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</row>
    <row r="146" ht="15.75" customHeight="1">
      <c r="A146" s="59"/>
      <c r="B146" s="102" t="str">
        <f t="shared" si="10"/>
        <v>Toyota</v>
      </c>
      <c r="C146" s="69" t="s">
        <v>55</v>
      </c>
      <c r="D146" s="100" t="s">
        <v>21</v>
      </c>
      <c r="E146" s="94">
        <v>218.0</v>
      </c>
      <c r="F146" s="95">
        <v>105.0</v>
      </c>
      <c r="G146" s="96">
        <f t="shared" si="2"/>
        <v>113</v>
      </c>
      <c r="H146" s="97">
        <f t="shared" si="3"/>
        <v>0.5183486239</v>
      </c>
      <c r="I146" s="98" t="s">
        <v>32</v>
      </c>
      <c r="J146" s="71" t="s">
        <v>58</v>
      </c>
      <c r="K146" s="59"/>
      <c r="L146" s="65"/>
      <c r="M146" s="65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66"/>
      <c r="AN146" s="66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</row>
    <row r="147" ht="15.75" customHeight="1">
      <c r="A147" s="59"/>
      <c r="B147" s="102" t="str">
        <f t="shared" si="10"/>
        <v>Toyota</v>
      </c>
      <c r="C147" s="71" t="s">
        <v>60</v>
      </c>
      <c r="D147" s="100" t="s">
        <v>21</v>
      </c>
      <c r="E147" s="94">
        <v>218.0</v>
      </c>
      <c r="F147" s="95">
        <v>105.0</v>
      </c>
      <c r="G147" s="96">
        <f t="shared" si="2"/>
        <v>113</v>
      </c>
      <c r="H147" s="97">
        <f t="shared" si="3"/>
        <v>0.5183486239</v>
      </c>
      <c r="I147" s="98" t="s">
        <v>32</v>
      </c>
      <c r="J147" s="71" t="s">
        <v>63</v>
      </c>
      <c r="K147" s="59"/>
      <c r="L147" s="65"/>
      <c r="M147" s="65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66"/>
      <c r="AN147" s="66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</row>
    <row r="148" ht="15.75" customHeight="1">
      <c r="A148" s="59"/>
      <c r="B148" s="102" t="str">
        <f t="shared" si="10"/>
        <v>Toyota</v>
      </c>
      <c r="C148" s="69" t="s">
        <v>15</v>
      </c>
      <c r="D148" s="100" t="s">
        <v>21</v>
      </c>
      <c r="E148" s="94">
        <v>218.0</v>
      </c>
      <c r="F148" s="95">
        <v>105.0</v>
      </c>
      <c r="G148" s="96">
        <f t="shared" si="2"/>
        <v>113</v>
      </c>
      <c r="H148" s="97">
        <f t="shared" si="3"/>
        <v>0.5183486239</v>
      </c>
      <c r="I148" s="98" t="s">
        <v>32</v>
      </c>
      <c r="J148" s="71" t="s">
        <v>18</v>
      </c>
      <c r="K148" s="59"/>
      <c r="L148" s="65"/>
      <c r="M148" s="65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66"/>
      <c r="AN148" s="66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</row>
    <row r="149" ht="15.75" customHeight="1">
      <c r="A149" s="59"/>
      <c r="B149" s="102" t="str">
        <f t="shared" si="10"/>
        <v>Toyota</v>
      </c>
      <c r="C149" s="69" t="s">
        <v>20</v>
      </c>
      <c r="D149" s="100" t="s">
        <v>31</v>
      </c>
      <c r="E149" s="94">
        <v>218.0</v>
      </c>
      <c r="F149" s="95">
        <v>105.0</v>
      </c>
      <c r="G149" s="96">
        <f t="shared" si="2"/>
        <v>113</v>
      </c>
      <c r="H149" s="97">
        <f t="shared" si="3"/>
        <v>0.5183486239</v>
      </c>
      <c r="I149" s="98" t="s">
        <v>32</v>
      </c>
      <c r="J149" s="71" t="s">
        <v>23</v>
      </c>
      <c r="K149" s="59"/>
      <c r="L149" s="65"/>
      <c r="M149" s="65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66"/>
      <c r="AN149" s="66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</row>
    <row r="150" ht="15.75" customHeight="1">
      <c r="A150" s="59"/>
      <c r="B150" s="102" t="str">
        <f t="shared" si="10"/>
        <v>Toyota</v>
      </c>
      <c r="C150" s="69" t="s">
        <v>25</v>
      </c>
      <c r="D150" s="100" t="s">
        <v>31</v>
      </c>
      <c r="E150" s="94">
        <v>218.0</v>
      </c>
      <c r="F150" s="95">
        <v>105.0</v>
      </c>
      <c r="G150" s="96">
        <f t="shared" si="2"/>
        <v>113</v>
      </c>
      <c r="H150" s="97">
        <f t="shared" si="3"/>
        <v>0.5183486239</v>
      </c>
      <c r="I150" s="98" t="s">
        <v>32</v>
      </c>
      <c r="J150" s="71" t="s">
        <v>28</v>
      </c>
      <c r="K150" s="59"/>
      <c r="L150" s="65"/>
      <c r="M150" s="65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66"/>
      <c r="AN150" s="66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</row>
    <row r="151" ht="15.75" customHeight="1">
      <c r="A151" s="59"/>
      <c r="B151" s="102" t="str">
        <f t="shared" si="10"/>
        <v>Toyota</v>
      </c>
      <c r="C151" s="69" t="s">
        <v>30</v>
      </c>
      <c r="D151" s="100" t="s">
        <v>31</v>
      </c>
      <c r="E151" s="94">
        <v>218.0</v>
      </c>
      <c r="F151" s="95">
        <v>105.0</v>
      </c>
      <c r="G151" s="96">
        <f t="shared" si="2"/>
        <v>113</v>
      </c>
      <c r="H151" s="97">
        <f t="shared" si="3"/>
        <v>0.5183486239</v>
      </c>
      <c r="I151" s="98" t="s">
        <v>32</v>
      </c>
      <c r="J151" s="71" t="s">
        <v>33</v>
      </c>
      <c r="K151" s="59"/>
      <c r="L151" s="65"/>
      <c r="M151" s="65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66"/>
      <c r="AN151" s="66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</row>
    <row r="152" ht="15.75" customHeight="1">
      <c r="A152" s="59"/>
      <c r="B152" s="102" t="str">
        <f t="shared" si="10"/>
        <v>Toyota</v>
      </c>
      <c r="C152" s="69" t="s">
        <v>35</v>
      </c>
      <c r="D152" s="100" t="s">
        <v>31</v>
      </c>
      <c r="E152" s="94">
        <v>218.0</v>
      </c>
      <c r="F152" s="95">
        <v>105.0</v>
      </c>
      <c r="G152" s="96">
        <f t="shared" si="2"/>
        <v>113</v>
      </c>
      <c r="H152" s="97">
        <f t="shared" si="3"/>
        <v>0.5183486239</v>
      </c>
      <c r="I152" s="98" t="s">
        <v>52</v>
      </c>
      <c r="J152" s="71" t="s">
        <v>38</v>
      </c>
      <c r="K152" s="59"/>
      <c r="L152" s="65"/>
      <c r="M152" s="65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66"/>
      <c r="AN152" s="66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</row>
    <row r="153" ht="15.75" customHeight="1">
      <c r="A153" s="59"/>
      <c r="B153" s="102" t="str">
        <f t="shared" si="10"/>
        <v>Toyota</v>
      </c>
      <c r="C153" s="69" t="s">
        <v>40</v>
      </c>
      <c r="D153" s="100" t="s">
        <v>31</v>
      </c>
      <c r="E153" s="94">
        <v>125.0</v>
      </c>
      <c r="F153" s="95">
        <v>80.0</v>
      </c>
      <c r="G153" s="96">
        <f t="shared" si="2"/>
        <v>45</v>
      </c>
      <c r="H153" s="97">
        <f t="shared" si="3"/>
        <v>0.36</v>
      </c>
      <c r="I153" s="98" t="s">
        <v>52</v>
      </c>
      <c r="J153" s="71" t="s">
        <v>43</v>
      </c>
      <c r="K153" s="59"/>
      <c r="L153" s="65"/>
      <c r="M153" s="65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66"/>
      <c r="AN153" s="66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</row>
    <row r="154" ht="15.75" customHeight="1">
      <c r="A154" s="59"/>
      <c r="B154" s="102" t="str">
        <f t="shared" si="10"/>
        <v>Toyota</v>
      </c>
      <c r="C154" s="69" t="s">
        <v>45</v>
      </c>
      <c r="D154" s="100" t="s">
        <v>31</v>
      </c>
      <c r="E154" s="94">
        <v>125.0</v>
      </c>
      <c r="F154" s="95">
        <v>80.0</v>
      </c>
      <c r="G154" s="96">
        <f t="shared" si="2"/>
        <v>45</v>
      </c>
      <c r="H154" s="97">
        <f t="shared" si="3"/>
        <v>0.36</v>
      </c>
      <c r="I154" s="98" t="s">
        <v>52</v>
      </c>
      <c r="J154" s="71" t="s">
        <v>48</v>
      </c>
      <c r="K154" s="59"/>
      <c r="L154" s="65"/>
      <c r="M154" s="65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66"/>
      <c r="AN154" s="66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</row>
    <row r="155" ht="15.75" customHeight="1">
      <c r="A155" s="59"/>
      <c r="B155" s="102" t="str">
        <f t="shared" si="10"/>
        <v>Toyota</v>
      </c>
      <c r="C155" s="69" t="s">
        <v>50</v>
      </c>
      <c r="D155" s="100" t="s">
        <v>31</v>
      </c>
      <c r="E155" s="94">
        <v>125.0</v>
      </c>
      <c r="F155" s="95">
        <v>80.0</v>
      </c>
      <c r="G155" s="96">
        <f t="shared" si="2"/>
        <v>45</v>
      </c>
      <c r="H155" s="97">
        <f t="shared" si="3"/>
        <v>0.36</v>
      </c>
      <c r="I155" s="98" t="s">
        <v>52</v>
      </c>
      <c r="J155" s="71" t="s">
        <v>53</v>
      </c>
      <c r="K155" s="59"/>
      <c r="L155" s="65"/>
      <c r="M155" s="65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66"/>
      <c r="AN155" s="66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</row>
    <row r="156" ht="15.75" customHeight="1">
      <c r="A156" s="59"/>
      <c r="B156" s="102" t="str">
        <f t="shared" si="10"/>
        <v>Toyota</v>
      </c>
      <c r="C156" s="69" t="s">
        <v>55</v>
      </c>
      <c r="D156" s="100" t="s">
        <v>31</v>
      </c>
      <c r="E156" s="94">
        <v>125.0</v>
      </c>
      <c r="F156" s="95">
        <v>80.0</v>
      </c>
      <c r="G156" s="96">
        <f t="shared" si="2"/>
        <v>45</v>
      </c>
      <c r="H156" s="97">
        <f t="shared" si="3"/>
        <v>0.36</v>
      </c>
      <c r="I156" s="98" t="s">
        <v>52</v>
      </c>
      <c r="J156" s="71" t="s">
        <v>58</v>
      </c>
      <c r="K156" s="59"/>
      <c r="L156" s="65"/>
      <c r="M156" s="65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66"/>
      <c r="AN156" s="66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</row>
    <row r="157" ht="15.75" customHeight="1">
      <c r="A157" s="59"/>
      <c r="B157" s="102" t="str">
        <f t="shared" si="10"/>
        <v>Toyota</v>
      </c>
      <c r="C157" s="71" t="s">
        <v>60</v>
      </c>
      <c r="D157" s="100" t="s">
        <v>31</v>
      </c>
      <c r="E157" s="94">
        <v>125.0</v>
      </c>
      <c r="F157" s="95">
        <v>80.0</v>
      </c>
      <c r="G157" s="96">
        <f t="shared" si="2"/>
        <v>45</v>
      </c>
      <c r="H157" s="97">
        <f t="shared" si="3"/>
        <v>0.36</v>
      </c>
      <c r="I157" s="98" t="s">
        <v>52</v>
      </c>
      <c r="J157" s="71" t="s">
        <v>63</v>
      </c>
      <c r="K157" s="59"/>
      <c r="L157" s="65"/>
      <c r="M157" s="65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66"/>
      <c r="AN157" s="66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</row>
    <row r="158" ht="15.75" customHeight="1">
      <c r="A158" s="59"/>
      <c r="B158" s="102"/>
      <c r="C158" s="69"/>
      <c r="D158" s="103"/>
      <c r="E158" s="104"/>
      <c r="F158" s="105"/>
      <c r="G158" s="96">
        <f t="shared" si="2"/>
        <v>0</v>
      </c>
      <c r="H158" s="97">
        <f t="shared" si="3"/>
        <v>0</v>
      </c>
      <c r="I158" s="105"/>
      <c r="J158" s="71"/>
      <c r="K158" s="59"/>
      <c r="L158" s="65"/>
      <c r="M158" s="65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66"/>
      <c r="AN158" s="66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</row>
    <row r="159" ht="15.75" customHeight="1">
      <c r="A159" s="59"/>
      <c r="B159" s="102"/>
      <c r="C159" s="69"/>
      <c r="D159" s="103"/>
      <c r="E159" s="104"/>
      <c r="F159" s="105"/>
      <c r="G159" s="96">
        <f t="shared" si="2"/>
        <v>0</v>
      </c>
      <c r="H159" s="97">
        <f t="shared" si="3"/>
        <v>0</v>
      </c>
      <c r="I159" s="105"/>
      <c r="J159" s="71"/>
      <c r="K159" s="59"/>
      <c r="L159" s="65"/>
      <c r="M159" s="65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66"/>
      <c r="AN159" s="66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</row>
    <row r="160" ht="15.75" customHeight="1">
      <c r="A160" s="59"/>
      <c r="B160" s="102"/>
      <c r="C160" s="69"/>
      <c r="D160" s="103"/>
      <c r="E160" s="104"/>
      <c r="F160" s="105"/>
      <c r="G160" s="96">
        <f t="shared" si="2"/>
        <v>0</v>
      </c>
      <c r="H160" s="97">
        <f t="shared" si="3"/>
        <v>0</v>
      </c>
      <c r="I160" s="105"/>
      <c r="J160" s="71"/>
      <c r="K160" s="59"/>
      <c r="L160" s="65"/>
      <c r="M160" s="65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66"/>
      <c r="AN160" s="66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</row>
    <row r="161" ht="15.75" customHeight="1">
      <c r="A161" s="59"/>
      <c r="B161" s="102"/>
      <c r="C161" s="69"/>
      <c r="D161" s="103"/>
      <c r="E161" s="104"/>
      <c r="F161" s="105"/>
      <c r="G161" s="96">
        <f t="shared" si="2"/>
        <v>0</v>
      </c>
      <c r="H161" s="97">
        <f t="shared" si="3"/>
        <v>0</v>
      </c>
      <c r="I161" s="105"/>
      <c r="J161" s="71"/>
      <c r="K161" s="59"/>
      <c r="L161" s="65"/>
      <c r="M161" s="65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66"/>
      <c r="AN161" s="66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</row>
    <row r="162" ht="15.75" customHeight="1">
      <c r="A162" s="59"/>
      <c r="B162" s="102"/>
      <c r="C162" s="69"/>
      <c r="D162" s="103"/>
      <c r="E162" s="104"/>
      <c r="F162" s="105"/>
      <c r="G162" s="96">
        <f t="shared" si="2"/>
        <v>0</v>
      </c>
      <c r="H162" s="97">
        <f t="shared" si="3"/>
        <v>0</v>
      </c>
      <c r="I162" s="105"/>
      <c r="J162" s="71"/>
      <c r="K162" s="59"/>
      <c r="L162" s="65"/>
      <c r="M162" s="65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66"/>
      <c r="AN162" s="66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</row>
    <row r="163" ht="15.75" customHeight="1">
      <c r="A163" s="59"/>
      <c r="B163" s="102"/>
      <c r="C163" s="69"/>
      <c r="D163" s="103"/>
      <c r="E163" s="104"/>
      <c r="F163" s="105"/>
      <c r="G163" s="96">
        <f t="shared" si="2"/>
        <v>0</v>
      </c>
      <c r="H163" s="97">
        <f t="shared" si="3"/>
        <v>0</v>
      </c>
      <c r="I163" s="105"/>
      <c r="J163" s="71"/>
      <c r="K163" s="59"/>
      <c r="L163" s="65"/>
      <c r="M163" s="65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66"/>
      <c r="AN163" s="66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</row>
    <row r="164" ht="15.75" customHeight="1">
      <c r="A164" s="59"/>
      <c r="B164" s="102"/>
      <c r="C164" s="69"/>
      <c r="D164" s="103"/>
      <c r="E164" s="104"/>
      <c r="F164" s="105"/>
      <c r="G164" s="96">
        <f t="shared" si="2"/>
        <v>0</v>
      </c>
      <c r="H164" s="97">
        <f t="shared" si="3"/>
        <v>0</v>
      </c>
      <c r="I164" s="105"/>
      <c r="J164" s="71"/>
      <c r="K164" s="59"/>
      <c r="L164" s="65"/>
      <c r="M164" s="65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66"/>
      <c r="AN164" s="66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</row>
    <row r="165" ht="15.75" customHeight="1">
      <c r="A165" s="59"/>
      <c r="B165" s="102"/>
      <c r="C165" s="69"/>
      <c r="D165" s="103"/>
      <c r="E165" s="104"/>
      <c r="F165" s="105"/>
      <c r="G165" s="96">
        <f t="shared" si="2"/>
        <v>0</v>
      </c>
      <c r="H165" s="97">
        <f t="shared" si="3"/>
        <v>0</v>
      </c>
      <c r="I165" s="105"/>
      <c r="J165" s="71"/>
      <c r="K165" s="59"/>
      <c r="L165" s="65"/>
      <c r="M165" s="65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66"/>
      <c r="AN165" s="66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</row>
    <row r="166" ht="15.75" customHeight="1">
      <c r="A166" s="59"/>
      <c r="B166" s="102"/>
      <c r="C166" s="69"/>
      <c r="D166" s="103"/>
      <c r="E166" s="104"/>
      <c r="F166" s="105"/>
      <c r="G166" s="96">
        <f t="shared" si="2"/>
        <v>0</v>
      </c>
      <c r="H166" s="97">
        <f t="shared" si="3"/>
        <v>0</v>
      </c>
      <c r="I166" s="105"/>
      <c r="J166" s="71"/>
      <c r="K166" s="59"/>
      <c r="L166" s="65"/>
      <c r="M166" s="65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66"/>
      <c r="AN166" s="66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</row>
    <row r="167" ht="15.75" customHeight="1">
      <c r="A167" s="59"/>
      <c r="B167" s="102"/>
      <c r="C167" s="71"/>
      <c r="D167" s="103"/>
      <c r="E167" s="104"/>
      <c r="F167" s="105"/>
      <c r="G167" s="96">
        <f t="shared" si="2"/>
        <v>0</v>
      </c>
      <c r="H167" s="97">
        <f t="shared" si="3"/>
        <v>0</v>
      </c>
      <c r="I167" s="105"/>
      <c r="J167" s="71"/>
      <c r="K167" s="59"/>
      <c r="L167" s="65"/>
      <c r="M167" s="65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66"/>
      <c r="AN167" s="66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</row>
    <row r="168" ht="15.75" customHeight="1">
      <c r="A168" s="59"/>
      <c r="B168" s="102"/>
      <c r="C168" s="69"/>
      <c r="D168" s="103"/>
      <c r="E168" s="104"/>
      <c r="F168" s="105"/>
      <c r="G168" s="96">
        <f t="shared" si="2"/>
        <v>0</v>
      </c>
      <c r="H168" s="97">
        <f t="shared" si="3"/>
        <v>0</v>
      </c>
      <c r="I168" s="105"/>
      <c r="J168" s="105"/>
      <c r="K168" s="59"/>
      <c r="L168" s="65"/>
      <c r="M168" s="65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66"/>
      <c r="AN168" s="66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</row>
    <row r="169" ht="15.75" customHeight="1">
      <c r="A169" s="59"/>
      <c r="B169" s="102"/>
      <c r="C169" s="69"/>
      <c r="D169" s="103"/>
      <c r="E169" s="104"/>
      <c r="F169" s="105"/>
      <c r="G169" s="96">
        <f t="shared" si="2"/>
        <v>0</v>
      </c>
      <c r="H169" s="97">
        <f t="shared" si="3"/>
        <v>0</v>
      </c>
      <c r="I169" s="105"/>
      <c r="J169" s="105"/>
      <c r="K169" s="59"/>
      <c r="L169" s="65"/>
      <c r="M169" s="65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66"/>
      <c r="AN169" s="66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</row>
    <row r="170" ht="15.75" customHeight="1">
      <c r="A170" s="59"/>
      <c r="B170" s="102"/>
      <c r="C170" s="69"/>
      <c r="D170" s="103"/>
      <c r="E170" s="104"/>
      <c r="F170" s="105"/>
      <c r="G170" s="96">
        <f t="shared" si="2"/>
        <v>0</v>
      </c>
      <c r="H170" s="97">
        <f t="shared" si="3"/>
        <v>0</v>
      </c>
      <c r="I170" s="105"/>
      <c r="J170" s="105"/>
      <c r="K170" s="59"/>
      <c r="L170" s="65"/>
      <c r="M170" s="65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66"/>
      <c r="AN170" s="66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</row>
    <row r="171" ht="15.75" customHeight="1">
      <c r="A171" s="59"/>
      <c r="B171" s="102"/>
      <c r="C171" s="69"/>
      <c r="D171" s="103"/>
      <c r="E171" s="104"/>
      <c r="F171" s="105"/>
      <c r="G171" s="96">
        <f t="shared" si="2"/>
        <v>0</v>
      </c>
      <c r="H171" s="97">
        <f t="shared" si="3"/>
        <v>0</v>
      </c>
      <c r="I171" s="105"/>
      <c r="J171" s="105"/>
      <c r="K171" s="59"/>
      <c r="L171" s="65"/>
      <c r="M171" s="65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66"/>
      <c r="AN171" s="66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</row>
    <row r="172" ht="15.75" customHeight="1">
      <c r="A172" s="59"/>
      <c r="B172" s="102"/>
      <c r="C172" s="69"/>
      <c r="D172" s="103"/>
      <c r="E172" s="104"/>
      <c r="F172" s="105"/>
      <c r="G172" s="96">
        <f t="shared" si="2"/>
        <v>0</v>
      </c>
      <c r="H172" s="97">
        <f t="shared" si="3"/>
        <v>0</v>
      </c>
      <c r="I172" s="105"/>
      <c r="J172" s="105"/>
      <c r="K172" s="59"/>
      <c r="L172" s="65"/>
      <c r="M172" s="65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66"/>
      <c r="AN172" s="66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</row>
    <row r="173" ht="15.75" customHeight="1">
      <c r="A173" s="59"/>
      <c r="B173" s="102"/>
      <c r="C173" s="69"/>
      <c r="D173" s="103"/>
      <c r="E173" s="104"/>
      <c r="F173" s="105"/>
      <c r="G173" s="96">
        <f t="shared" si="2"/>
        <v>0</v>
      </c>
      <c r="H173" s="97">
        <f t="shared" si="3"/>
        <v>0</v>
      </c>
      <c r="I173" s="105"/>
      <c r="J173" s="105"/>
      <c r="K173" s="59"/>
      <c r="L173" s="65"/>
      <c r="M173" s="65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66"/>
      <c r="AN173" s="66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</row>
    <row r="174" ht="15.75" customHeight="1">
      <c r="A174" s="59"/>
      <c r="B174" s="102"/>
      <c r="C174" s="69"/>
      <c r="D174" s="103"/>
      <c r="E174" s="104"/>
      <c r="F174" s="105"/>
      <c r="G174" s="96">
        <f t="shared" si="2"/>
        <v>0</v>
      </c>
      <c r="H174" s="97">
        <f t="shared" si="3"/>
        <v>0</v>
      </c>
      <c r="I174" s="105"/>
      <c r="J174" s="105"/>
      <c r="K174" s="59"/>
      <c r="L174" s="65"/>
      <c r="M174" s="65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66"/>
      <c r="AN174" s="66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</row>
    <row r="175" ht="15.75" customHeight="1">
      <c r="A175" s="59"/>
      <c r="B175" s="102"/>
      <c r="C175" s="69"/>
      <c r="D175" s="103"/>
      <c r="E175" s="104"/>
      <c r="F175" s="105"/>
      <c r="G175" s="96">
        <f t="shared" si="2"/>
        <v>0</v>
      </c>
      <c r="H175" s="97">
        <f t="shared" si="3"/>
        <v>0</v>
      </c>
      <c r="I175" s="105"/>
      <c r="J175" s="105"/>
      <c r="K175" s="59"/>
      <c r="L175" s="65"/>
      <c r="M175" s="65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66"/>
      <c r="AN175" s="66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</row>
    <row r="176" ht="15.75" customHeight="1">
      <c r="A176" s="59"/>
      <c r="B176" s="102"/>
      <c r="C176" s="69"/>
      <c r="D176" s="103"/>
      <c r="E176" s="104"/>
      <c r="F176" s="105"/>
      <c r="G176" s="96">
        <f t="shared" si="2"/>
        <v>0</v>
      </c>
      <c r="H176" s="97">
        <f t="shared" si="3"/>
        <v>0</v>
      </c>
      <c r="I176" s="105"/>
      <c r="J176" s="105"/>
      <c r="K176" s="59"/>
      <c r="L176" s="65"/>
      <c r="M176" s="65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66"/>
      <c r="AN176" s="66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</row>
    <row r="177" ht="15.75" customHeight="1">
      <c r="A177" s="59"/>
      <c r="B177" s="102"/>
      <c r="C177" s="71"/>
      <c r="D177" s="103"/>
      <c r="E177" s="104"/>
      <c r="F177" s="105"/>
      <c r="G177" s="96">
        <f t="shared" si="2"/>
        <v>0</v>
      </c>
      <c r="H177" s="97">
        <f t="shared" si="3"/>
        <v>0</v>
      </c>
      <c r="I177" s="105"/>
      <c r="J177" s="105"/>
      <c r="K177" s="59"/>
      <c r="L177" s="65"/>
      <c r="M177" s="65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66"/>
      <c r="AN177" s="66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</row>
    <row r="178" ht="15.75" customHeight="1">
      <c r="A178" s="59"/>
      <c r="B178" s="102"/>
      <c r="C178" s="69"/>
      <c r="D178" s="103"/>
      <c r="E178" s="104"/>
      <c r="F178" s="105"/>
      <c r="G178" s="96">
        <f t="shared" si="2"/>
        <v>0</v>
      </c>
      <c r="H178" s="97">
        <f t="shared" si="3"/>
        <v>0</v>
      </c>
      <c r="I178" s="105"/>
      <c r="J178" s="105"/>
      <c r="K178" s="59"/>
      <c r="L178" s="65"/>
      <c r="M178" s="65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66"/>
      <c r="AN178" s="66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</row>
    <row r="179" ht="15.75" customHeight="1">
      <c r="A179" s="59"/>
      <c r="B179" s="102"/>
      <c r="C179" s="69"/>
      <c r="D179" s="103"/>
      <c r="E179" s="104"/>
      <c r="F179" s="105"/>
      <c r="G179" s="96">
        <f t="shared" si="2"/>
        <v>0</v>
      </c>
      <c r="H179" s="97">
        <f t="shared" si="3"/>
        <v>0</v>
      </c>
      <c r="I179" s="105"/>
      <c r="J179" s="105"/>
      <c r="K179" s="59"/>
      <c r="L179" s="65"/>
      <c r="M179" s="65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66"/>
      <c r="AN179" s="66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</row>
    <row r="180" ht="15.75" customHeight="1">
      <c r="A180" s="59"/>
      <c r="B180" s="102"/>
      <c r="C180" s="69"/>
      <c r="D180" s="103"/>
      <c r="E180" s="104"/>
      <c r="F180" s="105"/>
      <c r="G180" s="96">
        <f t="shared" si="2"/>
        <v>0</v>
      </c>
      <c r="H180" s="97">
        <f t="shared" si="3"/>
        <v>0</v>
      </c>
      <c r="I180" s="105"/>
      <c r="J180" s="105"/>
      <c r="K180" s="59"/>
      <c r="L180" s="65"/>
      <c r="M180" s="65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66"/>
      <c r="AN180" s="66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</row>
    <row r="181" ht="15.75" customHeight="1">
      <c r="A181" s="59"/>
      <c r="B181" s="102"/>
      <c r="C181" s="69"/>
      <c r="D181" s="103"/>
      <c r="E181" s="104"/>
      <c r="F181" s="105"/>
      <c r="G181" s="96">
        <f t="shared" si="2"/>
        <v>0</v>
      </c>
      <c r="H181" s="97">
        <f t="shared" si="3"/>
        <v>0</v>
      </c>
      <c r="I181" s="105"/>
      <c r="J181" s="105"/>
      <c r="K181" s="59"/>
      <c r="L181" s="65"/>
      <c r="M181" s="65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66"/>
      <c r="AN181" s="66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</row>
    <row r="182" ht="15.75" customHeight="1">
      <c r="A182" s="59"/>
      <c r="B182" s="102"/>
      <c r="C182" s="69"/>
      <c r="D182" s="103"/>
      <c r="E182" s="104"/>
      <c r="F182" s="105"/>
      <c r="G182" s="96">
        <f t="shared" si="2"/>
        <v>0</v>
      </c>
      <c r="H182" s="97">
        <f t="shared" si="3"/>
        <v>0</v>
      </c>
      <c r="I182" s="105"/>
      <c r="J182" s="105"/>
      <c r="K182" s="59"/>
      <c r="L182" s="65"/>
      <c r="M182" s="65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66"/>
      <c r="AN182" s="66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</row>
    <row r="183" ht="15.75" customHeight="1">
      <c r="A183" s="59"/>
      <c r="B183" s="102"/>
      <c r="C183" s="69"/>
      <c r="D183" s="103"/>
      <c r="E183" s="104"/>
      <c r="F183" s="105"/>
      <c r="G183" s="96">
        <f t="shared" si="2"/>
        <v>0</v>
      </c>
      <c r="H183" s="97">
        <f t="shared" si="3"/>
        <v>0</v>
      </c>
      <c r="I183" s="105"/>
      <c r="J183" s="105"/>
      <c r="K183" s="59"/>
      <c r="L183" s="65"/>
      <c r="M183" s="65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66"/>
      <c r="AN183" s="66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</row>
    <row r="184" ht="15.75" customHeight="1">
      <c r="A184" s="59"/>
      <c r="B184" s="102"/>
      <c r="C184" s="69"/>
      <c r="D184" s="103"/>
      <c r="E184" s="104"/>
      <c r="F184" s="105"/>
      <c r="G184" s="96">
        <f t="shared" si="2"/>
        <v>0</v>
      </c>
      <c r="H184" s="97">
        <f t="shared" si="3"/>
        <v>0</v>
      </c>
      <c r="I184" s="105"/>
      <c r="J184" s="105"/>
      <c r="K184" s="59"/>
      <c r="L184" s="65"/>
      <c r="M184" s="65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66"/>
      <c r="AN184" s="66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</row>
    <row r="185" ht="15.75" customHeight="1">
      <c r="A185" s="59"/>
      <c r="B185" s="102"/>
      <c r="C185" s="69"/>
      <c r="D185" s="103"/>
      <c r="E185" s="104"/>
      <c r="F185" s="105"/>
      <c r="G185" s="96">
        <f t="shared" si="2"/>
        <v>0</v>
      </c>
      <c r="H185" s="97">
        <f t="shared" si="3"/>
        <v>0</v>
      </c>
      <c r="I185" s="105"/>
      <c r="J185" s="105"/>
      <c r="K185" s="59"/>
      <c r="L185" s="65"/>
      <c r="M185" s="65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66"/>
      <c r="AN185" s="66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</row>
    <row r="186" ht="15.75" customHeight="1">
      <c r="A186" s="59"/>
      <c r="B186" s="102"/>
      <c r="C186" s="69"/>
      <c r="D186" s="103"/>
      <c r="E186" s="104"/>
      <c r="F186" s="105"/>
      <c r="G186" s="96">
        <f t="shared" si="2"/>
        <v>0</v>
      </c>
      <c r="H186" s="97">
        <f t="shared" si="3"/>
        <v>0</v>
      </c>
      <c r="I186" s="105"/>
      <c r="J186" s="105"/>
      <c r="K186" s="59"/>
      <c r="L186" s="65"/>
      <c r="M186" s="65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66"/>
      <c r="AN186" s="66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</row>
    <row r="187" ht="15.75" customHeight="1">
      <c r="A187" s="59"/>
      <c r="B187" s="102"/>
      <c r="C187" s="71"/>
      <c r="D187" s="103"/>
      <c r="E187" s="104"/>
      <c r="F187" s="105"/>
      <c r="G187" s="96">
        <f t="shared" si="2"/>
        <v>0</v>
      </c>
      <c r="H187" s="97">
        <f t="shared" si="3"/>
        <v>0</v>
      </c>
      <c r="I187" s="105"/>
      <c r="J187" s="105"/>
      <c r="K187" s="59"/>
      <c r="L187" s="65"/>
      <c r="M187" s="65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66"/>
      <c r="AN187" s="66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</row>
    <row r="188" ht="15.75" customHeight="1">
      <c r="A188" s="59"/>
      <c r="B188" s="102"/>
      <c r="C188" s="69"/>
      <c r="D188" s="103"/>
      <c r="E188" s="104"/>
      <c r="F188" s="105"/>
      <c r="G188" s="96">
        <f t="shared" si="2"/>
        <v>0</v>
      </c>
      <c r="H188" s="97">
        <f t="shared" si="3"/>
        <v>0</v>
      </c>
      <c r="I188" s="105"/>
      <c r="J188" s="105"/>
      <c r="K188" s="59"/>
      <c r="L188" s="65"/>
      <c r="M188" s="65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66"/>
      <c r="AN188" s="66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</row>
    <row r="189" ht="15.75" customHeight="1">
      <c r="A189" s="59"/>
      <c r="B189" s="102"/>
      <c r="C189" s="69"/>
      <c r="D189" s="103"/>
      <c r="E189" s="104"/>
      <c r="F189" s="105"/>
      <c r="G189" s="96">
        <f t="shared" si="2"/>
        <v>0</v>
      </c>
      <c r="H189" s="97">
        <f t="shared" si="3"/>
        <v>0</v>
      </c>
      <c r="I189" s="105"/>
      <c r="J189" s="105"/>
      <c r="K189" s="59"/>
      <c r="L189" s="65"/>
      <c r="M189" s="65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66"/>
      <c r="AN189" s="66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</row>
    <row r="190" ht="15.75" customHeight="1">
      <c r="A190" s="59"/>
      <c r="B190" s="102"/>
      <c r="C190" s="69"/>
      <c r="D190" s="103"/>
      <c r="E190" s="104"/>
      <c r="F190" s="105"/>
      <c r="G190" s="96">
        <f t="shared" si="2"/>
        <v>0</v>
      </c>
      <c r="H190" s="97">
        <f t="shared" si="3"/>
        <v>0</v>
      </c>
      <c r="I190" s="105"/>
      <c r="J190" s="105"/>
      <c r="K190" s="59"/>
      <c r="L190" s="65"/>
      <c r="M190" s="65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66"/>
      <c r="AN190" s="66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</row>
    <row r="191" ht="15.75" customHeight="1">
      <c r="A191" s="59"/>
      <c r="B191" s="102"/>
      <c r="C191" s="69"/>
      <c r="D191" s="103"/>
      <c r="E191" s="104"/>
      <c r="F191" s="105"/>
      <c r="G191" s="96">
        <f t="shared" si="2"/>
        <v>0</v>
      </c>
      <c r="H191" s="97">
        <f t="shared" si="3"/>
        <v>0</v>
      </c>
      <c r="I191" s="105"/>
      <c r="J191" s="105"/>
      <c r="K191" s="59"/>
      <c r="L191" s="65"/>
      <c r="M191" s="65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66"/>
      <c r="AN191" s="66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</row>
    <row r="192" ht="15.75" customHeight="1">
      <c r="A192" s="59"/>
      <c r="B192" s="102"/>
      <c r="C192" s="69"/>
      <c r="D192" s="103"/>
      <c r="E192" s="104"/>
      <c r="F192" s="105"/>
      <c r="G192" s="96">
        <f t="shared" si="2"/>
        <v>0</v>
      </c>
      <c r="H192" s="97">
        <f t="shared" si="3"/>
        <v>0</v>
      </c>
      <c r="I192" s="105"/>
      <c r="J192" s="105"/>
      <c r="K192" s="59"/>
      <c r="L192" s="65"/>
      <c r="M192" s="65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66"/>
      <c r="AN192" s="66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</row>
    <row r="193" ht="15.75" customHeight="1">
      <c r="A193" s="59"/>
      <c r="B193" s="102"/>
      <c r="C193" s="69"/>
      <c r="D193" s="103"/>
      <c r="E193" s="104"/>
      <c r="F193" s="105"/>
      <c r="G193" s="96">
        <f t="shared" si="2"/>
        <v>0</v>
      </c>
      <c r="H193" s="97">
        <f t="shared" si="3"/>
        <v>0</v>
      </c>
      <c r="I193" s="105"/>
      <c r="J193" s="105"/>
      <c r="K193" s="59"/>
      <c r="L193" s="65"/>
      <c r="M193" s="65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66"/>
      <c r="AN193" s="66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</row>
    <row r="194" ht="15.75" customHeight="1">
      <c r="A194" s="59"/>
      <c r="B194" s="102"/>
      <c r="C194" s="69"/>
      <c r="D194" s="103"/>
      <c r="E194" s="104"/>
      <c r="F194" s="105"/>
      <c r="G194" s="96">
        <f t="shared" si="2"/>
        <v>0</v>
      </c>
      <c r="H194" s="97">
        <f t="shared" si="3"/>
        <v>0</v>
      </c>
      <c r="I194" s="105"/>
      <c r="J194" s="105"/>
      <c r="K194" s="59"/>
      <c r="L194" s="65"/>
      <c r="M194" s="65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66"/>
      <c r="AN194" s="66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</row>
    <row r="195" ht="15.75" customHeight="1">
      <c r="A195" s="59"/>
      <c r="B195" s="102"/>
      <c r="C195" s="69"/>
      <c r="D195" s="103"/>
      <c r="E195" s="104"/>
      <c r="F195" s="105"/>
      <c r="G195" s="96">
        <f t="shared" si="2"/>
        <v>0</v>
      </c>
      <c r="H195" s="97">
        <f t="shared" si="3"/>
        <v>0</v>
      </c>
      <c r="I195" s="105"/>
      <c r="J195" s="105"/>
      <c r="K195" s="59"/>
      <c r="L195" s="65"/>
      <c r="M195" s="65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66"/>
      <c r="AN195" s="66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</row>
    <row r="196" ht="15.75" customHeight="1">
      <c r="A196" s="59"/>
      <c r="B196" s="102"/>
      <c r="C196" s="69"/>
      <c r="D196" s="103"/>
      <c r="E196" s="104"/>
      <c r="F196" s="105"/>
      <c r="G196" s="96">
        <f t="shared" si="2"/>
        <v>0</v>
      </c>
      <c r="H196" s="97">
        <f t="shared" si="3"/>
        <v>0</v>
      </c>
      <c r="I196" s="105"/>
      <c r="J196" s="105"/>
      <c r="K196" s="59"/>
      <c r="L196" s="65"/>
      <c r="M196" s="65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66"/>
      <c r="AN196" s="66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</row>
    <row r="197" ht="15.75" customHeight="1">
      <c r="A197" s="59"/>
      <c r="B197" s="102"/>
      <c r="C197" s="71"/>
      <c r="D197" s="103"/>
      <c r="E197" s="104"/>
      <c r="F197" s="105"/>
      <c r="G197" s="96">
        <f t="shared" si="2"/>
        <v>0</v>
      </c>
      <c r="H197" s="97">
        <f t="shared" si="3"/>
        <v>0</v>
      </c>
      <c r="I197" s="105"/>
      <c r="J197" s="105"/>
      <c r="K197" s="59"/>
      <c r="L197" s="65"/>
      <c r="M197" s="65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66"/>
      <c r="AN197" s="66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</row>
    <row r="198" ht="15.75" customHeight="1">
      <c r="A198" s="59"/>
      <c r="B198" s="102"/>
      <c r="C198" s="105"/>
      <c r="D198" s="103"/>
      <c r="E198" s="104"/>
      <c r="F198" s="105"/>
      <c r="G198" s="96">
        <f t="shared" si="2"/>
        <v>0</v>
      </c>
      <c r="H198" s="97">
        <f t="shared" si="3"/>
        <v>0</v>
      </c>
      <c r="I198" s="105"/>
      <c r="J198" s="105"/>
      <c r="K198" s="59"/>
      <c r="L198" s="65"/>
      <c r="M198" s="65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66"/>
      <c r="AN198" s="66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</row>
    <row r="199" ht="15.75" customHeight="1">
      <c r="A199" s="59"/>
      <c r="B199" s="102"/>
      <c r="C199" s="105"/>
      <c r="D199" s="103"/>
      <c r="E199" s="104"/>
      <c r="F199" s="105"/>
      <c r="G199" s="96">
        <f t="shared" si="2"/>
        <v>0</v>
      </c>
      <c r="H199" s="97">
        <f t="shared" si="3"/>
        <v>0</v>
      </c>
      <c r="I199" s="105"/>
      <c r="J199" s="105"/>
      <c r="K199" s="59"/>
      <c r="L199" s="65"/>
      <c r="M199" s="65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66"/>
      <c r="AN199" s="66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</row>
    <row r="200" ht="15.75" customHeight="1">
      <c r="A200" s="59"/>
      <c r="B200" s="102"/>
      <c r="C200" s="105"/>
      <c r="D200" s="103"/>
      <c r="E200" s="104"/>
      <c r="F200" s="105"/>
      <c r="G200" s="96">
        <f t="shared" si="2"/>
        <v>0</v>
      </c>
      <c r="H200" s="97">
        <f t="shared" si="3"/>
        <v>0</v>
      </c>
      <c r="I200" s="105"/>
      <c r="J200" s="105"/>
      <c r="K200" s="59"/>
      <c r="L200" s="65"/>
      <c r="M200" s="65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66"/>
      <c r="AN200" s="66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</row>
    <row r="201" ht="15.75" customHeight="1">
      <c r="A201" s="59"/>
      <c r="B201" s="102"/>
      <c r="C201" s="105"/>
      <c r="D201" s="103"/>
      <c r="E201" s="104"/>
      <c r="F201" s="105"/>
      <c r="G201" s="96">
        <f t="shared" si="2"/>
        <v>0</v>
      </c>
      <c r="H201" s="97">
        <f t="shared" si="3"/>
        <v>0</v>
      </c>
      <c r="I201" s="105"/>
      <c r="J201" s="105"/>
      <c r="K201" s="59"/>
      <c r="L201" s="65"/>
      <c r="M201" s="65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66"/>
      <c r="AN201" s="66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</row>
    <row r="202" ht="15.75" customHeight="1">
      <c r="A202" s="59"/>
      <c r="B202" s="102"/>
      <c r="C202" s="105"/>
      <c r="D202" s="103"/>
      <c r="E202" s="104"/>
      <c r="F202" s="105"/>
      <c r="G202" s="96">
        <f t="shared" si="2"/>
        <v>0</v>
      </c>
      <c r="H202" s="97">
        <f t="shared" si="3"/>
        <v>0</v>
      </c>
      <c r="I202" s="105"/>
      <c r="J202" s="105"/>
      <c r="K202" s="59"/>
      <c r="L202" s="65"/>
      <c r="M202" s="65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66"/>
      <c r="AN202" s="66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</row>
    <row r="203" ht="15.75" customHeight="1">
      <c r="A203" s="59"/>
      <c r="B203" s="102"/>
      <c r="C203" s="105"/>
      <c r="D203" s="103"/>
      <c r="E203" s="104"/>
      <c r="F203" s="105"/>
      <c r="G203" s="96">
        <f t="shared" si="2"/>
        <v>0</v>
      </c>
      <c r="H203" s="97">
        <f t="shared" si="3"/>
        <v>0</v>
      </c>
      <c r="I203" s="105"/>
      <c r="J203" s="105"/>
      <c r="K203" s="59"/>
      <c r="L203" s="65"/>
      <c r="M203" s="65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66"/>
      <c r="AN203" s="66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</row>
    <row r="204" ht="15.75" customHeight="1">
      <c r="A204" s="59"/>
      <c r="B204" s="102"/>
      <c r="C204" s="105"/>
      <c r="D204" s="103"/>
      <c r="E204" s="104"/>
      <c r="F204" s="105"/>
      <c r="G204" s="96">
        <f t="shared" si="2"/>
        <v>0</v>
      </c>
      <c r="H204" s="97">
        <f t="shared" si="3"/>
        <v>0</v>
      </c>
      <c r="I204" s="105"/>
      <c r="J204" s="105"/>
      <c r="K204" s="59"/>
      <c r="L204" s="65"/>
      <c r="M204" s="65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66"/>
      <c r="AN204" s="66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</row>
    <row r="205" ht="15.75" customHeight="1">
      <c r="A205" s="59"/>
      <c r="B205" s="102"/>
      <c r="C205" s="105"/>
      <c r="D205" s="103"/>
      <c r="E205" s="104"/>
      <c r="F205" s="105"/>
      <c r="G205" s="96">
        <f t="shared" si="2"/>
        <v>0</v>
      </c>
      <c r="H205" s="97">
        <f t="shared" si="3"/>
        <v>0</v>
      </c>
      <c r="I205" s="105"/>
      <c r="J205" s="105"/>
      <c r="K205" s="59"/>
      <c r="L205" s="65"/>
      <c r="M205" s="65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66"/>
      <c r="AN205" s="66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</row>
    <row r="206" ht="15.75" customHeight="1">
      <c r="A206" s="59"/>
      <c r="B206" s="102"/>
      <c r="C206" s="105"/>
      <c r="D206" s="103"/>
      <c r="E206" s="104"/>
      <c r="F206" s="105"/>
      <c r="G206" s="96">
        <f t="shared" si="2"/>
        <v>0</v>
      </c>
      <c r="H206" s="97">
        <f t="shared" si="3"/>
        <v>0</v>
      </c>
      <c r="I206" s="105"/>
      <c r="J206" s="105"/>
      <c r="K206" s="59"/>
      <c r="L206" s="65"/>
      <c r="M206" s="65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66"/>
      <c r="AN206" s="66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</row>
    <row r="207" ht="15.75" customHeight="1">
      <c r="A207" s="59"/>
      <c r="B207" s="102"/>
      <c r="C207" s="105"/>
      <c r="D207" s="103"/>
      <c r="E207" s="104"/>
      <c r="F207" s="105"/>
      <c r="G207" s="96">
        <f t="shared" si="2"/>
        <v>0</v>
      </c>
      <c r="H207" s="97">
        <f t="shared" si="3"/>
        <v>0</v>
      </c>
      <c r="I207" s="105"/>
      <c r="J207" s="105"/>
      <c r="K207" s="59"/>
      <c r="L207" s="65"/>
      <c r="M207" s="65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66"/>
      <c r="AN207" s="66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</row>
    <row r="208" ht="15.75" customHeight="1">
      <c r="A208" s="59"/>
      <c r="B208" s="102"/>
      <c r="C208" s="105"/>
      <c r="D208" s="103"/>
      <c r="E208" s="104"/>
      <c r="F208" s="105"/>
      <c r="G208" s="96">
        <f t="shared" si="2"/>
        <v>0</v>
      </c>
      <c r="H208" s="97">
        <f t="shared" si="3"/>
        <v>0</v>
      </c>
      <c r="I208" s="105"/>
      <c r="J208" s="105"/>
      <c r="K208" s="59"/>
      <c r="L208" s="65"/>
      <c r="M208" s="65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66"/>
      <c r="AN208" s="66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</row>
    <row r="209" ht="15.75" customHeight="1">
      <c r="A209" s="59"/>
      <c r="B209" s="102"/>
      <c r="C209" s="105"/>
      <c r="D209" s="103"/>
      <c r="E209" s="104"/>
      <c r="F209" s="105"/>
      <c r="G209" s="96">
        <f t="shared" si="2"/>
        <v>0</v>
      </c>
      <c r="H209" s="97">
        <f t="shared" si="3"/>
        <v>0</v>
      </c>
      <c r="I209" s="105"/>
      <c r="J209" s="105"/>
      <c r="K209" s="59"/>
      <c r="L209" s="65"/>
      <c r="M209" s="65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66"/>
      <c r="AN209" s="66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</row>
    <row r="210" ht="15.75" customHeight="1">
      <c r="A210" s="59"/>
      <c r="B210" s="102"/>
      <c r="C210" s="105"/>
      <c r="D210" s="103"/>
      <c r="E210" s="104"/>
      <c r="F210" s="105"/>
      <c r="G210" s="96">
        <f t="shared" si="2"/>
        <v>0</v>
      </c>
      <c r="H210" s="97">
        <f t="shared" si="3"/>
        <v>0</v>
      </c>
      <c r="I210" s="105"/>
      <c r="J210" s="105"/>
      <c r="K210" s="59"/>
      <c r="L210" s="65"/>
      <c r="M210" s="65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66"/>
      <c r="AN210" s="66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</row>
    <row r="211" ht="15.75" customHeight="1">
      <c r="A211" s="59"/>
      <c r="B211" s="102"/>
      <c r="C211" s="105"/>
      <c r="D211" s="103"/>
      <c r="E211" s="104"/>
      <c r="F211" s="105"/>
      <c r="G211" s="96">
        <f t="shared" si="2"/>
        <v>0</v>
      </c>
      <c r="H211" s="97">
        <f t="shared" si="3"/>
        <v>0</v>
      </c>
      <c r="I211" s="105"/>
      <c r="J211" s="105"/>
      <c r="K211" s="59"/>
      <c r="L211" s="65"/>
      <c r="M211" s="65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66"/>
      <c r="AN211" s="66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</row>
    <row r="212" ht="15.75" customHeight="1">
      <c r="A212" s="59"/>
      <c r="B212" s="102"/>
      <c r="C212" s="105"/>
      <c r="D212" s="103"/>
      <c r="E212" s="104"/>
      <c r="F212" s="105"/>
      <c r="G212" s="96">
        <f t="shared" si="2"/>
        <v>0</v>
      </c>
      <c r="H212" s="97">
        <f t="shared" si="3"/>
        <v>0</v>
      </c>
      <c r="I212" s="105"/>
      <c r="J212" s="105"/>
      <c r="K212" s="59"/>
      <c r="L212" s="65"/>
      <c r="M212" s="65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66"/>
      <c r="AN212" s="66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</row>
    <row r="213" ht="15.75" customHeight="1">
      <c r="A213" s="59"/>
      <c r="B213" s="102"/>
      <c r="C213" s="105"/>
      <c r="D213" s="103"/>
      <c r="E213" s="104"/>
      <c r="F213" s="105"/>
      <c r="G213" s="96">
        <f t="shared" si="2"/>
        <v>0</v>
      </c>
      <c r="H213" s="97">
        <f t="shared" si="3"/>
        <v>0</v>
      </c>
      <c r="I213" s="105"/>
      <c r="J213" s="105"/>
      <c r="K213" s="59"/>
      <c r="L213" s="65"/>
      <c r="M213" s="65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66"/>
      <c r="AN213" s="66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</row>
    <row r="214" ht="15.75" customHeight="1">
      <c r="A214" s="59"/>
      <c r="B214" s="102"/>
      <c r="C214" s="105"/>
      <c r="D214" s="103"/>
      <c r="E214" s="104"/>
      <c r="F214" s="105"/>
      <c r="G214" s="96">
        <f t="shared" si="2"/>
        <v>0</v>
      </c>
      <c r="H214" s="97">
        <f t="shared" si="3"/>
        <v>0</v>
      </c>
      <c r="I214" s="105"/>
      <c r="J214" s="105"/>
      <c r="K214" s="59"/>
      <c r="L214" s="65"/>
      <c r="M214" s="65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66"/>
      <c r="AN214" s="66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</row>
    <row r="215" ht="15.75" customHeight="1">
      <c r="A215" s="59"/>
      <c r="B215" s="102"/>
      <c r="C215" s="105"/>
      <c r="D215" s="103"/>
      <c r="E215" s="104"/>
      <c r="F215" s="105"/>
      <c r="G215" s="96">
        <f t="shared" si="2"/>
        <v>0</v>
      </c>
      <c r="H215" s="97">
        <f t="shared" si="3"/>
        <v>0</v>
      </c>
      <c r="I215" s="105"/>
      <c r="J215" s="105"/>
      <c r="K215" s="59"/>
      <c r="L215" s="65"/>
      <c r="M215" s="65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66"/>
      <c r="AN215" s="66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</row>
    <row r="216" ht="15.75" customHeight="1">
      <c r="A216" s="59"/>
      <c r="B216" s="102"/>
      <c r="C216" s="105"/>
      <c r="D216" s="103"/>
      <c r="E216" s="104"/>
      <c r="F216" s="105"/>
      <c r="G216" s="96">
        <f t="shared" si="2"/>
        <v>0</v>
      </c>
      <c r="H216" s="97">
        <f t="shared" si="3"/>
        <v>0</v>
      </c>
      <c r="I216" s="105"/>
      <c r="J216" s="105"/>
      <c r="K216" s="59"/>
      <c r="L216" s="65"/>
      <c r="M216" s="65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66"/>
      <c r="AN216" s="66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</row>
    <row r="217" ht="15.75" customHeight="1">
      <c r="A217" s="59"/>
      <c r="B217" s="102"/>
      <c r="C217" s="105"/>
      <c r="D217" s="103"/>
      <c r="E217" s="104"/>
      <c r="F217" s="105"/>
      <c r="G217" s="96">
        <f t="shared" si="2"/>
        <v>0</v>
      </c>
      <c r="H217" s="97">
        <f t="shared" si="3"/>
        <v>0</v>
      </c>
      <c r="I217" s="105"/>
      <c r="J217" s="105"/>
      <c r="K217" s="59"/>
      <c r="L217" s="65"/>
      <c r="M217" s="65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66"/>
      <c r="AN217" s="66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</row>
    <row r="218" ht="15.75" customHeight="1">
      <c r="A218" s="59"/>
      <c r="B218" s="102"/>
      <c r="C218" s="105"/>
      <c r="D218" s="103"/>
      <c r="E218" s="104"/>
      <c r="F218" s="105"/>
      <c r="G218" s="96">
        <f t="shared" si="2"/>
        <v>0</v>
      </c>
      <c r="H218" s="97">
        <f t="shared" si="3"/>
        <v>0</v>
      </c>
      <c r="I218" s="105"/>
      <c r="J218" s="105"/>
      <c r="K218" s="59"/>
      <c r="L218" s="65"/>
      <c r="M218" s="65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66"/>
      <c r="AN218" s="66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</row>
    <row r="219" ht="15.75" customHeight="1">
      <c r="A219" s="59"/>
      <c r="B219" s="102"/>
      <c r="C219" s="105"/>
      <c r="D219" s="103"/>
      <c r="E219" s="104"/>
      <c r="F219" s="105"/>
      <c r="G219" s="96">
        <f t="shared" si="2"/>
        <v>0</v>
      </c>
      <c r="H219" s="97">
        <f t="shared" si="3"/>
        <v>0</v>
      </c>
      <c r="I219" s="105"/>
      <c r="J219" s="105"/>
      <c r="K219" s="59"/>
      <c r="L219" s="65"/>
      <c r="M219" s="65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66"/>
      <c r="AN219" s="66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</row>
    <row r="220" ht="15.75" customHeight="1">
      <c r="A220" s="59"/>
      <c r="B220" s="102"/>
      <c r="C220" s="105"/>
      <c r="D220" s="103"/>
      <c r="E220" s="104"/>
      <c r="F220" s="105"/>
      <c r="G220" s="96">
        <f t="shared" si="2"/>
        <v>0</v>
      </c>
      <c r="H220" s="97">
        <f t="shared" si="3"/>
        <v>0</v>
      </c>
      <c r="I220" s="105"/>
      <c r="J220" s="105"/>
      <c r="K220" s="59"/>
      <c r="L220" s="65"/>
      <c r="M220" s="65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66"/>
      <c r="AN220" s="66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</row>
    <row r="221" ht="15.75" customHeight="1">
      <c r="A221" s="59"/>
      <c r="B221" s="102"/>
      <c r="C221" s="105"/>
      <c r="D221" s="103"/>
      <c r="E221" s="104"/>
      <c r="F221" s="105"/>
      <c r="G221" s="96">
        <f t="shared" si="2"/>
        <v>0</v>
      </c>
      <c r="H221" s="97">
        <f t="shared" si="3"/>
        <v>0</v>
      </c>
      <c r="I221" s="105"/>
      <c r="J221" s="105"/>
      <c r="K221" s="59"/>
      <c r="L221" s="65"/>
      <c r="M221" s="65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66"/>
      <c r="AN221" s="66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</row>
    <row r="222" ht="15.75" customHeight="1">
      <c r="A222" s="59"/>
      <c r="B222" s="102"/>
      <c r="C222" s="105"/>
      <c r="D222" s="103"/>
      <c r="E222" s="104"/>
      <c r="F222" s="105"/>
      <c r="G222" s="96">
        <f t="shared" si="2"/>
        <v>0</v>
      </c>
      <c r="H222" s="97">
        <f t="shared" si="3"/>
        <v>0</v>
      </c>
      <c r="I222" s="105"/>
      <c r="J222" s="105"/>
      <c r="K222" s="59"/>
      <c r="L222" s="65"/>
      <c r="M222" s="65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66"/>
      <c r="AN222" s="66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</row>
    <row r="223" ht="15.75" customHeight="1">
      <c r="A223" s="59"/>
      <c r="B223" s="102"/>
      <c r="C223" s="105"/>
      <c r="D223" s="103"/>
      <c r="E223" s="104"/>
      <c r="F223" s="105"/>
      <c r="G223" s="96">
        <f t="shared" si="2"/>
        <v>0</v>
      </c>
      <c r="H223" s="97">
        <f t="shared" si="3"/>
        <v>0</v>
      </c>
      <c r="I223" s="105"/>
      <c r="J223" s="105"/>
      <c r="K223" s="59"/>
      <c r="L223" s="65"/>
      <c r="M223" s="65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66"/>
      <c r="AN223" s="66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</row>
    <row r="224" ht="15.75" customHeight="1">
      <c r="A224" s="59"/>
      <c r="B224" s="102"/>
      <c r="C224" s="105"/>
      <c r="D224" s="103"/>
      <c r="E224" s="104"/>
      <c r="F224" s="105"/>
      <c r="G224" s="96">
        <f t="shared" si="2"/>
        <v>0</v>
      </c>
      <c r="H224" s="97">
        <f t="shared" si="3"/>
        <v>0</v>
      </c>
      <c r="I224" s="105"/>
      <c r="J224" s="105"/>
      <c r="K224" s="59"/>
      <c r="L224" s="65"/>
      <c r="M224" s="65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66"/>
      <c r="AN224" s="66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</row>
    <row r="225" ht="15.75" customHeight="1">
      <c r="A225" s="59"/>
      <c r="B225" s="102"/>
      <c r="C225" s="105"/>
      <c r="D225" s="103"/>
      <c r="E225" s="104"/>
      <c r="F225" s="105"/>
      <c r="G225" s="96">
        <f t="shared" si="2"/>
        <v>0</v>
      </c>
      <c r="H225" s="97">
        <f t="shared" si="3"/>
        <v>0</v>
      </c>
      <c r="I225" s="105"/>
      <c r="J225" s="105"/>
      <c r="K225" s="59"/>
      <c r="L225" s="65"/>
      <c r="M225" s="65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66"/>
      <c r="AN225" s="66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</row>
    <row r="226" ht="15.75" customHeight="1">
      <c r="A226" s="59"/>
      <c r="B226" s="102"/>
      <c r="C226" s="105"/>
      <c r="D226" s="103"/>
      <c r="E226" s="104"/>
      <c r="F226" s="105"/>
      <c r="G226" s="96">
        <f t="shared" si="2"/>
        <v>0</v>
      </c>
      <c r="H226" s="97">
        <f t="shared" si="3"/>
        <v>0</v>
      </c>
      <c r="I226" s="105"/>
      <c r="J226" s="105"/>
      <c r="K226" s="59"/>
      <c r="L226" s="65"/>
      <c r="M226" s="65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66"/>
      <c r="AN226" s="66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</row>
    <row r="227" ht="15.75" customHeight="1">
      <c r="A227" s="59"/>
      <c r="B227" s="102"/>
      <c r="C227" s="105"/>
      <c r="D227" s="103"/>
      <c r="E227" s="104"/>
      <c r="F227" s="105"/>
      <c r="G227" s="96">
        <f t="shared" si="2"/>
        <v>0</v>
      </c>
      <c r="H227" s="97">
        <f t="shared" si="3"/>
        <v>0</v>
      </c>
      <c r="I227" s="105"/>
      <c r="J227" s="105"/>
      <c r="K227" s="59"/>
      <c r="L227" s="65"/>
      <c r="M227" s="65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66"/>
      <c r="AN227" s="66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</row>
    <row r="228" ht="15.75" customHeight="1">
      <c r="A228" s="59"/>
      <c r="B228" s="102"/>
      <c r="C228" s="105"/>
      <c r="D228" s="103"/>
      <c r="E228" s="104"/>
      <c r="F228" s="105"/>
      <c r="G228" s="96">
        <f t="shared" si="2"/>
        <v>0</v>
      </c>
      <c r="H228" s="97">
        <f t="shared" si="3"/>
        <v>0</v>
      </c>
      <c r="I228" s="105"/>
      <c r="J228" s="105"/>
      <c r="K228" s="59"/>
      <c r="L228" s="65"/>
      <c r="M228" s="65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66"/>
      <c r="AN228" s="66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</row>
    <row r="229" ht="15.75" customHeight="1">
      <c r="A229" s="59"/>
      <c r="B229" s="102"/>
      <c r="C229" s="105"/>
      <c r="D229" s="103"/>
      <c r="E229" s="104"/>
      <c r="F229" s="105"/>
      <c r="G229" s="96">
        <f t="shared" si="2"/>
        <v>0</v>
      </c>
      <c r="H229" s="97">
        <f t="shared" si="3"/>
        <v>0</v>
      </c>
      <c r="I229" s="105"/>
      <c r="J229" s="105"/>
      <c r="K229" s="59"/>
      <c r="L229" s="65"/>
      <c r="M229" s="65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66"/>
      <c r="AN229" s="66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</row>
    <row r="230" ht="15.75" customHeight="1">
      <c r="A230" s="59"/>
      <c r="B230" s="102"/>
      <c r="C230" s="105"/>
      <c r="D230" s="103"/>
      <c r="E230" s="104"/>
      <c r="F230" s="105"/>
      <c r="G230" s="96">
        <f t="shared" si="2"/>
        <v>0</v>
      </c>
      <c r="H230" s="97">
        <f t="shared" si="3"/>
        <v>0</v>
      </c>
      <c r="I230" s="105"/>
      <c r="J230" s="105"/>
      <c r="K230" s="59"/>
      <c r="L230" s="65"/>
      <c r="M230" s="65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66"/>
      <c r="AN230" s="66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</row>
    <row r="231" ht="15.75" customHeight="1">
      <c r="A231" s="59"/>
      <c r="B231" s="102"/>
      <c r="C231" s="105"/>
      <c r="D231" s="103"/>
      <c r="E231" s="104"/>
      <c r="F231" s="105"/>
      <c r="G231" s="96">
        <f t="shared" si="2"/>
        <v>0</v>
      </c>
      <c r="H231" s="97">
        <f t="shared" si="3"/>
        <v>0</v>
      </c>
      <c r="I231" s="105"/>
      <c r="J231" s="105"/>
      <c r="K231" s="59"/>
      <c r="L231" s="65"/>
      <c r="M231" s="65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66"/>
      <c r="AN231" s="66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</row>
    <row r="232" ht="15.75" customHeight="1">
      <c r="A232" s="59"/>
      <c r="B232" s="102"/>
      <c r="C232" s="105"/>
      <c r="D232" s="103"/>
      <c r="E232" s="104"/>
      <c r="F232" s="105"/>
      <c r="G232" s="96">
        <f t="shared" si="2"/>
        <v>0</v>
      </c>
      <c r="H232" s="97">
        <f t="shared" si="3"/>
        <v>0</v>
      </c>
      <c r="I232" s="105"/>
      <c r="J232" s="105"/>
      <c r="K232" s="59"/>
      <c r="L232" s="65"/>
      <c r="M232" s="65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66"/>
      <c r="AN232" s="66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</row>
    <row r="233" ht="15.75" customHeight="1">
      <c r="A233" s="59"/>
      <c r="B233" s="102"/>
      <c r="C233" s="105"/>
      <c r="D233" s="103"/>
      <c r="E233" s="104"/>
      <c r="F233" s="105"/>
      <c r="G233" s="96">
        <f t="shared" si="2"/>
        <v>0</v>
      </c>
      <c r="H233" s="97">
        <f t="shared" si="3"/>
        <v>0</v>
      </c>
      <c r="I233" s="105"/>
      <c r="J233" s="105"/>
      <c r="K233" s="59"/>
      <c r="L233" s="65"/>
      <c r="M233" s="65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66"/>
      <c r="AN233" s="66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</row>
    <row r="234" ht="15.75" customHeight="1">
      <c r="A234" s="59"/>
      <c r="B234" s="102"/>
      <c r="C234" s="105"/>
      <c r="D234" s="103"/>
      <c r="E234" s="104"/>
      <c r="F234" s="105"/>
      <c r="G234" s="96">
        <f t="shared" si="2"/>
        <v>0</v>
      </c>
      <c r="H234" s="97">
        <f t="shared" si="3"/>
        <v>0</v>
      </c>
      <c r="I234" s="105"/>
      <c r="J234" s="105"/>
      <c r="K234" s="59"/>
      <c r="L234" s="65"/>
      <c r="M234" s="65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66"/>
      <c r="AN234" s="66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</row>
    <row r="235" ht="15.75" customHeight="1">
      <c r="A235" s="59"/>
      <c r="B235" s="102"/>
      <c r="C235" s="105"/>
      <c r="D235" s="103"/>
      <c r="E235" s="104"/>
      <c r="F235" s="105"/>
      <c r="G235" s="96">
        <f t="shared" si="2"/>
        <v>0</v>
      </c>
      <c r="H235" s="97">
        <f t="shared" si="3"/>
        <v>0</v>
      </c>
      <c r="I235" s="105"/>
      <c r="J235" s="105"/>
      <c r="K235" s="59"/>
      <c r="L235" s="65"/>
      <c r="M235" s="65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66"/>
      <c r="AN235" s="66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</row>
    <row r="236" ht="15.75" customHeight="1">
      <c r="A236" s="59"/>
      <c r="B236" s="102"/>
      <c r="C236" s="105"/>
      <c r="D236" s="103"/>
      <c r="E236" s="104"/>
      <c r="F236" s="105"/>
      <c r="G236" s="96">
        <f t="shared" si="2"/>
        <v>0</v>
      </c>
      <c r="H236" s="97">
        <f t="shared" si="3"/>
        <v>0</v>
      </c>
      <c r="I236" s="105"/>
      <c r="J236" s="105"/>
      <c r="K236" s="59"/>
      <c r="L236" s="65"/>
      <c r="M236" s="65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66"/>
      <c r="AN236" s="66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</row>
    <row r="237" ht="15.75" customHeight="1">
      <c r="A237" s="59"/>
      <c r="B237" s="102"/>
      <c r="C237" s="105"/>
      <c r="D237" s="103"/>
      <c r="E237" s="104"/>
      <c r="F237" s="105"/>
      <c r="G237" s="96">
        <f t="shared" si="2"/>
        <v>0</v>
      </c>
      <c r="H237" s="97">
        <f t="shared" si="3"/>
        <v>0</v>
      </c>
      <c r="I237" s="105"/>
      <c r="J237" s="105"/>
      <c r="K237" s="59"/>
      <c r="L237" s="65"/>
      <c r="M237" s="65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66"/>
      <c r="AN237" s="66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</row>
    <row r="238" ht="15.75" customHeight="1">
      <c r="A238" s="59"/>
      <c r="B238" s="102"/>
      <c r="C238" s="105"/>
      <c r="D238" s="103"/>
      <c r="E238" s="104"/>
      <c r="F238" s="105"/>
      <c r="G238" s="96">
        <f t="shared" si="2"/>
        <v>0</v>
      </c>
      <c r="H238" s="97">
        <f t="shared" si="3"/>
        <v>0</v>
      </c>
      <c r="I238" s="105"/>
      <c r="J238" s="105"/>
      <c r="K238" s="59"/>
      <c r="L238" s="65"/>
      <c r="M238" s="65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66"/>
      <c r="AN238" s="66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</row>
    <row r="239" ht="15.75" customHeight="1">
      <c r="A239" s="59"/>
      <c r="B239" s="102"/>
      <c r="C239" s="105"/>
      <c r="D239" s="103"/>
      <c r="E239" s="104"/>
      <c r="F239" s="105"/>
      <c r="G239" s="96">
        <f t="shared" si="2"/>
        <v>0</v>
      </c>
      <c r="H239" s="97">
        <f t="shared" si="3"/>
        <v>0</v>
      </c>
      <c r="I239" s="105"/>
      <c r="J239" s="105"/>
      <c r="K239" s="59"/>
      <c r="L239" s="65"/>
      <c r="M239" s="65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66"/>
      <c r="AN239" s="66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</row>
    <row r="240" ht="15.75" customHeight="1">
      <c r="A240" s="59"/>
      <c r="B240" s="102"/>
      <c r="C240" s="105"/>
      <c r="D240" s="103"/>
      <c r="E240" s="104"/>
      <c r="F240" s="105"/>
      <c r="G240" s="96">
        <f t="shared" si="2"/>
        <v>0</v>
      </c>
      <c r="H240" s="97">
        <f t="shared" si="3"/>
        <v>0</v>
      </c>
      <c r="I240" s="105"/>
      <c r="J240" s="105"/>
      <c r="K240" s="59"/>
      <c r="L240" s="65"/>
      <c r="M240" s="65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66"/>
      <c r="AN240" s="66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</row>
    <row r="241" ht="15.75" customHeight="1">
      <c r="A241" s="59"/>
      <c r="B241" s="102"/>
      <c r="C241" s="105"/>
      <c r="D241" s="103"/>
      <c r="E241" s="104"/>
      <c r="F241" s="105"/>
      <c r="G241" s="96">
        <f t="shared" si="2"/>
        <v>0</v>
      </c>
      <c r="H241" s="97">
        <f t="shared" si="3"/>
        <v>0</v>
      </c>
      <c r="I241" s="105"/>
      <c r="J241" s="105"/>
      <c r="K241" s="59"/>
      <c r="L241" s="65"/>
      <c r="M241" s="65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66"/>
      <c r="AN241" s="66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</row>
    <row r="242" ht="15.75" customHeight="1">
      <c r="A242" s="59"/>
      <c r="B242" s="102"/>
      <c r="C242" s="105"/>
      <c r="D242" s="103"/>
      <c r="E242" s="104"/>
      <c r="F242" s="105"/>
      <c r="G242" s="96">
        <f t="shared" si="2"/>
        <v>0</v>
      </c>
      <c r="H242" s="97">
        <f t="shared" si="3"/>
        <v>0</v>
      </c>
      <c r="I242" s="105"/>
      <c r="J242" s="105"/>
      <c r="K242" s="59"/>
      <c r="L242" s="65"/>
      <c r="M242" s="65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66"/>
      <c r="AN242" s="66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</row>
    <row r="243" ht="15.75" customHeight="1">
      <c r="A243" s="59"/>
      <c r="B243" s="102"/>
      <c r="C243" s="105"/>
      <c r="D243" s="103"/>
      <c r="E243" s="104"/>
      <c r="F243" s="105"/>
      <c r="G243" s="96">
        <f t="shared" si="2"/>
        <v>0</v>
      </c>
      <c r="H243" s="97">
        <f t="shared" si="3"/>
        <v>0</v>
      </c>
      <c r="I243" s="105"/>
      <c r="J243" s="105"/>
      <c r="K243" s="59"/>
      <c r="L243" s="65"/>
      <c r="M243" s="65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66"/>
      <c r="AN243" s="66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</row>
    <row r="244" ht="15.75" customHeight="1">
      <c r="A244" s="59"/>
      <c r="B244" s="102"/>
      <c r="C244" s="105"/>
      <c r="D244" s="103"/>
      <c r="E244" s="104"/>
      <c r="F244" s="105"/>
      <c r="G244" s="96">
        <f t="shared" si="2"/>
        <v>0</v>
      </c>
      <c r="H244" s="97">
        <f t="shared" si="3"/>
        <v>0</v>
      </c>
      <c r="I244" s="105"/>
      <c r="J244" s="105"/>
      <c r="K244" s="59"/>
      <c r="L244" s="65"/>
      <c r="M244" s="65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66"/>
      <c r="AN244" s="66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</row>
    <row r="245" ht="15.75" customHeight="1">
      <c r="A245" s="59"/>
      <c r="B245" s="102"/>
      <c r="C245" s="105"/>
      <c r="D245" s="103"/>
      <c r="E245" s="104"/>
      <c r="F245" s="105"/>
      <c r="G245" s="96">
        <f t="shared" si="2"/>
        <v>0</v>
      </c>
      <c r="H245" s="97">
        <f t="shared" si="3"/>
        <v>0</v>
      </c>
      <c r="I245" s="105"/>
      <c r="J245" s="105"/>
      <c r="K245" s="59"/>
      <c r="L245" s="65"/>
      <c r="M245" s="65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66"/>
      <c r="AN245" s="66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</row>
    <row r="246" ht="15.75" customHeight="1">
      <c r="A246" s="59"/>
      <c r="B246" s="102"/>
      <c r="C246" s="105"/>
      <c r="D246" s="103"/>
      <c r="E246" s="104"/>
      <c r="F246" s="105"/>
      <c r="G246" s="96">
        <f t="shared" si="2"/>
        <v>0</v>
      </c>
      <c r="H246" s="97">
        <f t="shared" si="3"/>
        <v>0</v>
      </c>
      <c r="I246" s="105"/>
      <c r="J246" s="105"/>
      <c r="K246" s="59"/>
      <c r="L246" s="65"/>
      <c r="M246" s="65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66"/>
      <c r="AN246" s="66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</row>
    <row r="247" ht="15.75" customHeight="1">
      <c r="A247" s="59"/>
      <c r="B247" s="102"/>
      <c r="C247" s="105"/>
      <c r="D247" s="103"/>
      <c r="E247" s="104"/>
      <c r="F247" s="105"/>
      <c r="G247" s="96">
        <f t="shared" si="2"/>
        <v>0</v>
      </c>
      <c r="H247" s="97">
        <f t="shared" si="3"/>
        <v>0</v>
      </c>
      <c r="I247" s="105"/>
      <c r="J247" s="105"/>
      <c r="K247" s="59"/>
      <c r="L247" s="65"/>
      <c r="M247" s="65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66"/>
      <c r="AN247" s="66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</row>
    <row r="248" ht="15.75" customHeight="1">
      <c r="A248" s="59"/>
      <c r="B248" s="102"/>
      <c r="C248" s="105"/>
      <c r="D248" s="103"/>
      <c r="E248" s="104"/>
      <c r="F248" s="105"/>
      <c r="G248" s="96">
        <f t="shared" si="2"/>
        <v>0</v>
      </c>
      <c r="H248" s="97">
        <f t="shared" si="3"/>
        <v>0</v>
      </c>
      <c r="I248" s="105"/>
      <c r="J248" s="105"/>
      <c r="K248" s="59"/>
      <c r="L248" s="65"/>
      <c r="M248" s="65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66"/>
      <c r="AN248" s="66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</row>
    <row r="249" ht="15.75" customHeight="1">
      <c r="A249" s="59"/>
      <c r="B249" s="102"/>
      <c r="C249" s="105"/>
      <c r="D249" s="103"/>
      <c r="E249" s="104"/>
      <c r="F249" s="105"/>
      <c r="G249" s="96">
        <f t="shared" si="2"/>
        <v>0</v>
      </c>
      <c r="H249" s="97">
        <f t="shared" si="3"/>
        <v>0</v>
      </c>
      <c r="I249" s="105"/>
      <c r="J249" s="105"/>
      <c r="K249" s="59"/>
      <c r="L249" s="65"/>
      <c r="M249" s="65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66"/>
      <c r="AN249" s="66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</row>
    <row r="250" ht="15.75" customHeight="1">
      <c r="A250" s="59"/>
      <c r="B250" s="102"/>
      <c r="C250" s="105"/>
      <c r="D250" s="103"/>
      <c r="E250" s="104"/>
      <c r="F250" s="105"/>
      <c r="G250" s="96">
        <f t="shared" si="2"/>
        <v>0</v>
      </c>
      <c r="H250" s="97">
        <f t="shared" si="3"/>
        <v>0</v>
      </c>
      <c r="I250" s="105"/>
      <c r="J250" s="105"/>
      <c r="K250" s="59"/>
      <c r="L250" s="65"/>
      <c r="M250" s="65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66"/>
      <c r="AN250" s="66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</row>
    <row r="251" ht="15.75" customHeight="1">
      <c r="A251" s="59"/>
      <c r="B251" s="102"/>
      <c r="C251" s="105"/>
      <c r="D251" s="103"/>
      <c r="E251" s="104"/>
      <c r="F251" s="105"/>
      <c r="G251" s="96">
        <f t="shared" si="2"/>
        <v>0</v>
      </c>
      <c r="H251" s="97">
        <f t="shared" si="3"/>
        <v>0</v>
      </c>
      <c r="I251" s="105"/>
      <c r="J251" s="105"/>
      <c r="K251" s="59"/>
      <c r="L251" s="65"/>
      <c r="M251" s="65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66"/>
      <c r="AN251" s="66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</row>
    <row r="252" ht="15.75" customHeight="1">
      <c r="A252" s="59"/>
      <c r="B252" s="102"/>
      <c r="C252" s="105"/>
      <c r="D252" s="103"/>
      <c r="E252" s="104"/>
      <c r="F252" s="105"/>
      <c r="G252" s="96">
        <f t="shared" si="2"/>
        <v>0</v>
      </c>
      <c r="H252" s="97">
        <f t="shared" si="3"/>
        <v>0</v>
      </c>
      <c r="I252" s="105"/>
      <c r="J252" s="105"/>
      <c r="K252" s="59"/>
      <c r="L252" s="65"/>
      <c r="M252" s="65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66"/>
      <c r="AN252" s="66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</row>
    <row r="253" ht="15.75" customHeight="1">
      <c r="A253" s="59"/>
      <c r="B253" s="102"/>
      <c r="C253" s="105"/>
      <c r="D253" s="103"/>
      <c r="E253" s="104"/>
      <c r="F253" s="105"/>
      <c r="G253" s="96">
        <f t="shared" si="2"/>
        <v>0</v>
      </c>
      <c r="H253" s="97">
        <f t="shared" si="3"/>
        <v>0</v>
      </c>
      <c r="I253" s="105"/>
      <c r="J253" s="105"/>
      <c r="K253" s="59"/>
      <c r="L253" s="65"/>
      <c r="M253" s="65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66"/>
      <c r="AN253" s="66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</row>
    <row r="254" ht="15.75" customHeight="1">
      <c r="A254" s="59"/>
      <c r="B254" s="102"/>
      <c r="C254" s="105"/>
      <c r="D254" s="103"/>
      <c r="E254" s="104"/>
      <c r="F254" s="105"/>
      <c r="G254" s="96">
        <f t="shared" si="2"/>
        <v>0</v>
      </c>
      <c r="H254" s="97">
        <f t="shared" si="3"/>
        <v>0</v>
      </c>
      <c r="I254" s="105"/>
      <c r="J254" s="105"/>
      <c r="K254" s="59"/>
      <c r="L254" s="65"/>
      <c r="M254" s="65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66"/>
      <c r="AN254" s="66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</row>
    <row r="255" ht="15.75" customHeight="1">
      <c r="A255" s="59"/>
      <c r="B255" s="102"/>
      <c r="C255" s="105"/>
      <c r="D255" s="103"/>
      <c r="E255" s="104"/>
      <c r="F255" s="105"/>
      <c r="G255" s="96">
        <f t="shared" si="2"/>
        <v>0</v>
      </c>
      <c r="H255" s="97">
        <f t="shared" si="3"/>
        <v>0</v>
      </c>
      <c r="I255" s="105"/>
      <c r="J255" s="105"/>
      <c r="K255" s="59"/>
      <c r="L255" s="65"/>
      <c r="M255" s="65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66"/>
      <c r="AN255" s="66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</row>
    <row r="256" ht="15.75" customHeight="1">
      <c r="A256" s="59"/>
      <c r="B256" s="102"/>
      <c r="C256" s="105"/>
      <c r="D256" s="103"/>
      <c r="E256" s="104"/>
      <c r="F256" s="105"/>
      <c r="G256" s="96">
        <f t="shared" si="2"/>
        <v>0</v>
      </c>
      <c r="H256" s="97">
        <f t="shared" si="3"/>
        <v>0</v>
      </c>
      <c r="I256" s="105"/>
      <c r="J256" s="105"/>
      <c r="K256" s="59"/>
      <c r="L256" s="65"/>
      <c r="M256" s="65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66"/>
      <c r="AN256" s="66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</row>
    <row r="257" ht="15.75" customHeight="1">
      <c r="A257" s="59"/>
      <c r="B257" s="102"/>
      <c r="C257" s="105"/>
      <c r="D257" s="103"/>
      <c r="E257" s="104"/>
      <c r="F257" s="105"/>
      <c r="G257" s="96">
        <f t="shared" si="2"/>
        <v>0</v>
      </c>
      <c r="H257" s="97">
        <f t="shared" si="3"/>
        <v>0</v>
      </c>
      <c r="I257" s="105"/>
      <c r="J257" s="105"/>
      <c r="K257" s="59"/>
      <c r="L257" s="65"/>
      <c r="M257" s="65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66"/>
      <c r="AN257" s="66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</row>
    <row r="258" ht="15.75" customHeight="1">
      <c r="A258" s="59"/>
      <c r="B258" s="102"/>
      <c r="C258" s="105"/>
      <c r="D258" s="103"/>
      <c r="E258" s="104"/>
      <c r="F258" s="105"/>
      <c r="G258" s="96">
        <f t="shared" si="2"/>
        <v>0</v>
      </c>
      <c r="H258" s="97">
        <f t="shared" si="3"/>
        <v>0</v>
      </c>
      <c r="I258" s="105"/>
      <c r="J258" s="105"/>
      <c r="K258" s="59"/>
      <c r="L258" s="65"/>
      <c r="M258" s="65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66"/>
      <c r="AN258" s="66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</row>
    <row r="259" ht="15.75" customHeight="1">
      <c r="A259" s="59"/>
      <c r="B259" s="102"/>
      <c r="C259" s="105"/>
      <c r="D259" s="103"/>
      <c r="E259" s="104"/>
      <c r="F259" s="105"/>
      <c r="G259" s="96">
        <f t="shared" si="2"/>
        <v>0</v>
      </c>
      <c r="H259" s="97">
        <f t="shared" si="3"/>
        <v>0</v>
      </c>
      <c r="I259" s="105"/>
      <c r="J259" s="105"/>
      <c r="K259" s="59"/>
      <c r="L259" s="65"/>
      <c r="M259" s="65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66"/>
      <c r="AN259" s="66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</row>
    <row r="260" ht="15.75" customHeight="1">
      <c r="A260" s="59"/>
      <c r="B260" s="102"/>
      <c r="C260" s="105"/>
      <c r="D260" s="103"/>
      <c r="E260" s="104"/>
      <c r="F260" s="105"/>
      <c r="G260" s="96">
        <f t="shared" si="2"/>
        <v>0</v>
      </c>
      <c r="H260" s="97">
        <f t="shared" si="3"/>
        <v>0</v>
      </c>
      <c r="I260" s="105"/>
      <c r="J260" s="105"/>
      <c r="K260" s="59"/>
      <c r="L260" s="65"/>
      <c r="M260" s="65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66"/>
      <c r="AN260" s="66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</row>
    <row r="261" ht="15.75" customHeight="1">
      <c r="A261" s="59"/>
      <c r="B261" s="102"/>
      <c r="C261" s="105"/>
      <c r="D261" s="103"/>
      <c r="E261" s="104"/>
      <c r="F261" s="105"/>
      <c r="G261" s="96">
        <f t="shared" si="2"/>
        <v>0</v>
      </c>
      <c r="H261" s="97">
        <f t="shared" si="3"/>
        <v>0</v>
      </c>
      <c r="I261" s="105"/>
      <c r="J261" s="105"/>
      <c r="K261" s="59"/>
      <c r="L261" s="65"/>
      <c r="M261" s="65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66"/>
      <c r="AN261" s="66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</row>
    <row r="262" ht="15.75" customHeight="1">
      <c r="A262" s="59"/>
      <c r="B262" s="102"/>
      <c r="C262" s="105"/>
      <c r="D262" s="103"/>
      <c r="E262" s="104"/>
      <c r="F262" s="105"/>
      <c r="G262" s="96">
        <f t="shared" si="2"/>
        <v>0</v>
      </c>
      <c r="H262" s="97">
        <f t="shared" si="3"/>
        <v>0</v>
      </c>
      <c r="I262" s="105"/>
      <c r="J262" s="105"/>
      <c r="K262" s="59"/>
      <c r="L262" s="65"/>
      <c r="M262" s="65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66"/>
      <c r="AN262" s="66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</row>
    <row r="263" ht="15.75" customHeight="1">
      <c r="A263" s="59"/>
      <c r="B263" s="102"/>
      <c r="C263" s="105"/>
      <c r="D263" s="103"/>
      <c r="E263" s="104"/>
      <c r="F263" s="105"/>
      <c r="G263" s="96">
        <f t="shared" si="2"/>
        <v>0</v>
      </c>
      <c r="H263" s="97">
        <f t="shared" si="3"/>
        <v>0</v>
      </c>
      <c r="I263" s="105"/>
      <c r="J263" s="105"/>
      <c r="K263" s="59"/>
      <c r="L263" s="65"/>
      <c r="M263" s="65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66"/>
      <c r="AN263" s="66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</row>
    <row r="264" ht="15.75" customHeight="1">
      <c r="A264" s="59"/>
      <c r="B264" s="102"/>
      <c r="C264" s="105"/>
      <c r="D264" s="103"/>
      <c r="E264" s="104"/>
      <c r="F264" s="105"/>
      <c r="G264" s="96">
        <f t="shared" si="2"/>
        <v>0</v>
      </c>
      <c r="H264" s="97">
        <f t="shared" si="3"/>
        <v>0</v>
      </c>
      <c r="I264" s="105"/>
      <c r="J264" s="105"/>
      <c r="K264" s="59"/>
      <c r="L264" s="65"/>
      <c r="M264" s="65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66"/>
      <c r="AN264" s="66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</row>
    <row r="265" ht="15.75" customHeight="1">
      <c r="A265" s="59"/>
      <c r="B265" s="102"/>
      <c r="C265" s="105"/>
      <c r="D265" s="103"/>
      <c r="E265" s="104"/>
      <c r="F265" s="105"/>
      <c r="G265" s="96">
        <f t="shared" si="2"/>
        <v>0</v>
      </c>
      <c r="H265" s="97">
        <f t="shared" si="3"/>
        <v>0</v>
      </c>
      <c r="I265" s="105"/>
      <c r="J265" s="105"/>
      <c r="K265" s="59"/>
      <c r="L265" s="65"/>
      <c r="M265" s="65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66"/>
      <c r="AN265" s="66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</row>
    <row r="266" ht="15.75" customHeight="1">
      <c r="A266" s="59"/>
      <c r="B266" s="102"/>
      <c r="C266" s="105"/>
      <c r="D266" s="103"/>
      <c r="E266" s="104"/>
      <c r="F266" s="105"/>
      <c r="G266" s="96">
        <f t="shared" si="2"/>
        <v>0</v>
      </c>
      <c r="H266" s="97">
        <f t="shared" si="3"/>
        <v>0</v>
      </c>
      <c r="I266" s="105"/>
      <c r="J266" s="105"/>
      <c r="K266" s="59"/>
      <c r="L266" s="65"/>
      <c r="M266" s="65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66"/>
      <c r="AN266" s="66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</row>
    <row r="267" ht="15.75" customHeight="1">
      <c r="A267" s="59"/>
      <c r="B267" s="102"/>
      <c r="C267" s="105"/>
      <c r="D267" s="103"/>
      <c r="E267" s="104"/>
      <c r="F267" s="105"/>
      <c r="G267" s="96">
        <f t="shared" si="2"/>
        <v>0</v>
      </c>
      <c r="H267" s="97">
        <f t="shared" si="3"/>
        <v>0</v>
      </c>
      <c r="I267" s="105"/>
      <c r="J267" s="105"/>
      <c r="K267" s="59"/>
      <c r="L267" s="65"/>
      <c r="M267" s="65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66"/>
      <c r="AN267" s="66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</row>
    <row r="268" ht="15.75" customHeight="1">
      <c r="A268" s="59"/>
      <c r="B268" s="102"/>
      <c r="C268" s="105"/>
      <c r="D268" s="103"/>
      <c r="E268" s="104"/>
      <c r="F268" s="105"/>
      <c r="G268" s="96">
        <f t="shared" si="2"/>
        <v>0</v>
      </c>
      <c r="H268" s="97">
        <f t="shared" si="3"/>
        <v>0</v>
      </c>
      <c r="I268" s="105"/>
      <c r="J268" s="105"/>
      <c r="K268" s="59"/>
      <c r="L268" s="65"/>
      <c r="M268" s="65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66"/>
      <c r="AN268" s="66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</row>
    <row r="269" ht="15.75" customHeight="1">
      <c r="A269" s="59"/>
      <c r="B269" s="102"/>
      <c r="C269" s="105"/>
      <c r="D269" s="103"/>
      <c r="E269" s="104"/>
      <c r="F269" s="105"/>
      <c r="G269" s="96">
        <f t="shared" si="2"/>
        <v>0</v>
      </c>
      <c r="H269" s="97">
        <f t="shared" si="3"/>
        <v>0</v>
      </c>
      <c r="I269" s="105"/>
      <c r="J269" s="105"/>
      <c r="K269" s="59"/>
      <c r="L269" s="65"/>
      <c r="M269" s="65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66"/>
      <c r="AN269" s="66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</row>
    <row r="270" ht="15.75" customHeight="1">
      <c r="A270" s="59"/>
      <c r="B270" s="102"/>
      <c r="C270" s="105"/>
      <c r="D270" s="103"/>
      <c r="E270" s="104"/>
      <c r="F270" s="105"/>
      <c r="G270" s="96">
        <f t="shared" si="2"/>
        <v>0</v>
      </c>
      <c r="H270" s="97">
        <f t="shared" si="3"/>
        <v>0</v>
      </c>
      <c r="I270" s="105"/>
      <c r="J270" s="105"/>
      <c r="K270" s="59"/>
      <c r="L270" s="65"/>
      <c r="M270" s="65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66"/>
      <c r="AN270" s="66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</row>
    <row r="271" ht="15.75" customHeight="1">
      <c r="A271" s="59"/>
      <c r="B271" s="102"/>
      <c r="C271" s="105"/>
      <c r="D271" s="103"/>
      <c r="E271" s="104"/>
      <c r="F271" s="105"/>
      <c r="G271" s="96">
        <f t="shared" si="2"/>
        <v>0</v>
      </c>
      <c r="H271" s="97">
        <f t="shared" si="3"/>
        <v>0</v>
      </c>
      <c r="I271" s="105"/>
      <c r="J271" s="105"/>
      <c r="K271" s="59"/>
      <c r="L271" s="65"/>
      <c r="M271" s="65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66"/>
      <c r="AN271" s="66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</row>
    <row r="272" ht="15.75" customHeight="1">
      <c r="A272" s="59"/>
      <c r="B272" s="102"/>
      <c r="C272" s="105"/>
      <c r="D272" s="103"/>
      <c r="E272" s="104"/>
      <c r="F272" s="105"/>
      <c r="G272" s="96">
        <f t="shared" si="2"/>
        <v>0</v>
      </c>
      <c r="H272" s="97">
        <f t="shared" si="3"/>
        <v>0</v>
      </c>
      <c r="I272" s="105"/>
      <c r="J272" s="105"/>
      <c r="K272" s="59"/>
      <c r="L272" s="65"/>
      <c r="M272" s="65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66"/>
      <c r="AN272" s="66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</row>
    <row r="273" ht="15.75" customHeight="1">
      <c r="A273" s="59"/>
      <c r="B273" s="102"/>
      <c r="C273" s="105"/>
      <c r="D273" s="103"/>
      <c r="E273" s="104"/>
      <c r="F273" s="105"/>
      <c r="G273" s="96">
        <f t="shared" si="2"/>
        <v>0</v>
      </c>
      <c r="H273" s="97">
        <f t="shared" si="3"/>
        <v>0</v>
      </c>
      <c r="I273" s="105"/>
      <c r="J273" s="105"/>
      <c r="K273" s="59"/>
      <c r="L273" s="65"/>
      <c r="M273" s="65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66"/>
      <c r="AN273" s="66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</row>
    <row r="274" ht="15.75" customHeight="1">
      <c r="A274" s="59"/>
      <c r="B274" s="102"/>
      <c r="C274" s="105"/>
      <c r="D274" s="103"/>
      <c r="E274" s="104"/>
      <c r="F274" s="105"/>
      <c r="G274" s="96">
        <f t="shared" si="2"/>
        <v>0</v>
      </c>
      <c r="H274" s="97">
        <f t="shared" si="3"/>
        <v>0</v>
      </c>
      <c r="I274" s="105"/>
      <c r="J274" s="105"/>
      <c r="K274" s="59"/>
      <c r="L274" s="65"/>
      <c r="M274" s="65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66"/>
      <c r="AN274" s="66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</row>
    <row r="275" ht="15.75" customHeight="1">
      <c r="A275" s="59"/>
      <c r="B275" s="102"/>
      <c r="C275" s="105"/>
      <c r="D275" s="103"/>
      <c r="E275" s="104"/>
      <c r="F275" s="105"/>
      <c r="G275" s="96">
        <f t="shared" si="2"/>
        <v>0</v>
      </c>
      <c r="H275" s="97">
        <f t="shared" si="3"/>
        <v>0</v>
      </c>
      <c r="I275" s="105"/>
      <c r="J275" s="105"/>
      <c r="K275" s="59"/>
      <c r="L275" s="65"/>
      <c r="M275" s="65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66"/>
      <c r="AN275" s="66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</row>
    <row r="276" ht="15.75" customHeight="1">
      <c r="A276" s="59"/>
      <c r="B276" s="102"/>
      <c r="C276" s="105"/>
      <c r="D276" s="103"/>
      <c r="E276" s="104"/>
      <c r="F276" s="105"/>
      <c r="G276" s="96">
        <f t="shared" si="2"/>
        <v>0</v>
      </c>
      <c r="H276" s="97">
        <f t="shared" si="3"/>
        <v>0</v>
      </c>
      <c r="I276" s="105"/>
      <c r="J276" s="105"/>
      <c r="K276" s="59"/>
      <c r="L276" s="65"/>
      <c r="M276" s="65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66"/>
      <c r="AN276" s="66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</row>
    <row r="277" ht="15.75" customHeight="1">
      <c r="A277" s="59"/>
      <c r="B277" s="102"/>
      <c r="C277" s="105"/>
      <c r="D277" s="103"/>
      <c r="E277" s="104"/>
      <c r="F277" s="105"/>
      <c r="G277" s="96">
        <f t="shared" si="2"/>
        <v>0</v>
      </c>
      <c r="H277" s="97">
        <f t="shared" si="3"/>
        <v>0</v>
      </c>
      <c r="I277" s="105"/>
      <c r="J277" s="105"/>
      <c r="K277" s="59"/>
      <c r="L277" s="65"/>
      <c r="M277" s="65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66"/>
      <c r="AN277" s="66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</row>
    <row r="278" ht="15.75" customHeight="1">
      <c r="A278" s="59"/>
      <c r="B278" s="102"/>
      <c r="C278" s="105"/>
      <c r="D278" s="103"/>
      <c r="E278" s="104"/>
      <c r="F278" s="105"/>
      <c r="G278" s="96">
        <f t="shared" si="2"/>
        <v>0</v>
      </c>
      <c r="H278" s="97">
        <f t="shared" si="3"/>
        <v>0</v>
      </c>
      <c r="I278" s="105"/>
      <c r="J278" s="105"/>
      <c r="K278" s="59"/>
      <c r="L278" s="65"/>
      <c r="M278" s="65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66"/>
      <c r="AN278" s="66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</row>
    <row r="279" ht="15.75" customHeight="1">
      <c r="A279" s="59"/>
      <c r="B279" s="102"/>
      <c r="C279" s="105"/>
      <c r="D279" s="103"/>
      <c r="E279" s="104"/>
      <c r="F279" s="105"/>
      <c r="G279" s="96">
        <f t="shared" si="2"/>
        <v>0</v>
      </c>
      <c r="H279" s="97">
        <f t="shared" si="3"/>
        <v>0</v>
      </c>
      <c r="I279" s="105"/>
      <c r="J279" s="105"/>
      <c r="K279" s="59"/>
      <c r="L279" s="65"/>
      <c r="M279" s="65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66"/>
      <c r="AN279" s="66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</row>
    <row r="280" ht="15.75" customHeight="1">
      <c r="A280" s="59"/>
      <c r="B280" s="102"/>
      <c r="C280" s="105"/>
      <c r="D280" s="103"/>
      <c r="E280" s="104"/>
      <c r="F280" s="105"/>
      <c r="G280" s="96">
        <f t="shared" si="2"/>
        <v>0</v>
      </c>
      <c r="H280" s="97">
        <f t="shared" si="3"/>
        <v>0</v>
      </c>
      <c r="I280" s="105"/>
      <c r="J280" s="105"/>
      <c r="K280" s="59"/>
      <c r="L280" s="65"/>
      <c r="M280" s="65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66"/>
      <c r="AN280" s="66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</row>
    <row r="281" ht="15.75" customHeight="1">
      <c r="A281" s="59"/>
      <c r="B281" s="102"/>
      <c r="C281" s="105"/>
      <c r="D281" s="103"/>
      <c r="E281" s="104"/>
      <c r="F281" s="105"/>
      <c r="G281" s="96">
        <f t="shared" si="2"/>
        <v>0</v>
      </c>
      <c r="H281" s="97">
        <f t="shared" si="3"/>
        <v>0</v>
      </c>
      <c r="I281" s="105"/>
      <c r="J281" s="105"/>
      <c r="K281" s="59"/>
      <c r="L281" s="65"/>
      <c r="M281" s="65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66"/>
      <c r="AN281" s="66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</row>
    <row r="282" ht="15.75" customHeight="1">
      <c r="A282" s="59"/>
      <c r="B282" s="102"/>
      <c r="C282" s="105"/>
      <c r="D282" s="103"/>
      <c r="E282" s="104"/>
      <c r="F282" s="105"/>
      <c r="G282" s="96">
        <f t="shared" si="2"/>
        <v>0</v>
      </c>
      <c r="H282" s="97">
        <f t="shared" si="3"/>
        <v>0</v>
      </c>
      <c r="I282" s="105"/>
      <c r="J282" s="105"/>
      <c r="K282" s="59"/>
      <c r="L282" s="65"/>
      <c r="M282" s="65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66"/>
      <c r="AN282" s="66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</row>
    <row r="283" ht="15.75" customHeight="1">
      <c r="A283" s="59"/>
      <c r="B283" s="102"/>
      <c r="C283" s="105"/>
      <c r="D283" s="103"/>
      <c r="E283" s="104"/>
      <c r="F283" s="105"/>
      <c r="G283" s="96">
        <f t="shared" si="2"/>
        <v>0</v>
      </c>
      <c r="H283" s="97">
        <f t="shared" si="3"/>
        <v>0</v>
      </c>
      <c r="I283" s="105"/>
      <c r="J283" s="105"/>
      <c r="K283" s="59"/>
      <c r="L283" s="65"/>
      <c r="M283" s="65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66"/>
      <c r="AN283" s="66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</row>
    <row r="284" ht="15.75" customHeight="1">
      <c r="A284" s="59"/>
      <c r="B284" s="102"/>
      <c r="C284" s="105"/>
      <c r="D284" s="103"/>
      <c r="E284" s="104"/>
      <c r="F284" s="105"/>
      <c r="G284" s="96">
        <f t="shared" si="2"/>
        <v>0</v>
      </c>
      <c r="H284" s="97">
        <f t="shared" si="3"/>
        <v>0</v>
      </c>
      <c r="I284" s="105"/>
      <c r="J284" s="105"/>
      <c r="K284" s="59"/>
      <c r="L284" s="65"/>
      <c r="M284" s="65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66"/>
      <c r="AN284" s="66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</row>
    <row r="285" ht="15.75" customHeight="1">
      <c r="A285" s="59"/>
      <c r="B285" s="102"/>
      <c r="C285" s="105"/>
      <c r="D285" s="103"/>
      <c r="E285" s="104"/>
      <c r="F285" s="105"/>
      <c r="G285" s="96">
        <f t="shared" si="2"/>
        <v>0</v>
      </c>
      <c r="H285" s="97">
        <f t="shared" si="3"/>
        <v>0</v>
      </c>
      <c r="I285" s="105"/>
      <c r="J285" s="105"/>
      <c r="K285" s="59"/>
      <c r="L285" s="65"/>
      <c r="M285" s="65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66"/>
      <c r="AN285" s="66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</row>
    <row r="286" ht="15.75" customHeight="1">
      <c r="A286" s="59"/>
      <c r="B286" s="102"/>
      <c r="C286" s="105"/>
      <c r="D286" s="103"/>
      <c r="E286" s="104"/>
      <c r="F286" s="105"/>
      <c r="G286" s="96">
        <f t="shared" si="2"/>
        <v>0</v>
      </c>
      <c r="H286" s="97">
        <f t="shared" si="3"/>
        <v>0</v>
      </c>
      <c r="I286" s="105"/>
      <c r="J286" s="105"/>
      <c r="K286" s="59"/>
      <c r="L286" s="65"/>
      <c r="M286" s="65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66"/>
      <c r="AN286" s="66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</row>
    <row r="287" ht="15.75" customHeight="1">
      <c r="A287" s="59"/>
      <c r="B287" s="102"/>
      <c r="C287" s="105"/>
      <c r="D287" s="103"/>
      <c r="E287" s="104"/>
      <c r="F287" s="105"/>
      <c r="G287" s="96">
        <f t="shared" si="2"/>
        <v>0</v>
      </c>
      <c r="H287" s="97">
        <f t="shared" si="3"/>
        <v>0</v>
      </c>
      <c r="I287" s="105"/>
      <c r="J287" s="105"/>
      <c r="K287" s="59"/>
      <c r="L287" s="65"/>
      <c r="M287" s="65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66"/>
      <c r="AN287" s="66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</row>
    <row r="288" ht="15.75" customHeight="1">
      <c r="A288" s="59"/>
      <c r="B288" s="102"/>
      <c r="C288" s="105"/>
      <c r="D288" s="103"/>
      <c r="E288" s="104"/>
      <c r="F288" s="105"/>
      <c r="G288" s="96">
        <f t="shared" si="2"/>
        <v>0</v>
      </c>
      <c r="H288" s="97">
        <f t="shared" si="3"/>
        <v>0</v>
      </c>
      <c r="I288" s="105"/>
      <c r="J288" s="105"/>
      <c r="K288" s="59"/>
      <c r="L288" s="65"/>
      <c r="M288" s="65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66"/>
      <c r="AN288" s="66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</row>
    <row r="289" ht="15.75" customHeight="1">
      <c r="A289" s="59"/>
      <c r="B289" s="102"/>
      <c r="C289" s="105"/>
      <c r="D289" s="103"/>
      <c r="E289" s="104"/>
      <c r="F289" s="105"/>
      <c r="G289" s="96">
        <f t="shared" si="2"/>
        <v>0</v>
      </c>
      <c r="H289" s="97">
        <f t="shared" si="3"/>
        <v>0</v>
      </c>
      <c r="I289" s="105"/>
      <c r="J289" s="105"/>
      <c r="K289" s="59"/>
      <c r="L289" s="65"/>
      <c r="M289" s="65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66"/>
      <c r="AN289" s="66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</row>
    <row r="290" ht="15.75" customHeight="1">
      <c r="A290" s="59"/>
      <c r="B290" s="102"/>
      <c r="C290" s="105"/>
      <c r="D290" s="103"/>
      <c r="E290" s="104"/>
      <c r="F290" s="105"/>
      <c r="G290" s="96">
        <f t="shared" si="2"/>
        <v>0</v>
      </c>
      <c r="H290" s="97">
        <f t="shared" si="3"/>
        <v>0</v>
      </c>
      <c r="I290" s="105"/>
      <c r="J290" s="105"/>
      <c r="K290" s="59"/>
      <c r="L290" s="65"/>
      <c r="M290" s="65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66"/>
      <c r="AN290" s="66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</row>
    <row r="291" ht="15.75" customHeight="1">
      <c r="A291" s="59"/>
      <c r="B291" s="102"/>
      <c r="C291" s="105"/>
      <c r="D291" s="103"/>
      <c r="E291" s="104"/>
      <c r="F291" s="105"/>
      <c r="G291" s="96">
        <f t="shared" si="2"/>
        <v>0</v>
      </c>
      <c r="H291" s="97">
        <f t="shared" si="3"/>
        <v>0</v>
      </c>
      <c r="I291" s="105"/>
      <c r="J291" s="105"/>
      <c r="K291" s="59"/>
      <c r="L291" s="65"/>
      <c r="M291" s="65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66"/>
      <c r="AN291" s="66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</row>
    <row r="292" ht="15.75" customHeight="1">
      <c r="A292" s="59"/>
      <c r="B292" s="102"/>
      <c r="C292" s="105"/>
      <c r="D292" s="103"/>
      <c r="E292" s="104"/>
      <c r="F292" s="105"/>
      <c r="G292" s="96">
        <f t="shared" si="2"/>
        <v>0</v>
      </c>
      <c r="H292" s="97">
        <f t="shared" si="3"/>
        <v>0</v>
      </c>
      <c r="I292" s="105"/>
      <c r="J292" s="105"/>
      <c r="K292" s="59"/>
      <c r="L292" s="65"/>
      <c r="M292" s="65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66"/>
      <c r="AN292" s="66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</row>
    <row r="293" ht="15.75" customHeight="1">
      <c r="A293" s="59"/>
      <c r="B293" s="102"/>
      <c r="C293" s="105"/>
      <c r="D293" s="103"/>
      <c r="E293" s="104"/>
      <c r="F293" s="105"/>
      <c r="G293" s="96">
        <f t="shared" si="2"/>
        <v>0</v>
      </c>
      <c r="H293" s="97">
        <f t="shared" si="3"/>
        <v>0</v>
      </c>
      <c r="I293" s="105"/>
      <c r="J293" s="105"/>
      <c r="K293" s="59"/>
      <c r="L293" s="65"/>
      <c r="M293" s="65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66"/>
      <c r="AN293" s="66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</row>
    <row r="294" ht="15.75" customHeight="1">
      <c r="A294" s="59"/>
      <c r="B294" s="102"/>
      <c r="C294" s="105"/>
      <c r="D294" s="103"/>
      <c r="E294" s="104"/>
      <c r="F294" s="105"/>
      <c r="G294" s="96">
        <f t="shared" si="2"/>
        <v>0</v>
      </c>
      <c r="H294" s="97">
        <f t="shared" si="3"/>
        <v>0</v>
      </c>
      <c r="I294" s="105"/>
      <c r="J294" s="105"/>
      <c r="K294" s="59"/>
      <c r="L294" s="65"/>
      <c r="M294" s="65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66"/>
      <c r="AN294" s="66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</row>
    <row r="295" ht="15.75" customHeight="1">
      <c r="A295" s="59"/>
      <c r="B295" s="102"/>
      <c r="C295" s="105"/>
      <c r="D295" s="103"/>
      <c r="E295" s="104"/>
      <c r="F295" s="105"/>
      <c r="G295" s="96">
        <f t="shared" si="2"/>
        <v>0</v>
      </c>
      <c r="H295" s="97">
        <f t="shared" si="3"/>
        <v>0</v>
      </c>
      <c r="I295" s="105"/>
      <c r="J295" s="105"/>
      <c r="K295" s="59"/>
      <c r="L295" s="65"/>
      <c r="M295" s="65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66"/>
      <c r="AN295" s="66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</row>
    <row r="296" ht="15.75" customHeight="1">
      <c r="A296" s="59"/>
      <c r="B296" s="102"/>
      <c r="C296" s="105"/>
      <c r="D296" s="103"/>
      <c r="E296" s="104"/>
      <c r="F296" s="105"/>
      <c r="G296" s="96">
        <f t="shared" si="2"/>
        <v>0</v>
      </c>
      <c r="H296" s="97">
        <f t="shared" si="3"/>
        <v>0</v>
      </c>
      <c r="I296" s="105"/>
      <c r="J296" s="105"/>
      <c r="K296" s="59"/>
      <c r="L296" s="65"/>
      <c r="M296" s="65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66"/>
      <c r="AN296" s="66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</row>
    <row r="297" ht="15.75" customHeight="1">
      <c r="A297" s="59"/>
      <c r="B297" s="102"/>
      <c r="C297" s="105"/>
      <c r="D297" s="103"/>
      <c r="E297" s="104"/>
      <c r="F297" s="105"/>
      <c r="G297" s="96">
        <f t="shared" si="2"/>
        <v>0</v>
      </c>
      <c r="H297" s="97">
        <f t="shared" si="3"/>
        <v>0</v>
      </c>
      <c r="I297" s="105"/>
      <c r="J297" s="105"/>
      <c r="K297" s="59"/>
      <c r="L297" s="65"/>
      <c r="M297" s="65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66"/>
      <c r="AN297" s="66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</row>
    <row r="298" ht="15.75" customHeight="1">
      <c r="A298" s="59"/>
      <c r="B298" s="102"/>
      <c r="C298" s="105"/>
      <c r="D298" s="103"/>
      <c r="E298" s="104"/>
      <c r="F298" s="105"/>
      <c r="G298" s="96">
        <f t="shared" si="2"/>
        <v>0</v>
      </c>
      <c r="H298" s="97">
        <f t="shared" si="3"/>
        <v>0</v>
      </c>
      <c r="I298" s="105"/>
      <c r="J298" s="105"/>
      <c r="K298" s="59"/>
      <c r="L298" s="65"/>
      <c r="M298" s="65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66"/>
      <c r="AN298" s="66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</row>
    <row r="299" ht="15.75" customHeight="1">
      <c r="A299" s="59"/>
      <c r="B299" s="102"/>
      <c r="C299" s="105"/>
      <c r="D299" s="103"/>
      <c r="E299" s="104"/>
      <c r="F299" s="105"/>
      <c r="G299" s="96">
        <f t="shared" si="2"/>
        <v>0</v>
      </c>
      <c r="H299" s="97">
        <f t="shared" si="3"/>
        <v>0</v>
      </c>
      <c r="I299" s="105"/>
      <c r="J299" s="105"/>
      <c r="K299" s="59"/>
      <c r="L299" s="65"/>
      <c r="M299" s="65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66"/>
      <c r="AN299" s="66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</row>
    <row r="300" ht="15.75" customHeight="1">
      <c r="A300" s="59"/>
      <c r="B300" s="102"/>
      <c r="C300" s="105"/>
      <c r="D300" s="103"/>
      <c r="E300" s="104"/>
      <c r="F300" s="105"/>
      <c r="G300" s="96">
        <f t="shared" si="2"/>
        <v>0</v>
      </c>
      <c r="H300" s="97">
        <f t="shared" si="3"/>
        <v>0</v>
      </c>
      <c r="I300" s="105"/>
      <c r="J300" s="105"/>
      <c r="K300" s="59"/>
      <c r="L300" s="65"/>
      <c r="M300" s="65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66"/>
      <c r="AN300" s="66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</row>
    <row r="301" ht="15.75" customHeight="1">
      <c r="A301" s="59"/>
      <c r="B301" s="102"/>
      <c r="C301" s="105"/>
      <c r="D301" s="103"/>
      <c r="E301" s="104"/>
      <c r="F301" s="105"/>
      <c r="G301" s="96">
        <f t="shared" si="2"/>
        <v>0</v>
      </c>
      <c r="H301" s="97">
        <f t="shared" si="3"/>
        <v>0</v>
      </c>
      <c r="I301" s="105"/>
      <c r="J301" s="105"/>
      <c r="K301" s="59"/>
      <c r="L301" s="65"/>
      <c r="M301" s="65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66"/>
      <c r="AN301" s="66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</row>
    <row r="302" ht="15.75" customHeight="1">
      <c r="A302" s="59"/>
      <c r="B302" s="102"/>
      <c r="C302" s="105"/>
      <c r="D302" s="103"/>
      <c r="E302" s="104"/>
      <c r="F302" s="105"/>
      <c r="G302" s="96">
        <f t="shared" si="2"/>
        <v>0</v>
      </c>
      <c r="H302" s="97">
        <f t="shared" si="3"/>
        <v>0</v>
      </c>
      <c r="I302" s="105"/>
      <c r="J302" s="105"/>
      <c r="K302" s="59"/>
      <c r="L302" s="65"/>
      <c r="M302" s="65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66"/>
      <c r="AN302" s="66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</row>
    <row r="303" ht="15.75" customHeight="1">
      <c r="A303" s="59"/>
      <c r="B303" s="102"/>
      <c r="C303" s="105"/>
      <c r="D303" s="103"/>
      <c r="E303" s="104"/>
      <c r="F303" s="105"/>
      <c r="G303" s="96">
        <f t="shared" si="2"/>
        <v>0</v>
      </c>
      <c r="H303" s="97">
        <f t="shared" si="3"/>
        <v>0</v>
      </c>
      <c r="I303" s="105"/>
      <c r="J303" s="105"/>
      <c r="K303" s="59"/>
      <c r="L303" s="65"/>
      <c r="M303" s="65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66"/>
      <c r="AN303" s="66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</row>
    <row r="304" ht="15.75" customHeight="1">
      <c r="A304" s="59"/>
      <c r="B304" s="102"/>
      <c r="C304" s="105"/>
      <c r="D304" s="103"/>
      <c r="E304" s="104"/>
      <c r="F304" s="105"/>
      <c r="G304" s="96">
        <f t="shared" si="2"/>
        <v>0</v>
      </c>
      <c r="H304" s="97">
        <f t="shared" si="3"/>
        <v>0</v>
      </c>
      <c r="I304" s="105"/>
      <c r="J304" s="105"/>
      <c r="K304" s="59"/>
      <c r="L304" s="65"/>
      <c r="M304" s="65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66"/>
      <c r="AN304" s="66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</row>
    <row r="305" ht="15.75" customHeight="1">
      <c r="A305" s="59"/>
      <c r="B305" s="102"/>
      <c r="C305" s="105"/>
      <c r="D305" s="103"/>
      <c r="E305" s="104"/>
      <c r="F305" s="105"/>
      <c r="G305" s="96">
        <f t="shared" si="2"/>
        <v>0</v>
      </c>
      <c r="H305" s="97">
        <f t="shared" si="3"/>
        <v>0</v>
      </c>
      <c r="I305" s="105"/>
      <c r="J305" s="105"/>
      <c r="K305" s="59"/>
      <c r="L305" s="65"/>
      <c r="M305" s="65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66"/>
      <c r="AN305" s="66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</row>
    <row r="306" ht="15.75" customHeight="1">
      <c r="A306" s="59"/>
      <c r="B306" s="102"/>
      <c r="C306" s="105"/>
      <c r="D306" s="103"/>
      <c r="E306" s="104"/>
      <c r="F306" s="105"/>
      <c r="G306" s="96">
        <f t="shared" si="2"/>
        <v>0</v>
      </c>
      <c r="H306" s="97">
        <f t="shared" si="3"/>
        <v>0</v>
      </c>
      <c r="I306" s="105"/>
      <c r="J306" s="105"/>
      <c r="K306" s="59"/>
      <c r="L306" s="65"/>
      <c r="M306" s="65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66"/>
      <c r="AN306" s="66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</row>
    <row r="307" ht="15.75" customHeight="1">
      <c r="A307" s="59"/>
      <c r="B307" s="102"/>
      <c r="C307" s="105"/>
      <c r="D307" s="103"/>
      <c r="E307" s="104"/>
      <c r="F307" s="105"/>
      <c r="G307" s="96">
        <f t="shared" si="2"/>
        <v>0</v>
      </c>
      <c r="H307" s="97">
        <f t="shared" si="3"/>
        <v>0</v>
      </c>
      <c r="I307" s="105"/>
      <c r="J307" s="105"/>
      <c r="K307" s="59"/>
      <c r="L307" s="65"/>
      <c r="M307" s="65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66"/>
      <c r="AN307" s="66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</row>
    <row r="308" ht="15.75" customHeight="1">
      <c r="A308" s="59"/>
      <c r="B308" s="102"/>
      <c r="C308" s="105"/>
      <c r="D308" s="103"/>
      <c r="E308" s="104"/>
      <c r="F308" s="105"/>
      <c r="G308" s="96">
        <f t="shared" si="2"/>
        <v>0</v>
      </c>
      <c r="H308" s="97">
        <f t="shared" si="3"/>
        <v>0</v>
      </c>
      <c r="I308" s="105"/>
      <c r="J308" s="105"/>
      <c r="K308" s="59"/>
      <c r="L308" s="65"/>
      <c r="M308" s="65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66"/>
      <c r="AN308" s="66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</row>
    <row r="309" ht="15.75" customHeight="1">
      <c r="A309" s="59"/>
      <c r="B309" s="102"/>
      <c r="C309" s="105"/>
      <c r="D309" s="103"/>
      <c r="E309" s="104"/>
      <c r="F309" s="105"/>
      <c r="G309" s="96">
        <f t="shared" si="2"/>
        <v>0</v>
      </c>
      <c r="H309" s="97">
        <f t="shared" si="3"/>
        <v>0</v>
      </c>
      <c r="I309" s="105"/>
      <c r="J309" s="105"/>
      <c r="K309" s="59"/>
      <c r="L309" s="65"/>
      <c r="M309" s="65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66"/>
      <c r="AN309" s="66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</row>
    <row r="310" ht="15.75" customHeight="1">
      <c r="A310" s="59"/>
      <c r="B310" s="102"/>
      <c r="C310" s="105"/>
      <c r="D310" s="103"/>
      <c r="E310" s="104"/>
      <c r="F310" s="105"/>
      <c r="G310" s="96">
        <f t="shared" si="2"/>
        <v>0</v>
      </c>
      <c r="H310" s="97">
        <f t="shared" si="3"/>
        <v>0</v>
      </c>
      <c r="I310" s="105"/>
      <c r="J310" s="105"/>
      <c r="K310" s="59"/>
      <c r="L310" s="65"/>
      <c r="M310" s="65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66"/>
      <c r="AN310" s="66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</row>
    <row r="311" ht="15.75" customHeight="1">
      <c r="A311" s="59"/>
      <c r="B311" s="102"/>
      <c r="C311" s="105"/>
      <c r="D311" s="103"/>
      <c r="E311" s="104"/>
      <c r="F311" s="105"/>
      <c r="G311" s="96">
        <f t="shared" si="2"/>
        <v>0</v>
      </c>
      <c r="H311" s="97">
        <f t="shared" si="3"/>
        <v>0</v>
      </c>
      <c r="I311" s="105"/>
      <c r="J311" s="105"/>
      <c r="K311" s="59"/>
      <c r="L311" s="65"/>
      <c r="M311" s="65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66"/>
      <c r="AN311" s="66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</row>
    <row r="312" ht="15.75" customHeight="1">
      <c r="A312" s="59"/>
      <c r="B312" s="102"/>
      <c r="C312" s="105"/>
      <c r="D312" s="103"/>
      <c r="E312" s="104"/>
      <c r="F312" s="105"/>
      <c r="G312" s="96">
        <f t="shared" si="2"/>
        <v>0</v>
      </c>
      <c r="H312" s="97">
        <f t="shared" si="3"/>
        <v>0</v>
      </c>
      <c r="I312" s="105"/>
      <c r="J312" s="105"/>
      <c r="K312" s="59"/>
      <c r="L312" s="65"/>
      <c r="M312" s="65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66"/>
      <c r="AN312" s="66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</row>
    <row r="313" ht="15.75" customHeight="1">
      <c r="A313" s="59"/>
      <c r="B313" s="102"/>
      <c r="C313" s="105"/>
      <c r="D313" s="103"/>
      <c r="E313" s="104"/>
      <c r="F313" s="105"/>
      <c r="G313" s="96">
        <f t="shared" si="2"/>
        <v>0</v>
      </c>
      <c r="H313" s="97">
        <f t="shared" si="3"/>
        <v>0</v>
      </c>
      <c r="I313" s="105"/>
      <c r="J313" s="105"/>
      <c r="K313" s="59"/>
      <c r="L313" s="65"/>
      <c r="M313" s="65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66"/>
      <c r="AN313" s="66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</row>
    <row r="314" ht="15.75" customHeight="1">
      <c r="A314" s="59"/>
      <c r="B314" s="102"/>
      <c r="C314" s="105"/>
      <c r="D314" s="103"/>
      <c r="E314" s="104"/>
      <c r="F314" s="105"/>
      <c r="G314" s="96">
        <f t="shared" si="2"/>
        <v>0</v>
      </c>
      <c r="H314" s="97">
        <f t="shared" si="3"/>
        <v>0</v>
      </c>
      <c r="I314" s="105"/>
      <c r="J314" s="105"/>
      <c r="K314" s="59"/>
      <c r="L314" s="65"/>
      <c r="M314" s="65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66"/>
      <c r="AN314" s="66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</row>
    <row r="315" ht="15.75" customHeight="1">
      <c r="A315" s="59"/>
      <c r="B315" s="102"/>
      <c r="C315" s="105"/>
      <c r="D315" s="103"/>
      <c r="E315" s="104"/>
      <c r="F315" s="105"/>
      <c r="G315" s="96">
        <f t="shared" si="2"/>
        <v>0</v>
      </c>
      <c r="H315" s="97">
        <f t="shared" si="3"/>
        <v>0</v>
      </c>
      <c r="I315" s="105"/>
      <c r="J315" s="105"/>
      <c r="K315" s="59"/>
      <c r="L315" s="65"/>
      <c r="M315" s="65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66"/>
      <c r="AN315" s="66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</row>
    <row r="316" ht="15.75" customHeight="1">
      <c r="A316" s="59"/>
      <c r="B316" s="102"/>
      <c r="C316" s="105"/>
      <c r="D316" s="103"/>
      <c r="E316" s="104"/>
      <c r="F316" s="105"/>
      <c r="G316" s="96">
        <f t="shared" si="2"/>
        <v>0</v>
      </c>
      <c r="H316" s="97">
        <f t="shared" si="3"/>
        <v>0</v>
      </c>
      <c r="I316" s="105"/>
      <c r="J316" s="105"/>
      <c r="K316" s="59"/>
      <c r="L316" s="65"/>
      <c r="M316" s="65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66"/>
      <c r="AN316" s="66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</row>
    <row r="317" ht="15.75" customHeight="1">
      <c r="A317" s="59"/>
      <c r="B317" s="102"/>
      <c r="C317" s="105"/>
      <c r="D317" s="103"/>
      <c r="E317" s="104"/>
      <c r="F317" s="105"/>
      <c r="G317" s="96">
        <f t="shared" si="2"/>
        <v>0</v>
      </c>
      <c r="H317" s="97">
        <f t="shared" si="3"/>
        <v>0</v>
      </c>
      <c r="I317" s="105"/>
      <c r="J317" s="105"/>
      <c r="K317" s="59"/>
      <c r="L317" s="65"/>
      <c r="M317" s="65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66"/>
      <c r="AN317" s="66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</row>
    <row r="318" ht="15.75" customHeight="1">
      <c r="A318" s="59"/>
      <c r="B318" s="102"/>
      <c r="C318" s="105"/>
      <c r="D318" s="103"/>
      <c r="E318" s="104"/>
      <c r="F318" s="105"/>
      <c r="G318" s="96">
        <f t="shared" si="2"/>
        <v>0</v>
      </c>
      <c r="H318" s="97">
        <f t="shared" si="3"/>
        <v>0</v>
      </c>
      <c r="I318" s="105"/>
      <c r="J318" s="105"/>
      <c r="K318" s="59"/>
      <c r="L318" s="65"/>
      <c r="M318" s="65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66"/>
      <c r="AN318" s="66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</row>
    <row r="319" ht="15.75" customHeight="1">
      <c r="A319" s="59"/>
      <c r="B319" s="102"/>
      <c r="C319" s="105"/>
      <c r="D319" s="103"/>
      <c r="E319" s="104"/>
      <c r="F319" s="105"/>
      <c r="G319" s="96">
        <f t="shared" si="2"/>
        <v>0</v>
      </c>
      <c r="H319" s="97">
        <f t="shared" si="3"/>
        <v>0</v>
      </c>
      <c r="I319" s="105"/>
      <c r="J319" s="105"/>
      <c r="K319" s="59"/>
      <c r="L319" s="65"/>
      <c r="M319" s="65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66"/>
      <c r="AN319" s="66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</row>
    <row r="320" ht="15.75" customHeight="1">
      <c r="A320" s="59"/>
      <c r="B320" s="102"/>
      <c r="C320" s="105"/>
      <c r="D320" s="103"/>
      <c r="E320" s="104"/>
      <c r="F320" s="105"/>
      <c r="G320" s="96">
        <f t="shared" si="2"/>
        <v>0</v>
      </c>
      <c r="H320" s="97">
        <f t="shared" si="3"/>
        <v>0</v>
      </c>
      <c r="I320" s="105"/>
      <c r="J320" s="105"/>
      <c r="K320" s="59"/>
      <c r="L320" s="65"/>
      <c r="M320" s="65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66"/>
      <c r="AN320" s="66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</row>
    <row r="321" ht="15.75" customHeight="1">
      <c r="A321" s="59"/>
      <c r="B321" s="102"/>
      <c r="C321" s="105"/>
      <c r="D321" s="103"/>
      <c r="E321" s="104"/>
      <c r="F321" s="105"/>
      <c r="G321" s="96">
        <f t="shared" si="2"/>
        <v>0</v>
      </c>
      <c r="H321" s="97">
        <f t="shared" si="3"/>
        <v>0</v>
      </c>
      <c r="I321" s="105"/>
      <c r="J321" s="105"/>
      <c r="K321" s="59"/>
      <c r="L321" s="65"/>
      <c r="M321" s="65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66"/>
      <c r="AN321" s="66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</row>
    <row r="322" ht="15.75" customHeight="1">
      <c r="A322" s="59"/>
      <c r="B322" s="102"/>
      <c r="C322" s="105"/>
      <c r="D322" s="103"/>
      <c r="E322" s="104"/>
      <c r="F322" s="105"/>
      <c r="G322" s="96">
        <f t="shared" si="2"/>
        <v>0</v>
      </c>
      <c r="H322" s="97">
        <f t="shared" si="3"/>
        <v>0</v>
      </c>
      <c r="I322" s="105"/>
      <c r="J322" s="105"/>
      <c r="K322" s="59"/>
      <c r="L322" s="65"/>
      <c r="M322" s="65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66"/>
      <c r="AN322" s="66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</row>
    <row r="323" ht="15.75" customHeight="1">
      <c r="A323" s="59"/>
      <c r="B323" s="102"/>
      <c r="C323" s="105"/>
      <c r="D323" s="103"/>
      <c r="E323" s="104"/>
      <c r="F323" s="105"/>
      <c r="G323" s="96">
        <f t="shared" si="2"/>
        <v>0</v>
      </c>
      <c r="H323" s="97">
        <f t="shared" si="3"/>
        <v>0</v>
      </c>
      <c r="I323" s="105"/>
      <c r="J323" s="105"/>
      <c r="K323" s="59"/>
      <c r="L323" s="65"/>
      <c r="M323" s="65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66"/>
      <c r="AN323" s="66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</row>
    <row r="324" ht="15.75" customHeight="1">
      <c r="A324" s="59"/>
      <c r="B324" s="102"/>
      <c r="C324" s="105"/>
      <c r="D324" s="103"/>
      <c r="E324" s="104"/>
      <c r="F324" s="105"/>
      <c r="G324" s="96">
        <f t="shared" si="2"/>
        <v>0</v>
      </c>
      <c r="H324" s="97">
        <f t="shared" si="3"/>
        <v>0</v>
      </c>
      <c r="I324" s="105"/>
      <c r="J324" s="105"/>
      <c r="K324" s="59"/>
      <c r="L324" s="65"/>
      <c r="M324" s="65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66"/>
      <c r="AN324" s="66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</row>
    <row r="325" ht="15.75" customHeight="1">
      <c r="A325" s="59"/>
      <c r="B325" s="102"/>
      <c r="C325" s="105"/>
      <c r="D325" s="103"/>
      <c r="E325" s="104"/>
      <c r="F325" s="105"/>
      <c r="G325" s="96">
        <f t="shared" si="2"/>
        <v>0</v>
      </c>
      <c r="H325" s="97">
        <f t="shared" si="3"/>
        <v>0</v>
      </c>
      <c r="I325" s="105"/>
      <c r="J325" s="105"/>
      <c r="K325" s="59"/>
      <c r="L325" s="65"/>
      <c r="M325" s="65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66"/>
      <c r="AN325" s="66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</row>
    <row r="326" ht="15.75" customHeight="1">
      <c r="A326" s="59"/>
      <c r="B326" s="102"/>
      <c r="C326" s="105"/>
      <c r="D326" s="103"/>
      <c r="E326" s="104"/>
      <c r="F326" s="105"/>
      <c r="G326" s="96">
        <f t="shared" si="2"/>
        <v>0</v>
      </c>
      <c r="H326" s="97">
        <f t="shared" si="3"/>
        <v>0</v>
      </c>
      <c r="I326" s="105"/>
      <c r="J326" s="105"/>
      <c r="K326" s="59"/>
      <c r="L326" s="65"/>
      <c r="M326" s="65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66"/>
      <c r="AN326" s="66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</row>
    <row r="327" ht="15.75" customHeight="1">
      <c r="A327" s="59"/>
      <c r="B327" s="102"/>
      <c r="C327" s="105"/>
      <c r="D327" s="103"/>
      <c r="E327" s="104"/>
      <c r="F327" s="105"/>
      <c r="G327" s="96">
        <f t="shared" si="2"/>
        <v>0</v>
      </c>
      <c r="H327" s="97">
        <f t="shared" si="3"/>
        <v>0</v>
      </c>
      <c r="I327" s="105"/>
      <c r="J327" s="105"/>
      <c r="K327" s="59"/>
      <c r="L327" s="65"/>
      <c r="M327" s="65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66"/>
      <c r="AN327" s="66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</row>
    <row r="328" ht="15.75" customHeight="1">
      <c r="A328" s="59"/>
      <c r="B328" s="102"/>
      <c r="C328" s="105"/>
      <c r="D328" s="103"/>
      <c r="E328" s="104"/>
      <c r="F328" s="105"/>
      <c r="G328" s="96">
        <f t="shared" si="2"/>
        <v>0</v>
      </c>
      <c r="H328" s="97">
        <f t="shared" si="3"/>
        <v>0</v>
      </c>
      <c r="I328" s="105"/>
      <c r="J328" s="105"/>
      <c r="K328" s="59"/>
      <c r="L328" s="65"/>
      <c r="M328" s="65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66"/>
      <c r="AN328" s="66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</row>
    <row r="329" ht="15.75" customHeight="1">
      <c r="A329" s="59"/>
      <c r="B329" s="102"/>
      <c r="C329" s="105"/>
      <c r="D329" s="103"/>
      <c r="E329" s="104"/>
      <c r="F329" s="105"/>
      <c r="G329" s="96">
        <f t="shared" si="2"/>
        <v>0</v>
      </c>
      <c r="H329" s="97">
        <f t="shared" si="3"/>
        <v>0</v>
      </c>
      <c r="I329" s="105"/>
      <c r="J329" s="105"/>
      <c r="K329" s="59"/>
      <c r="L329" s="65"/>
      <c r="M329" s="65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66"/>
      <c r="AN329" s="66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</row>
    <row r="330" ht="15.75" customHeight="1">
      <c r="A330" s="59"/>
      <c r="B330" s="102"/>
      <c r="C330" s="105"/>
      <c r="D330" s="103"/>
      <c r="E330" s="104"/>
      <c r="F330" s="105"/>
      <c r="G330" s="96">
        <f t="shared" si="2"/>
        <v>0</v>
      </c>
      <c r="H330" s="97">
        <f t="shared" si="3"/>
        <v>0</v>
      </c>
      <c r="I330" s="105"/>
      <c r="J330" s="105"/>
      <c r="K330" s="59"/>
      <c r="L330" s="65"/>
      <c r="M330" s="65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66"/>
      <c r="AN330" s="66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</row>
    <row r="331" ht="15.75" customHeight="1">
      <c r="A331" s="59"/>
      <c r="B331" s="102"/>
      <c r="C331" s="105"/>
      <c r="D331" s="103"/>
      <c r="E331" s="104"/>
      <c r="F331" s="105"/>
      <c r="G331" s="96">
        <f t="shared" si="2"/>
        <v>0</v>
      </c>
      <c r="H331" s="97">
        <f t="shared" si="3"/>
        <v>0</v>
      </c>
      <c r="I331" s="105"/>
      <c r="J331" s="105"/>
      <c r="K331" s="59"/>
      <c r="L331" s="65"/>
      <c r="M331" s="65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66"/>
      <c r="AN331" s="66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</row>
    <row r="332" ht="15.75" customHeight="1">
      <c r="A332" s="59"/>
      <c r="B332" s="102"/>
      <c r="C332" s="105"/>
      <c r="D332" s="103"/>
      <c r="E332" s="104"/>
      <c r="F332" s="105"/>
      <c r="G332" s="96">
        <f t="shared" si="2"/>
        <v>0</v>
      </c>
      <c r="H332" s="97">
        <f t="shared" si="3"/>
        <v>0</v>
      </c>
      <c r="I332" s="105"/>
      <c r="J332" s="105"/>
      <c r="K332" s="59"/>
      <c r="L332" s="65"/>
      <c r="M332" s="65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66"/>
      <c r="AN332" s="66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59"/>
      <c r="CF332" s="59"/>
      <c r="CG332" s="59"/>
      <c r="CH332" s="59"/>
      <c r="CI332" s="59"/>
      <c r="CJ332" s="59"/>
      <c r="CK332" s="59"/>
    </row>
    <row r="333" ht="15.75" customHeight="1">
      <c r="A333" s="59"/>
      <c r="B333" s="102"/>
      <c r="C333" s="105"/>
      <c r="D333" s="103"/>
      <c r="E333" s="104"/>
      <c r="F333" s="105"/>
      <c r="G333" s="96">
        <f t="shared" si="2"/>
        <v>0</v>
      </c>
      <c r="H333" s="97">
        <f t="shared" si="3"/>
        <v>0</v>
      </c>
      <c r="I333" s="105"/>
      <c r="J333" s="105"/>
      <c r="K333" s="59"/>
      <c r="L333" s="65"/>
      <c r="M333" s="65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66"/>
      <c r="AN333" s="66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59"/>
      <c r="CF333" s="59"/>
      <c r="CG333" s="59"/>
      <c r="CH333" s="59"/>
      <c r="CI333" s="59"/>
      <c r="CJ333" s="59"/>
      <c r="CK333" s="59"/>
    </row>
    <row r="334" ht="15.75" customHeight="1">
      <c r="A334" s="59"/>
      <c r="B334" s="102"/>
      <c r="C334" s="105"/>
      <c r="D334" s="103"/>
      <c r="E334" s="104"/>
      <c r="F334" s="105"/>
      <c r="G334" s="96">
        <f t="shared" si="2"/>
        <v>0</v>
      </c>
      <c r="H334" s="97">
        <f t="shared" si="3"/>
        <v>0</v>
      </c>
      <c r="I334" s="105"/>
      <c r="J334" s="105"/>
      <c r="K334" s="59"/>
      <c r="L334" s="65"/>
      <c r="M334" s="65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66"/>
      <c r="AN334" s="66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9"/>
      <c r="CH334" s="59"/>
      <c r="CI334" s="59"/>
      <c r="CJ334" s="59"/>
      <c r="CK334" s="59"/>
    </row>
    <row r="335" ht="15.75" customHeight="1">
      <c r="A335" s="59"/>
      <c r="B335" s="102"/>
      <c r="C335" s="105"/>
      <c r="D335" s="103"/>
      <c r="E335" s="104"/>
      <c r="F335" s="105"/>
      <c r="G335" s="96">
        <f t="shared" si="2"/>
        <v>0</v>
      </c>
      <c r="H335" s="97">
        <f t="shared" si="3"/>
        <v>0</v>
      </c>
      <c r="I335" s="105"/>
      <c r="J335" s="105"/>
      <c r="K335" s="59"/>
      <c r="L335" s="65"/>
      <c r="M335" s="65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66"/>
      <c r="AN335" s="66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59"/>
      <c r="CF335" s="59"/>
      <c r="CG335" s="59"/>
      <c r="CH335" s="59"/>
      <c r="CI335" s="59"/>
      <c r="CJ335" s="59"/>
      <c r="CK335" s="59"/>
    </row>
    <row r="336" ht="15.75" customHeight="1">
      <c r="A336" s="59"/>
      <c r="B336" s="102"/>
      <c r="C336" s="105"/>
      <c r="D336" s="103"/>
      <c r="E336" s="104"/>
      <c r="F336" s="105"/>
      <c r="G336" s="96">
        <f t="shared" si="2"/>
        <v>0</v>
      </c>
      <c r="H336" s="97">
        <f t="shared" si="3"/>
        <v>0</v>
      </c>
      <c r="I336" s="105"/>
      <c r="J336" s="105"/>
      <c r="K336" s="59"/>
      <c r="L336" s="65"/>
      <c r="M336" s="65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66"/>
      <c r="AN336" s="66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59"/>
      <c r="CF336" s="59"/>
      <c r="CG336" s="59"/>
      <c r="CH336" s="59"/>
      <c r="CI336" s="59"/>
      <c r="CJ336" s="59"/>
      <c r="CK336" s="59"/>
    </row>
    <row r="337" ht="15.75" customHeight="1">
      <c r="A337" s="59"/>
      <c r="B337" s="102"/>
      <c r="C337" s="105"/>
      <c r="D337" s="103"/>
      <c r="E337" s="104"/>
      <c r="F337" s="105"/>
      <c r="G337" s="96">
        <f t="shared" si="2"/>
        <v>0</v>
      </c>
      <c r="H337" s="97">
        <f t="shared" si="3"/>
        <v>0</v>
      </c>
      <c r="I337" s="105"/>
      <c r="J337" s="105"/>
      <c r="K337" s="59"/>
      <c r="L337" s="65"/>
      <c r="M337" s="65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66"/>
      <c r="AN337" s="66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59"/>
      <c r="CF337" s="59"/>
      <c r="CG337" s="59"/>
      <c r="CH337" s="59"/>
      <c r="CI337" s="59"/>
      <c r="CJ337" s="59"/>
      <c r="CK337" s="59"/>
    </row>
    <row r="338" ht="15.75" customHeight="1">
      <c r="A338" s="59"/>
      <c r="B338" s="102"/>
      <c r="C338" s="105"/>
      <c r="D338" s="103"/>
      <c r="E338" s="104"/>
      <c r="F338" s="105"/>
      <c r="G338" s="96">
        <f t="shared" si="2"/>
        <v>0</v>
      </c>
      <c r="H338" s="97">
        <f t="shared" si="3"/>
        <v>0</v>
      </c>
      <c r="I338" s="105"/>
      <c r="J338" s="105"/>
      <c r="K338" s="59"/>
      <c r="L338" s="65"/>
      <c r="M338" s="65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66"/>
      <c r="AN338" s="66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59"/>
      <c r="CF338" s="59"/>
      <c r="CG338" s="59"/>
      <c r="CH338" s="59"/>
      <c r="CI338" s="59"/>
      <c r="CJ338" s="59"/>
      <c r="CK338" s="59"/>
    </row>
    <row r="339" ht="15.75" customHeight="1">
      <c r="A339" s="59"/>
      <c r="B339" s="102"/>
      <c r="C339" s="105"/>
      <c r="D339" s="103"/>
      <c r="E339" s="104"/>
      <c r="F339" s="105"/>
      <c r="G339" s="96">
        <f t="shared" si="2"/>
        <v>0</v>
      </c>
      <c r="H339" s="97">
        <f t="shared" si="3"/>
        <v>0</v>
      </c>
      <c r="I339" s="105"/>
      <c r="J339" s="105"/>
      <c r="K339" s="59"/>
      <c r="L339" s="65"/>
      <c r="M339" s="65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66"/>
      <c r="AN339" s="66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59"/>
      <c r="CF339" s="59"/>
      <c r="CG339" s="59"/>
      <c r="CH339" s="59"/>
      <c r="CI339" s="59"/>
      <c r="CJ339" s="59"/>
      <c r="CK339" s="59"/>
    </row>
    <row r="340" ht="15.75" customHeight="1">
      <c r="A340" s="59"/>
      <c r="B340" s="102"/>
      <c r="C340" s="105"/>
      <c r="D340" s="103"/>
      <c r="E340" s="104"/>
      <c r="F340" s="105"/>
      <c r="G340" s="96">
        <f t="shared" si="2"/>
        <v>0</v>
      </c>
      <c r="H340" s="97">
        <f t="shared" si="3"/>
        <v>0</v>
      </c>
      <c r="I340" s="105"/>
      <c r="J340" s="105"/>
      <c r="K340" s="59"/>
      <c r="L340" s="65"/>
      <c r="M340" s="65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66"/>
      <c r="AN340" s="66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  <c r="CK340" s="59"/>
    </row>
    <row r="341" ht="15.75" customHeight="1">
      <c r="A341" s="59"/>
      <c r="B341" s="102"/>
      <c r="C341" s="105"/>
      <c r="D341" s="103"/>
      <c r="E341" s="104"/>
      <c r="F341" s="105"/>
      <c r="G341" s="96">
        <f t="shared" si="2"/>
        <v>0</v>
      </c>
      <c r="H341" s="97">
        <f t="shared" si="3"/>
        <v>0</v>
      </c>
      <c r="I341" s="105"/>
      <c r="J341" s="105"/>
      <c r="K341" s="59"/>
      <c r="L341" s="65"/>
      <c r="M341" s="65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66"/>
      <c r="AN341" s="66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59"/>
      <c r="CF341" s="59"/>
      <c r="CG341" s="59"/>
      <c r="CH341" s="59"/>
      <c r="CI341" s="59"/>
      <c r="CJ341" s="59"/>
      <c r="CK341" s="59"/>
    </row>
    <row r="342" ht="15.75" customHeight="1">
      <c r="A342" s="59"/>
      <c r="B342" s="102"/>
      <c r="C342" s="105"/>
      <c r="D342" s="103"/>
      <c r="E342" s="104"/>
      <c r="F342" s="105"/>
      <c r="G342" s="96">
        <f t="shared" si="2"/>
        <v>0</v>
      </c>
      <c r="H342" s="97">
        <f t="shared" si="3"/>
        <v>0</v>
      </c>
      <c r="I342" s="105"/>
      <c r="J342" s="105"/>
      <c r="K342" s="59"/>
      <c r="L342" s="65"/>
      <c r="M342" s="65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66"/>
      <c r="AN342" s="66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59"/>
      <c r="CH342" s="59"/>
      <c r="CI342" s="59"/>
      <c r="CJ342" s="59"/>
      <c r="CK342" s="59"/>
    </row>
    <row r="343" ht="15.75" customHeight="1">
      <c r="A343" s="59"/>
      <c r="B343" s="102"/>
      <c r="C343" s="105"/>
      <c r="D343" s="103"/>
      <c r="E343" s="104"/>
      <c r="F343" s="105"/>
      <c r="G343" s="96">
        <f t="shared" si="2"/>
        <v>0</v>
      </c>
      <c r="H343" s="97">
        <f t="shared" si="3"/>
        <v>0</v>
      </c>
      <c r="I343" s="105"/>
      <c r="J343" s="105"/>
      <c r="K343" s="59"/>
      <c r="L343" s="65"/>
      <c r="M343" s="65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66"/>
      <c r="AN343" s="66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59"/>
      <c r="CF343" s="59"/>
      <c r="CG343" s="59"/>
      <c r="CH343" s="59"/>
      <c r="CI343" s="59"/>
      <c r="CJ343" s="59"/>
      <c r="CK343" s="59"/>
    </row>
    <row r="344" ht="15.75" customHeight="1">
      <c r="A344" s="59"/>
      <c r="B344" s="102"/>
      <c r="C344" s="105"/>
      <c r="D344" s="103"/>
      <c r="E344" s="104"/>
      <c r="F344" s="105"/>
      <c r="G344" s="96">
        <f t="shared" si="2"/>
        <v>0</v>
      </c>
      <c r="H344" s="97">
        <f t="shared" si="3"/>
        <v>0</v>
      </c>
      <c r="I344" s="105"/>
      <c r="J344" s="105"/>
      <c r="K344" s="59"/>
      <c r="L344" s="65"/>
      <c r="M344" s="65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66"/>
      <c r="AN344" s="66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59"/>
      <c r="CF344" s="59"/>
      <c r="CG344" s="59"/>
      <c r="CH344" s="59"/>
      <c r="CI344" s="59"/>
      <c r="CJ344" s="59"/>
      <c r="CK344" s="59"/>
    </row>
    <row r="345" ht="15.75" customHeight="1">
      <c r="A345" s="59"/>
      <c r="B345" s="102"/>
      <c r="C345" s="105"/>
      <c r="D345" s="103"/>
      <c r="E345" s="104"/>
      <c r="F345" s="105"/>
      <c r="G345" s="96">
        <f t="shared" si="2"/>
        <v>0</v>
      </c>
      <c r="H345" s="97">
        <f t="shared" si="3"/>
        <v>0</v>
      </c>
      <c r="I345" s="105"/>
      <c r="J345" s="105"/>
      <c r="K345" s="59"/>
      <c r="L345" s="65"/>
      <c r="M345" s="65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66"/>
      <c r="AN345" s="66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59"/>
      <c r="CF345" s="59"/>
      <c r="CG345" s="59"/>
      <c r="CH345" s="59"/>
      <c r="CI345" s="59"/>
      <c r="CJ345" s="59"/>
      <c r="CK345" s="59"/>
    </row>
    <row r="346" ht="15.75" customHeight="1">
      <c r="A346" s="59"/>
      <c r="B346" s="102"/>
      <c r="C346" s="105"/>
      <c r="D346" s="103"/>
      <c r="E346" s="104"/>
      <c r="F346" s="105"/>
      <c r="G346" s="96">
        <f t="shared" si="2"/>
        <v>0</v>
      </c>
      <c r="H346" s="97">
        <f t="shared" si="3"/>
        <v>0</v>
      </c>
      <c r="I346" s="105"/>
      <c r="J346" s="105"/>
      <c r="K346" s="59"/>
      <c r="L346" s="65"/>
      <c r="M346" s="65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66"/>
      <c r="AN346" s="66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59"/>
      <c r="CF346" s="59"/>
      <c r="CG346" s="59"/>
      <c r="CH346" s="59"/>
      <c r="CI346" s="59"/>
      <c r="CJ346" s="59"/>
      <c r="CK346" s="59"/>
    </row>
    <row r="347" ht="15.75" customHeight="1">
      <c r="A347" s="59"/>
      <c r="B347" s="102"/>
      <c r="C347" s="105"/>
      <c r="D347" s="103"/>
      <c r="E347" s="104"/>
      <c r="F347" s="105"/>
      <c r="G347" s="96">
        <f t="shared" si="2"/>
        <v>0</v>
      </c>
      <c r="H347" s="97">
        <f t="shared" si="3"/>
        <v>0</v>
      </c>
      <c r="I347" s="105"/>
      <c r="J347" s="105"/>
      <c r="K347" s="59"/>
      <c r="L347" s="65"/>
      <c r="M347" s="65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66"/>
      <c r="AN347" s="66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59"/>
      <c r="CF347" s="59"/>
      <c r="CG347" s="59"/>
      <c r="CH347" s="59"/>
      <c r="CI347" s="59"/>
      <c r="CJ347" s="59"/>
      <c r="CK347" s="59"/>
    </row>
    <row r="348" ht="15.75" customHeight="1">
      <c r="A348" s="59"/>
      <c r="B348" s="102"/>
      <c r="C348" s="105"/>
      <c r="D348" s="103"/>
      <c r="E348" s="104"/>
      <c r="F348" s="105"/>
      <c r="G348" s="96">
        <f t="shared" si="2"/>
        <v>0</v>
      </c>
      <c r="H348" s="97">
        <f t="shared" si="3"/>
        <v>0</v>
      </c>
      <c r="I348" s="105"/>
      <c r="J348" s="105"/>
      <c r="K348" s="59"/>
      <c r="L348" s="65"/>
      <c r="M348" s="65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66"/>
      <c r="AN348" s="66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</row>
    <row r="349" ht="15.75" customHeight="1">
      <c r="A349" s="59"/>
      <c r="B349" s="102"/>
      <c r="C349" s="105"/>
      <c r="D349" s="103"/>
      <c r="E349" s="104"/>
      <c r="F349" s="105"/>
      <c r="G349" s="96">
        <f t="shared" si="2"/>
        <v>0</v>
      </c>
      <c r="H349" s="97">
        <f t="shared" si="3"/>
        <v>0</v>
      </c>
      <c r="I349" s="105"/>
      <c r="J349" s="105"/>
      <c r="K349" s="59"/>
      <c r="L349" s="65"/>
      <c r="M349" s="65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66"/>
      <c r="AN349" s="66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</row>
    <row r="350" ht="15.75" customHeight="1">
      <c r="A350" s="59"/>
      <c r="B350" s="102"/>
      <c r="C350" s="105"/>
      <c r="D350" s="103"/>
      <c r="E350" s="104"/>
      <c r="F350" s="105"/>
      <c r="G350" s="96">
        <f t="shared" si="2"/>
        <v>0</v>
      </c>
      <c r="H350" s="97">
        <f t="shared" si="3"/>
        <v>0</v>
      </c>
      <c r="I350" s="105"/>
      <c r="J350" s="105"/>
      <c r="K350" s="59"/>
      <c r="L350" s="65"/>
      <c r="M350" s="65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66"/>
      <c r="AN350" s="66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</row>
    <row r="351" ht="15.75" customHeight="1">
      <c r="A351" s="59"/>
      <c r="B351" s="102"/>
      <c r="C351" s="105"/>
      <c r="D351" s="103"/>
      <c r="E351" s="104"/>
      <c r="F351" s="105"/>
      <c r="G351" s="96">
        <f t="shared" si="2"/>
        <v>0</v>
      </c>
      <c r="H351" s="97">
        <f t="shared" si="3"/>
        <v>0</v>
      </c>
      <c r="I351" s="105"/>
      <c r="J351" s="105"/>
      <c r="K351" s="59"/>
      <c r="L351" s="65"/>
      <c r="M351" s="65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66"/>
      <c r="AN351" s="66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</row>
    <row r="352" ht="15.75" customHeight="1">
      <c r="A352" s="59"/>
      <c r="B352" s="102"/>
      <c r="C352" s="105"/>
      <c r="D352" s="103"/>
      <c r="E352" s="104"/>
      <c r="F352" s="105"/>
      <c r="G352" s="96">
        <f t="shared" si="2"/>
        <v>0</v>
      </c>
      <c r="H352" s="97">
        <f t="shared" si="3"/>
        <v>0</v>
      </c>
      <c r="I352" s="105"/>
      <c r="J352" s="105"/>
      <c r="K352" s="59"/>
      <c r="L352" s="65"/>
      <c r="M352" s="65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66"/>
      <c r="AN352" s="66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</row>
    <row r="353" ht="15.75" customHeight="1">
      <c r="A353" s="59"/>
      <c r="B353" s="102"/>
      <c r="C353" s="105"/>
      <c r="D353" s="103"/>
      <c r="E353" s="104"/>
      <c r="F353" s="105"/>
      <c r="G353" s="96">
        <f t="shared" si="2"/>
        <v>0</v>
      </c>
      <c r="H353" s="97">
        <f t="shared" si="3"/>
        <v>0</v>
      </c>
      <c r="I353" s="105"/>
      <c r="J353" s="105"/>
      <c r="K353" s="59"/>
      <c r="L353" s="65"/>
      <c r="M353" s="65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66"/>
      <c r="AN353" s="66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</row>
    <row r="354" ht="15.75" customHeight="1">
      <c r="A354" s="59"/>
      <c r="B354" s="102"/>
      <c r="C354" s="105"/>
      <c r="D354" s="103"/>
      <c r="E354" s="104"/>
      <c r="F354" s="105"/>
      <c r="G354" s="96">
        <f t="shared" si="2"/>
        <v>0</v>
      </c>
      <c r="H354" s="97">
        <f t="shared" si="3"/>
        <v>0</v>
      </c>
      <c r="I354" s="105"/>
      <c r="J354" s="105"/>
      <c r="K354" s="59"/>
      <c r="L354" s="65"/>
      <c r="M354" s="65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66"/>
      <c r="AN354" s="66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</row>
    <row r="355" ht="15.75" customHeight="1">
      <c r="A355" s="59"/>
      <c r="B355" s="102"/>
      <c r="C355" s="105"/>
      <c r="D355" s="103"/>
      <c r="E355" s="104"/>
      <c r="F355" s="105"/>
      <c r="G355" s="96">
        <f t="shared" si="2"/>
        <v>0</v>
      </c>
      <c r="H355" s="97">
        <f t="shared" si="3"/>
        <v>0</v>
      </c>
      <c r="I355" s="105"/>
      <c r="J355" s="105"/>
      <c r="K355" s="59"/>
      <c r="L355" s="65"/>
      <c r="M355" s="65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66"/>
      <c r="AN355" s="66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</row>
    <row r="356" ht="15.75" customHeight="1">
      <c r="A356" s="59"/>
      <c r="B356" s="102"/>
      <c r="C356" s="105"/>
      <c r="D356" s="103"/>
      <c r="E356" s="104"/>
      <c r="F356" s="105"/>
      <c r="G356" s="96">
        <f t="shared" si="2"/>
        <v>0</v>
      </c>
      <c r="H356" s="97">
        <f t="shared" si="3"/>
        <v>0</v>
      </c>
      <c r="I356" s="105"/>
      <c r="J356" s="105"/>
      <c r="K356" s="59"/>
      <c r="L356" s="65"/>
      <c r="M356" s="65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66"/>
      <c r="AN356" s="66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</row>
    <row r="357" ht="15.75" customHeight="1">
      <c r="A357" s="59"/>
      <c r="B357" s="102"/>
      <c r="C357" s="105"/>
      <c r="D357" s="103"/>
      <c r="E357" s="104"/>
      <c r="F357" s="105"/>
      <c r="G357" s="96">
        <f t="shared" si="2"/>
        <v>0</v>
      </c>
      <c r="H357" s="97">
        <f t="shared" si="3"/>
        <v>0</v>
      </c>
      <c r="I357" s="105"/>
      <c r="J357" s="105"/>
      <c r="K357" s="59"/>
      <c r="L357" s="65"/>
      <c r="M357" s="65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66"/>
      <c r="AN357" s="66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</row>
    <row r="358" ht="15.75" customHeight="1">
      <c r="A358" s="59"/>
      <c r="B358" s="102"/>
      <c r="C358" s="105"/>
      <c r="D358" s="103"/>
      <c r="E358" s="104"/>
      <c r="F358" s="105"/>
      <c r="G358" s="96">
        <f t="shared" si="2"/>
        <v>0</v>
      </c>
      <c r="H358" s="97">
        <f t="shared" si="3"/>
        <v>0</v>
      </c>
      <c r="I358" s="105"/>
      <c r="J358" s="105"/>
      <c r="K358" s="59"/>
      <c r="L358" s="65"/>
      <c r="M358" s="65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66"/>
      <c r="AN358" s="66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</row>
    <row r="359" ht="15.75" customHeight="1">
      <c r="A359" s="59"/>
      <c r="B359" s="102"/>
      <c r="C359" s="105"/>
      <c r="D359" s="103"/>
      <c r="E359" s="104"/>
      <c r="F359" s="105"/>
      <c r="G359" s="96">
        <f t="shared" si="2"/>
        <v>0</v>
      </c>
      <c r="H359" s="97">
        <f t="shared" si="3"/>
        <v>0</v>
      </c>
      <c r="I359" s="105"/>
      <c r="J359" s="105"/>
      <c r="K359" s="59"/>
      <c r="L359" s="65"/>
      <c r="M359" s="65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66"/>
      <c r="AN359" s="66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</row>
    <row r="360" ht="15.75" customHeight="1">
      <c r="A360" s="59"/>
      <c r="B360" s="102"/>
      <c r="C360" s="105"/>
      <c r="D360" s="103"/>
      <c r="E360" s="104"/>
      <c r="F360" s="105"/>
      <c r="G360" s="96">
        <f t="shared" si="2"/>
        <v>0</v>
      </c>
      <c r="H360" s="97">
        <f t="shared" si="3"/>
        <v>0</v>
      </c>
      <c r="I360" s="105"/>
      <c r="J360" s="105"/>
      <c r="K360" s="59"/>
      <c r="L360" s="65"/>
      <c r="M360" s="65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66"/>
      <c r="AN360" s="66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</row>
    <row r="361" ht="15.75" customHeight="1">
      <c r="A361" s="59"/>
      <c r="B361" s="102"/>
      <c r="C361" s="105"/>
      <c r="D361" s="103"/>
      <c r="E361" s="104"/>
      <c r="F361" s="105"/>
      <c r="G361" s="96">
        <f t="shared" si="2"/>
        <v>0</v>
      </c>
      <c r="H361" s="97">
        <f t="shared" si="3"/>
        <v>0</v>
      </c>
      <c r="I361" s="105"/>
      <c r="J361" s="105"/>
      <c r="K361" s="59"/>
      <c r="L361" s="65"/>
      <c r="M361" s="65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66"/>
      <c r="AN361" s="66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</row>
    <row r="362" ht="15.75" customHeight="1">
      <c r="A362" s="59"/>
      <c r="B362" s="102"/>
      <c r="C362" s="105"/>
      <c r="D362" s="103"/>
      <c r="E362" s="104"/>
      <c r="F362" s="105"/>
      <c r="G362" s="96">
        <f t="shared" si="2"/>
        <v>0</v>
      </c>
      <c r="H362" s="97">
        <f t="shared" si="3"/>
        <v>0</v>
      </c>
      <c r="I362" s="105"/>
      <c r="J362" s="105"/>
      <c r="K362" s="59"/>
      <c r="L362" s="65"/>
      <c r="M362" s="65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66"/>
      <c r="AN362" s="66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</row>
    <row r="363" ht="15.75" customHeight="1">
      <c r="A363" s="59"/>
      <c r="B363" s="102"/>
      <c r="C363" s="105"/>
      <c r="D363" s="103"/>
      <c r="E363" s="104"/>
      <c r="F363" s="105"/>
      <c r="G363" s="96">
        <f t="shared" si="2"/>
        <v>0</v>
      </c>
      <c r="H363" s="97">
        <f t="shared" si="3"/>
        <v>0</v>
      </c>
      <c r="I363" s="105"/>
      <c r="J363" s="105"/>
      <c r="K363" s="59"/>
      <c r="L363" s="65"/>
      <c r="M363" s="65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66"/>
      <c r="AN363" s="66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</row>
    <row r="364" ht="15.75" customHeight="1">
      <c r="A364" s="59"/>
      <c r="B364" s="102"/>
      <c r="C364" s="105"/>
      <c r="D364" s="103"/>
      <c r="E364" s="104"/>
      <c r="F364" s="105"/>
      <c r="G364" s="96">
        <f t="shared" si="2"/>
        <v>0</v>
      </c>
      <c r="H364" s="97">
        <f t="shared" si="3"/>
        <v>0</v>
      </c>
      <c r="I364" s="105"/>
      <c r="J364" s="105"/>
      <c r="K364" s="59"/>
      <c r="L364" s="65"/>
      <c r="M364" s="65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66"/>
      <c r="AN364" s="66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</row>
    <row r="365" ht="15.75" customHeight="1">
      <c r="A365" s="59"/>
      <c r="B365" s="102"/>
      <c r="C365" s="105"/>
      <c r="D365" s="103"/>
      <c r="E365" s="104"/>
      <c r="F365" s="105"/>
      <c r="G365" s="96">
        <f t="shared" si="2"/>
        <v>0</v>
      </c>
      <c r="H365" s="97">
        <f t="shared" si="3"/>
        <v>0</v>
      </c>
      <c r="I365" s="105"/>
      <c r="J365" s="105"/>
      <c r="K365" s="59"/>
      <c r="L365" s="65"/>
      <c r="M365" s="65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66"/>
      <c r="AN365" s="66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</row>
    <row r="366" ht="15.75" customHeight="1">
      <c r="A366" s="59"/>
      <c r="B366" s="102"/>
      <c r="C366" s="105"/>
      <c r="D366" s="103"/>
      <c r="E366" s="104"/>
      <c r="F366" s="105"/>
      <c r="G366" s="96">
        <f t="shared" si="2"/>
        <v>0</v>
      </c>
      <c r="H366" s="97">
        <f t="shared" si="3"/>
        <v>0</v>
      </c>
      <c r="I366" s="105"/>
      <c r="J366" s="105"/>
      <c r="K366" s="59"/>
      <c r="L366" s="65"/>
      <c r="M366" s="65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66"/>
      <c r="AN366" s="66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</row>
    <row r="367" ht="15.75" customHeight="1">
      <c r="A367" s="59"/>
      <c r="B367" s="102"/>
      <c r="C367" s="105"/>
      <c r="D367" s="103"/>
      <c r="E367" s="104"/>
      <c r="F367" s="105"/>
      <c r="G367" s="96">
        <f t="shared" si="2"/>
        <v>0</v>
      </c>
      <c r="H367" s="97">
        <f t="shared" si="3"/>
        <v>0</v>
      </c>
      <c r="I367" s="105"/>
      <c r="J367" s="105"/>
      <c r="K367" s="59"/>
      <c r="L367" s="65"/>
      <c r="M367" s="65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66"/>
      <c r="AN367" s="66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</row>
    <row r="368" ht="15.75" customHeight="1">
      <c r="A368" s="59"/>
      <c r="B368" s="102"/>
      <c r="C368" s="105"/>
      <c r="D368" s="103"/>
      <c r="E368" s="104"/>
      <c r="F368" s="105"/>
      <c r="G368" s="96">
        <f t="shared" si="2"/>
        <v>0</v>
      </c>
      <c r="H368" s="97">
        <f t="shared" si="3"/>
        <v>0</v>
      </c>
      <c r="I368" s="105"/>
      <c r="J368" s="105"/>
      <c r="K368" s="59"/>
      <c r="L368" s="65"/>
      <c r="M368" s="65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66"/>
      <c r="AN368" s="66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</row>
    <row r="369" ht="15.75" customHeight="1">
      <c r="A369" s="59"/>
      <c r="B369" s="102"/>
      <c r="C369" s="105"/>
      <c r="D369" s="103"/>
      <c r="E369" s="104"/>
      <c r="F369" s="105"/>
      <c r="G369" s="96">
        <f t="shared" si="2"/>
        <v>0</v>
      </c>
      <c r="H369" s="97">
        <f t="shared" si="3"/>
        <v>0</v>
      </c>
      <c r="I369" s="105"/>
      <c r="J369" s="105"/>
      <c r="K369" s="59"/>
      <c r="L369" s="65"/>
      <c r="M369" s="65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66"/>
      <c r="AN369" s="66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</row>
    <row r="370" ht="15.75" customHeight="1">
      <c r="A370" s="59"/>
      <c r="B370" s="102"/>
      <c r="C370" s="105"/>
      <c r="D370" s="103"/>
      <c r="E370" s="104"/>
      <c r="F370" s="105"/>
      <c r="G370" s="96">
        <f t="shared" si="2"/>
        <v>0</v>
      </c>
      <c r="H370" s="97">
        <f t="shared" si="3"/>
        <v>0</v>
      </c>
      <c r="I370" s="105"/>
      <c r="J370" s="105"/>
      <c r="K370" s="59"/>
      <c r="L370" s="65"/>
      <c r="M370" s="65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66"/>
      <c r="AN370" s="66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</row>
    <row r="371" ht="15.75" customHeight="1">
      <c r="A371" s="59"/>
      <c r="B371" s="102"/>
      <c r="C371" s="105"/>
      <c r="D371" s="103"/>
      <c r="E371" s="104"/>
      <c r="F371" s="105"/>
      <c r="G371" s="96">
        <f t="shared" si="2"/>
        <v>0</v>
      </c>
      <c r="H371" s="97">
        <f t="shared" si="3"/>
        <v>0</v>
      </c>
      <c r="I371" s="105"/>
      <c r="J371" s="105"/>
      <c r="K371" s="59"/>
      <c r="L371" s="65"/>
      <c r="M371" s="65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66"/>
      <c r="AN371" s="66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</row>
    <row r="372" ht="15.75" customHeight="1">
      <c r="A372" s="59"/>
      <c r="B372" s="102"/>
      <c r="C372" s="105"/>
      <c r="D372" s="103"/>
      <c r="E372" s="104"/>
      <c r="F372" s="105"/>
      <c r="G372" s="96">
        <f t="shared" si="2"/>
        <v>0</v>
      </c>
      <c r="H372" s="97">
        <f t="shared" si="3"/>
        <v>0</v>
      </c>
      <c r="I372" s="105"/>
      <c r="J372" s="105"/>
      <c r="K372" s="59"/>
      <c r="L372" s="65"/>
      <c r="M372" s="65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66"/>
      <c r="AN372" s="66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</row>
    <row r="373" ht="15.75" customHeight="1">
      <c r="A373" s="59"/>
      <c r="B373" s="102"/>
      <c r="C373" s="105"/>
      <c r="D373" s="103"/>
      <c r="E373" s="104"/>
      <c r="F373" s="105"/>
      <c r="G373" s="96">
        <f t="shared" si="2"/>
        <v>0</v>
      </c>
      <c r="H373" s="97">
        <f t="shared" si="3"/>
        <v>0</v>
      </c>
      <c r="I373" s="105"/>
      <c r="J373" s="105"/>
      <c r="K373" s="59"/>
      <c r="L373" s="65"/>
      <c r="M373" s="65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66"/>
      <c r="AN373" s="66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</row>
    <row r="374" ht="15.75" customHeight="1">
      <c r="A374" s="59"/>
      <c r="B374" s="102"/>
      <c r="C374" s="105"/>
      <c r="D374" s="103"/>
      <c r="E374" s="104"/>
      <c r="F374" s="105"/>
      <c r="G374" s="96">
        <f t="shared" si="2"/>
        <v>0</v>
      </c>
      <c r="H374" s="97">
        <f t="shared" si="3"/>
        <v>0</v>
      </c>
      <c r="I374" s="105"/>
      <c r="J374" s="105"/>
      <c r="K374" s="59"/>
      <c r="L374" s="65"/>
      <c r="M374" s="65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66"/>
      <c r="AN374" s="66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</row>
    <row r="375" ht="15.75" customHeight="1">
      <c r="A375" s="59"/>
      <c r="B375" s="102"/>
      <c r="C375" s="105"/>
      <c r="D375" s="103"/>
      <c r="E375" s="104"/>
      <c r="F375" s="105"/>
      <c r="G375" s="96">
        <f t="shared" si="2"/>
        <v>0</v>
      </c>
      <c r="H375" s="97">
        <f t="shared" si="3"/>
        <v>0</v>
      </c>
      <c r="I375" s="105"/>
      <c r="J375" s="105"/>
      <c r="K375" s="59"/>
      <c r="L375" s="65"/>
      <c r="M375" s="65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66"/>
      <c r="AN375" s="66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</row>
    <row r="376" ht="15.75" customHeight="1">
      <c r="A376" s="59"/>
      <c r="B376" s="102"/>
      <c r="C376" s="105"/>
      <c r="D376" s="103"/>
      <c r="E376" s="104"/>
      <c r="F376" s="105"/>
      <c r="G376" s="96">
        <f t="shared" si="2"/>
        <v>0</v>
      </c>
      <c r="H376" s="97">
        <f t="shared" si="3"/>
        <v>0</v>
      </c>
      <c r="I376" s="105"/>
      <c r="J376" s="105"/>
      <c r="K376" s="59"/>
      <c r="L376" s="65"/>
      <c r="M376" s="65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66"/>
      <c r="AN376" s="66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</row>
    <row r="377" ht="15.75" customHeight="1">
      <c r="A377" s="59"/>
      <c r="B377" s="102"/>
      <c r="C377" s="105"/>
      <c r="D377" s="103"/>
      <c r="E377" s="104"/>
      <c r="F377" s="105"/>
      <c r="G377" s="96">
        <f t="shared" si="2"/>
        <v>0</v>
      </c>
      <c r="H377" s="97">
        <f t="shared" si="3"/>
        <v>0</v>
      </c>
      <c r="I377" s="105"/>
      <c r="J377" s="105"/>
      <c r="K377" s="59"/>
      <c r="L377" s="65"/>
      <c r="M377" s="65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66"/>
      <c r="AN377" s="66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</row>
    <row r="378" ht="15.75" customHeight="1">
      <c r="A378" s="59"/>
      <c r="B378" s="102"/>
      <c r="C378" s="105"/>
      <c r="D378" s="103"/>
      <c r="E378" s="104"/>
      <c r="F378" s="105"/>
      <c r="G378" s="96">
        <f t="shared" si="2"/>
        <v>0</v>
      </c>
      <c r="H378" s="97">
        <f t="shared" si="3"/>
        <v>0</v>
      </c>
      <c r="I378" s="105"/>
      <c r="J378" s="105"/>
      <c r="K378" s="59"/>
      <c r="L378" s="65"/>
      <c r="M378" s="65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66"/>
      <c r="AN378" s="66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</row>
    <row r="379" ht="15.75" customHeight="1">
      <c r="A379" s="59"/>
      <c r="B379" s="102"/>
      <c r="C379" s="105"/>
      <c r="D379" s="103"/>
      <c r="E379" s="104"/>
      <c r="F379" s="105"/>
      <c r="G379" s="96">
        <f t="shared" si="2"/>
        <v>0</v>
      </c>
      <c r="H379" s="97">
        <f t="shared" si="3"/>
        <v>0</v>
      </c>
      <c r="I379" s="105"/>
      <c r="J379" s="105"/>
      <c r="K379" s="59"/>
      <c r="L379" s="65"/>
      <c r="M379" s="65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66"/>
      <c r="AN379" s="66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</row>
    <row r="380" ht="15.75" customHeight="1">
      <c r="A380" s="59"/>
      <c r="B380" s="102"/>
      <c r="C380" s="105"/>
      <c r="D380" s="103"/>
      <c r="E380" s="104"/>
      <c r="F380" s="105"/>
      <c r="G380" s="96">
        <f t="shared" si="2"/>
        <v>0</v>
      </c>
      <c r="H380" s="97">
        <f t="shared" si="3"/>
        <v>0</v>
      </c>
      <c r="I380" s="105"/>
      <c r="J380" s="105"/>
      <c r="K380" s="59"/>
      <c r="L380" s="65"/>
      <c r="M380" s="65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66"/>
      <c r="AN380" s="66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</row>
    <row r="381" ht="15.75" customHeight="1">
      <c r="A381" s="59"/>
      <c r="B381" s="102"/>
      <c r="C381" s="105"/>
      <c r="D381" s="103"/>
      <c r="E381" s="104"/>
      <c r="F381" s="105"/>
      <c r="G381" s="96">
        <f t="shared" si="2"/>
        <v>0</v>
      </c>
      <c r="H381" s="97">
        <f t="shared" si="3"/>
        <v>0</v>
      </c>
      <c r="I381" s="105"/>
      <c r="J381" s="105"/>
      <c r="K381" s="59"/>
      <c r="L381" s="65"/>
      <c r="M381" s="65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66"/>
      <c r="AN381" s="66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</row>
    <row r="382" ht="15.75" customHeight="1">
      <c r="A382" s="59"/>
      <c r="B382" s="102"/>
      <c r="C382" s="105"/>
      <c r="D382" s="103"/>
      <c r="E382" s="104"/>
      <c r="F382" s="105"/>
      <c r="G382" s="96">
        <f t="shared" si="2"/>
        <v>0</v>
      </c>
      <c r="H382" s="97">
        <f t="shared" si="3"/>
        <v>0</v>
      </c>
      <c r="I382" s="105"/>
      <c r="J382" s="105"/>
      <c r="K382" s="59"/>
      <c r="L382" s="65"/>
      <c r="M382" s="65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66"/>
      <c r="AN382" s="66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</row>
    <row r="383" ht="15.75" customHeight="1">
      <c r="A383" s="59"/>
      <c r="B383" s="102"/>
      <c r="C383" s="105"/>
      <c r="D383" s="103"/>
      <c r="E383" s="104"/>
      <c r="F383" s="105"/>
      <c r="G383" s="96">
        <f t="shared" si="2"/>
        <v>0</v>
      </c>
      <c r="H383" s="97">
        <f t="shared" si="3"/>
        <v>0</v>
      </c>
      <c r="I383" s="105"/>
      <c r="J383" s="105"/>
      <c r="K383" s="59"/>
      <c r="L383" s="65"/>
      <c r="M383" s="65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66"/>
      <c r="AN383" s="66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</row>
    <row r="384" ht="15.75" customHeight="1">
      <c r="A384" s="59"/>
      <c r="B384" s="102"/>
      <c r="C384" s="105"/>
      <c r="D384" s="103"/>
      <c r="E384" s="104"/>
      <c r="F384" s="105"/>
      <c r="G384" s="96">
        <f t="shared" si="2"/>
        <v>0</v>
      </c>
      <c r="H384" s="97">
        <f t="shared" si="3"/>
        <v>0</v>
      </c>
      <c r="I384" s="105"/>
      <c r="J384" s="105"/>
      <c r="K384" s="59"/>
      <c r="L384" s="65"/>
      <c r="M384" s="65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66"/>
      <c r="AN384" s="66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</row>
    <row r="385" ht="15.75" customHeight="1">
      <c r="A385" s="59"/>
      <c r="B385" s="102"/>
      <c r="C385" s="105"/>
      <c r="D385" s="103"/>
      <c r="E385" s="104"/>
      <c r="F385" s="105"/>
      <c r="G385" s="96">
        <f t="shared" si="2"/>
        <v>0</v>
      </c>
      <c r="H385" s="97">
        <f t="shared" si="3"/>
        <v>0</v>
      </c>
      <c r="I385" s="105"/>
      <c r="J385" s="105"/>
      <c r="K385" s="59"/>
      <c r="L385" s="65"/>
      <c r="M385" s="65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66"/>
      <c r="AN385" s="66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</row>
    <row r="386" ht="15.75" customHeight="1">
      <c r="A386" s="59"/>
      <c r="B386" s="102"/>
      <c r="C386" s="105"/>
      <c r="D386" s="103"/>
      <c r="E386" s="104"/>
      <c r="F386" s="105"/>
      <c r="G386" s="96">
        <f t="shared" si="2"/>
        <v>0</v>
      </c>
      <c r="H386" s="97">
        <f t="shared" si="3"/>
        <v>0</v>
      </c>
      <c r="I386" s="105"/>
      <c r="J386" s="105"/>
      <c r="K386" s="59"/>
      <c r="L386" s="65"/>
      <c r="M386" s="65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66"/>
      <c r="AN386" s="66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</row>
    <row r="387" ht="15.75" customHeight="1">
      <c r="A387" s="59"/>
      <c r="B387" s="102"/>
      <c r="C387" s="105"/>
      <c r="D387" s="103"/>
      <c r="E387" s="104"/>
      <c r="F387" s="105"/>
      <c r="G387" s="96">
        <f t="shared" si="2"/>
        <v>0</v>
      </c>
      <c r="H387" s="97">
        <f t="shared" si="3"/>
        <v>0</v>
      </c>
      <c r="I387" s="105"/>
      <c r="J387" s="105"/>
      <c r="K387" s="59"/>
      <c r="L387" s="65"/>
      <c r="M387" s="65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66"/>
      <c r="AN387" s="66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</row>
    <row r="388" ht="15.75" customHeight="1">
      <c r="A388" s="59"/>
      <c r="B388" s="102"/>
      <c r="C388" s="105"/>
      <c r="D388" s="103"/>
      <c r="E388" s="104"/>
      <c r="F388" s="105"/>
      <c r="G388" s="96">
        <f t="shared" si="2"/>
        <v>0</v>
      </c>
      <c r="H388" s="97">
        <f t="shared" si="3"/>
        <v>0</v>
      </c>
      <c r="I388" s="105"/>
      <c r="J388" s="105"/>
      <c r="K388" s="59"/>
      <c r="L388" s="65"/>
      <c r="M388" s="65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66"/>
      <c r="AN388" s="66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</row>
    <row r="389" ht="15.75" customHeight="1">
      <c r="A389" s="59"/>
      <c r="B389" s="102"/>
      <c r="C389" s="105"/>
      <c r="D389" s="103"/>
      <c r="E389" s="104"/>
      <c r="F389" s="105"/>
      <c r="G389" s="96">
        <f t="shared" si="2"/>
        <v>0</v>
      </c>
      <c r="H389" s="97">
        <f t="shared" si="3"/>
        <v>0</v>
      </c>
      <c r="I389" s="105"/>
      <c r="J389" s="105"/>
      <c r="K389" s="59"/>
      <c r="L389" s="65"/>
      <c r="M389" s="65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66"/>
      <c r="AN389" s="66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</row>
    <row r="390" ht="15.75" customHeight="1">
      <c r="A390" s="59"/>
      <c r="B390" s="102"/>
      <c r="C390" s="105"/>
      <c r="D390" s="103"/>
      <c r="E390" s="104"/>
      <c r="F390" s="105"/>
      <c r="G390" s="96">
        <f t="shared" si="2"/>
        <v>0</v>
      </c>
      <c r="H390" s="97">
        <f t="shared" si="3"/>
        <v>0</v>
      </c>
      <c r="I390" s="105"/>
      <c r="J390" s="105"/>
      <c r="K390" s="59"/>
      <c r="L390" s="65"/>
      <c r="M390" s="65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66"/>
      <c r="AN390" s="66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</row>
    <row r="391" ht="15.75" customHeight="1">
      <c r="A391" s="59"/>
      <c r="B391" s="102"/>
      <c r="C391" s="105"/>
      <c r="D391" s="103"/>
      <c r="E391" s="104"/>
      <c r="F391" s="105"/>
      <c r="G391" s="96">
        <f t="shared" si="2"/>
        <v>0</v>
      </c>
      <c r="H391" s="97">
        <f t="shared" si="3"/>
        <v>0</v>
      </c>
      <c r="I391" s="105"/>
      <c r="J391" s="105"/>
      <c r="K391" s="59"/>
      <c r="L391" s="65"/>
      <c r="M391" s="65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66"/>
      <c r="AN391" s="66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</row>
    <row r="392" ht="15.75" customHeight="1">
      <c r="A392" s="59"/>
      <c r="B392" s="102"/>
      <c r="C392" s="105"/>
      <c r="D392" s="103"/>
      <c r="E392" s="104"/>
      <c r="F392" s="105"/>
      <c r="G392" s="96">
        <f t="shared" si="2"/>
        <v>0</v>
      </c>
      <c r="H392" s="97">
        <f t="shared" si="3"/>
        <v>0</v>
      </c>
      <c r="I392" s="105"/>
      <c r="J392" s="105"/>
      <c r="K392" s="59"/>
      <c r="L392" s="65"/>
      <c r="M392" s="65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66"/>
      <c r="AN392" s="66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</row>
    <row r="393" ht="15.75" customHeight="1">
      <c r="A393" s="59"/>
      <c r="B393" s="102"/>
      <c r="C393" s="105"/>
      <c r="D393" s="103"/>
      <c r="E393" s="104"/>
      <c r="F393" s="105"/>
      <c r="G393" s="96">
        <f t="shared" si="2"/>
        <v>0</v>
      </c>
      <c r="H393" s="97">
        <f t="shared" si="3"/>
        <v>0</v>
      </c>
      <c r="I393" s="105"/>
      <c r="J393" s="105"/>
      <c r="K393" s="59"/>
      <c r="L393" s="65"/>
      <c r="M393" s="65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66"/>
      <c r="AN393" s="66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</row>
    <row r="394" ht="15.75" customHeight="1">
      <c r="A394" s="59"/>
      <c r="B394" s="102"/>
      <c r="C394" s="105"/>
      <c r="D394" s="103"/>
      <c r="E394" s="104"/>
      <c r="F394" s="105"/>
      <c r="G394" s="96">
        <f t="shared" si="2"/>
        <v>0</v>
      </c>
      <c r="H394" s="97">
        <f t="shared" si="3"/>
        <v>0</v>
      </c>
      <c r="I394" s="105"/>
      <c r="J394" s="105"/>
      <c r="K394" s="59"/>
      <c r="L394" s="65"/>
      <c r="M394" s="65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66"/>
      <c r="AN394" s="66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</row>
    <row r="395" ht="15.75" customHeight="1">
      <c r="A395" s="59"/>
      <c r="B395" s="102"/>
      <c r="C395" s="105"/>
      <c r="D395" s="103"/>
      <c r="E395" s="104"/>
      <c r="F395" s="105"/>
      <c r="G395" s="96">
        <f t="shared" si="2"/>
        <v>0</v>
      </c>
      <c r="H395" s="97">
        <f t="shared" si="3"/>
        <v>0</v>
      </c>
      <c r="I395" s="105"/>
      <c r="J395" s="105"/>
      <c r="K395" s="59"/>
      <c r="L395" s="65"/>
      <c r="M395" s="65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66"/>
      <c r="AN395" s="66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</row>
    <row r="396" ht="15.75" customHeight="1">
      <c r="A396" s="59"/>
      <c r="B396" s="102"/>
      <c r="C396" s="105"/>
      <c r="D396" s="103"/>
      <c r="E396" s="104"/>
      <c r="F396" s="105"/>
      <c r="G396" s="96">
        <f t="shared" si="2"/>
        <v>0</v>
      </c>
      <c r="H396" s="97">
        <f t="shared" si="3"/>
        <v>0</v>
      </c>
      <c r="I396" s="105"/>
      <c r="J396" s="105"/>
      <c r="K396" s="59"/>
      <c r="L396" s="65"/>
      <c r="M396" s="65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66"/>
      <c r="AN396" s="66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</row>
    <row r="397" ht="15.75" customHeight="1">
      <c r="A397" s="59"/>
      <c r="B397" s="102"/>
      <c r="C397" s="105"/>
      <c r="D397" s="103"/>
      <c r="E397" s="104"/>
      <c r="F397" s="105"/>
      <c r="G397" s="96">
        <f t="shared" si="2"/>
        <v>0</v>
      </c>
      <c r="H397" s="97">
        <f t="shared" si="3"/>
        <v>0</v>
      </c>
      <c r="I397" s="105"/>
      <c r="J397" s="105"/>
      <c r="K397" s="59"/>
      <c r="L397" s="65"/>
      <c r="M397" s="65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66"/>
      <c r="AN397" s="66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</row>
    <row r="398" ht="15.75" customHeight="1">
      <c r="A398" s="59"/>
      <c r="B398" s="102"/>
      <c r="C398" s="105"/>
      <c r="D398" s="103"/>
      <c r="E398" s="104"/>
      <c r="F398" s="105"/>
      <c r="G398" s="96">
        <f t="shared" si="2"/>
        <v>0</v>
      </c>
      <c r="H398" s="97">
        <f t="shared" si="3"/>
        <v>0</v>
      </c>
      <c r="I398" s="105"/>
      <c r="J398" s="105"/>
      <c r="K398" s="59"/>
      <c r="L398" s="65"/>
      <c r="M398" s="65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66"/>
      <c r="AN398" s="66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</row>
    <row r="399" ht="15.75" customHeight="1">
      <c r="A399" s="59"/>
      <c r="B399" s="102"/>
      <c r="C399" s="105"/>
      <c r="D399" s="103"/>
      <c r="E399" s="104"/>
      <c r="F399" s="105"/>
      <c r="G399" s="96">
        <f t="shared" si="2"/>
        <v>0</v>
      </c>
      <c r="H399" s="97">
        <f t="shared" si="3"/>
        <v>0</v>
      </c>
      <c r="I399" s="105"/>
      <c r="J399" s="105"/>
      <c r="K399" s="59"/>
      <c r="L399" s="65"/>
      <c r="M399" s="65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66"/>
      <c r="AN399" s="66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59"/>
      <c r="CF399" s="59"/>
      <c r="CG399" s="59"/>
      <c r="CH399" s="59"/>
      <c r="CI399" s="59"/>
      <c r="CJ399" s="59"/>
      <c r="CK399" s="59"/>
    </row>
    <row r="400" ht="15.75" customHeight="1">
      <c r="A400" s="59"/>
      <c r="B400" s="102"/>
      <c r="C400" s="105"/>
      <c r="D400" s="103"/>
      <c r="E400" s="104"/>
      <c r="F400" s="105"/>
      <c r="G400" s="96">
        <f t="shared" si="2"/>
        <v>0</v>
      </c>
      <c r="H400" s="97">
        <f t="shared" si="3"/>
        <v>0</v>
      </c>
      <c r="I400" s="105"/>
      <c r="J400" s="105"/>
      <c r="K400" s="59"/>
      <c r="L400" s="65"/>
      <c r="M400" s="65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66"/>
      <c r="AN400" s="66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</row>
    <row r="401" ht="15.75" customHeight="1">
      <c r="A401" s="59"/>
      <c r="B401" s="102"/>
      <c r="C401" s="105"/>
      <c r="D401" s="103"/>
      <c r="E401" s="104"/>
      <c r="F401" s="105"/>
      <c r="G401" s="96">
        <f t="shared" si="2"/>
        <v>0</v>
      </c>
      <c r="H401" s="97">
        <f t="shared" si="3"/>
        <v>0</v>
      </c>
      <c r="I401" s="105"/>
      <c r="J401" s="105"/>
      <c r="K401" s="59"/>
      <c r="L401" s="65"/>
      <c r="M401" s="65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66"/>
      <c r="AN401" s="66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</row>
    <row r="402" ht="15.75" customHeight="1">
      <c r="A402" s="59"/>
      <c r="B402" s="102"/>
      <c r="C402" s="105"/>
      <c r="D402" s="103"/>
      <c r="E402" s="104"/>
      <c r="F402" s="105"/>
      <c r="G402" s="96">
        <f t="shared" si="2"/>
        <v>0</v>
      </c>
      <c r="H402" s="97">
        <f t="shared" si="3"/>
        <v>0</v>
      </c>
      <c r="I402" s="105"/>
      <c r="J402" s="105"/>
      <c r="K402" s="59"/>
      <c r="L402" s="65"/>
      <c r="M402" s="65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66"/>
      <c r="AN402" s="66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</row>
    <row r="403" ht="15.75" customHeight="1">
      <c r="A403" s="59"/>
      <c r="B403" s="102"/>
      <c r="C403" s="105"/>
      <c r="D403" s="103"/>
      <c r="E403" s="104"/>
      <c r="F403" s="105"/>
      <c r="G403" s="96">
        <f t="shared" si="2"/>
        <v>0</v>
      </c>
      <c r="H403" s="97">
        <f t="shared" si="3"/>
        <v>0</v>
      </c>
      <c r="I403" s="105"/>
      <c r="J403" s="105"/>
      <c r="K403" s="59"/>
      <c r="L403" s="65"/>
      <c r="M403" s="65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66"/>
      <c r="AN403" s="66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/>
      <c r="CJ403" s="59"/>
      <c r="CK403" s="59"/>
    </row>
    <row r="404" ht="15.75" customHeight="1">
      <c r="A404" s="59"/>
      <c r="B404" s="102"/>
      <c r="C404" s="105"/>
      <c r="D404" s="103"/>
      <c r="E404" s="104"/>
      <c r="F404" s="105"/>
      <c r="G404" s="96">
        <f t="shared" si="2"/>
        <v>0</v>
      </c>
      <c r="H404" s="97">
        <f t="shared" si="3"/>
        <v>0</v>
      </c>
      <c r="I404" s="105"/>
      <c r="J404" s="105"/>
      <c r="K404" s="59"/>
      <c r="L404" s="65"/>
      <c r="M404" s="65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66"/>
      <c r="AN404" s="66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</row>
    <row r="405" ht="15.75" customHeight="1">
      <c r="A405" s="59"/>
      <c r="B405" s="102"/>
      <c r="C405" s="105"/>
      <c r="D405" s="103"/>
      <c r="E405" s="104"/>
      <c r="F405" s="105"/>
      <c r="G405" s="96">
        <f t="shared" si="2"/>
        <v>0</v>
      </c>
      <c r="H405" s="97">
        <f t="shared" si="3"/>
        <v>0</v>
      </c>
      <c r="I405" s="105"/>
      <c r="J405" s="105"/>
      <c r="K405" s="59"/>
      <c r="L405" s="65"/>
      <c r="M405" s="65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66"/>
      <c r="AN405" s="66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</row>
    <row r="406" ht="15.75" customHeight="1">
      <c r="A406" s="59"/>
      <c r="B406" s="102"/>
      <c r="C406" s="105"/>
      <c r="D406" s="103"/>
      <c r="E406" s="104"/>
      <c r="F406" s="105"/>
      <c r="G406" s="96">
        <f t="shared" si="2"/>
        <v>0</v>
      </c>
      <c r="H406" s="97">
        <f t="shared" si="3"/>
        <v>0</v>
      </c>
      <c r="I406" s="105"/>
      <c r="J406" s="105"/>
      <c r="K406" s="59"/>
      <c r="L406" s="65"/>
      <c r="M406" s="65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66"/>
      <c r="AN406" s="66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</row>
    <row r="407" ht="15.75" customHeight="1">
      <c r="A407" s="59"/>
      <c r="B407" s="102"/>
      <c r="C407" s="105"/>
      <c r="D407" s="103"/>
      <c r="E407" s="104"/>
      <c r="F407" s="105"/>
      <c r="G407" s="96">
        <f t="shared" si="2"/>
        <v>0</v>
      </c>
      <c r="H407" s="97">
        <f t="shared" si="3"/>
        <v>0</v>
      </c>
      <c r="I407" s="105"/>
      <c r="J407" s="105"/>
      <c r="K407" s="59"/>
      <c r="L407" s="65"/>
      <c r="M407" s="65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66"/>
      <c r="AN407" s="66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</row>
    <row r="408" ht="15.75" customHeight="1">
      <c r="A408" s="59"/>
      <c r="B408" s="102"/>
      <c r="C408" s="105"/>
      <c r="D408" s="103"/>
      <c r="E408" s="104"/>
      <c r="F408" s="105"/>
      <c r="G408" s="96">
        <f t="shared" si="2"/>
        <v>0</v>
      </c>
      <c r="H408" s="97">
        <f t="shared" si="3"/>
        <v>0</v>
      </c>
      <c r="I408" s="105"/>
      <c r="J408" s="105"/>
      <c r="K408" s="59"/>
      <c r="L408" s="65"/>
      <c r="M408" s="65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66"/>
      <c r="AN408" s="66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</row>
    <row r="409" ht="15.75" customHeight="1">
      <c r="A409" s="59"/>
      <c r="B409" s="102"/>
      <c r="C409" s="105"/>
      <c r="D409" s="103"/>
      <c r="E409" s="104"/>
      <c r="F409" s="105"/>
      <c r="G409" s="96">
        <f t="shared" si="2"/>
        <v>0</v>
      </c>
      <c r="H409" s="97">
        <f t="shared" si="3"/>
        <v>0</v>
      </c>
      <c r="I409" s="105"/>
      <c r="J409" s="105"/>
      <c r="K409" s="59"/>
      <c r="L409" s="65"/>
      <c r="M409" s="65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66"/>
      <c r="AN409" s="66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</row>
    <row r="410" ht="15.75" customHeight="1">
      <c r="A410" s="59"/>
      <c r="B410" s="102"/>
      <c r="C410" s="105"/>
      <c r="D410" s="103"/>
      <c r="E410" s="104"/>
      <c r="F410" s="105"/>
      <c r="G410" s="96">
        <f t="shared" si="2"/>
        <v>0</v>
      </c>
      <c r="H410" s="97">
        <f t="shared" si="3"/>
        <v>0</v>
      </c>
      <c r="I410" s="105"/>
      <c r="J410" s="105"/>
      <c r="K410" s="59"/>
      <c r="L410" s="65"/>
      <c r="M410" s="65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66"/>
      <c r="AN410" s="66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</row>
    <row r="411" ht="15.75" customHeight="1">
      <c r="A411" s="59"/>
      <c r="B411" s="102"/>
      <c r="C411" s="105"/>
      <c r="D411" s="103"/>
      <c r="E411" s="104"/>
      <c r="F411" s="105"/>
      <c r="G411" s="96">
        <f t="shared" si="2"/>
        <v>0</v>
      </c>
      <c r="H411" s="97">
        <f t="shared" si="3"/>
        <v>0</v>
      </c>
      <c r="I411" s="105"/>
      <c r="J411" s="105"/>
      <c r="K411" s="59"/>
      <c r="L411" s="65"/>
      <c r="M411" s="65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66"/>
      <c r="AN411" s="66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</row>
    <row r="412" ht="15.75" customHeight="1">
      <c r="A412" s="59"/>
      <c r="B412" s="102"/>
      <c r="C412" s="105"/>
      <c r="D412" s="103"/>
      <c r="E412" s="104"/>
      <c r="F412" s="105"/>
      <c r="G412" s="96">
        <f t="shared" si="2"/>
        <v>0</v>
      </c>
      <c r="H412" s="97">
        <f t="shared" si="3"/>
        <v>0</v>
      </c>
      <c r="I412" s="105"/>
      <c r="J412" s="105"/>
      <c r="K412" s="59"/>
      <c r="L412" s="65"/>
      <c r="M412" s="65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66"/>
      <c r="AN412" s="66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</row>
    <row r="413" ht="15.75" customHeight="1">
      <c r="A413" s="59"/>
      <c r="B413" s="102"/>
      <c r="C413" s="105"/>
      <c r="D413" s="103"/>
      <c r="E413" s="104"/>
      <c r="F413" s="105"/>
      <c r="G413" s="96">
        <f t="shared" si="2"/>
        <v>0</v>
      </c>
      <c r="H413" s="97">
        <f t="shared" si="3"/>
        <v>0</v>
      </c>
      <c r="I413" s="105"/>
      <c r="J413" s="105"/>
      <c r="K413" s="59"/>
      <c r="L413" s="65"/>
      <c r="M413" s="65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66"/>
      <c r="AN413" s="66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</row>
    <row r="414" ht="15.75" customHeight="1">
      <c r="A414" s="59"/>
      <c r="B414" s="102"/>
      <c r="C414" s="105"/>
      <c r="D414" s="103"/>
      <c r="E414" s="104"/>
      <c r="F414" s="105"/>
      <c r="G414" s="96">
        <f t="shared" si="2"/>
        <v>0</v>
      </c>
      <c r="H414" s="97">
        <f t="shared" si="3"/>
        <v>0</v>
      </c>
      <c r="I414" s="105"/>
      <c r="J414" s="105"/>
      <c r="K414" s="59"/>
      <c r="L414" s="65"/>
      <c r="M414" s="65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66"/>
      <c r="AN414" s="66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</row>
    <row r="415" ht="15.75" customHeight="1">
      <c r="A415" s="59"/>
      <c r="B415" s="102"/>
      <c r="C415" s="105"/>
      <c r="D415" s="103"/>
      <c r="E415" s="104"/>
      <c r="F415" s="105"/>
      <c r="G415" s="96">
        <f t="shared" si="2"/>
        <v>0</v>
      </c>
      <c r="H415" s="97">
        <f t="shared" si="3"/>
        <v>0</v>
      </c>
      <c r="I415" s="105"/>
      <c r="J415" s="105"/>
      <c r="K415" s="59"/>
      <c r="L415" s="65"/>
      <c r="M415" s="65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66"/>
      <c r="AN415" s="66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</row>
    <row r="416" ht="15.75" customHeight="1">
      <c r="A416" s="59"/>
      <c r="B416" s="102"/>
      <c r="C416" s="105"/>
      <c r="D416" s="103"/>
      <c r="E416" s="104"/>
      <c r="F416" s="105"/>
      <c r="G416" s="96">
        <f t="shared" si="2"/>
        <v>0</v>
      </c>
      <c r="H416" s="97">
        <f t="shared" si="3"/>
        <v>0</v>
      </c>
      <c r="I416" s="105"/>
      <c r="J416" s="105"/>
      <c r="K416" s="59"/>
      <c r="L416" s="65"/>
      <c r="M416" s="65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66"/>
      <c r="AN416" s="66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</row>
    <row r="417" ht="15.75" customHeight="1">
      <c r="A417" s="59"/>
      <c r="B417" s="102"/>
      <c r="C417" s="105"/>
      <c r="D417" s="103"/>
      <c r="E417" s="104"/>
      <c r="F417" s="105"/>
      <c r="G417" s="96">
        <f t="shared" si="2"/>
        <v>0</v>
      </c>
      <c r="H417" s="97">
        <f t="shared" si="3"/>
        <v>0</v>
      </c>
      <c r="I417" s="105"/>
      <c r="J417" s="105"/>
      <c r="K417" s="59"/>
      <c r="L417" s="65"/>
      <c r="M417" s="65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66"/>
      <c r="AN417" s="66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</row>
    <row r="418" ht="15.75" customHeight="1">
      <c r="A418" s="59"/>
      <c r="B418" s="102"/>
      <c r="C418" s="105"/>
      <c r="D418" s="103"/>
      <c r="E418" s="104"/>
      <c r="F418" s="105"/>
      <c r="G418" s="96">
        <f t="shared" si="2"/>
        <v>0</v>
      </c>
      <c r="H418" s="97">
        <f t="shared" si="3"/>
        <v>0</v>
      </c>
      <c r="I418" s="105"/>
      <c r="J418" s="105"/>
      <c r="K418" s="59"/>
      <c r="L418" s="65"/>
      <c r="M418" s="65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66"/>
      <c r="AN418" s="66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</row>
    <row r="419" ht="15.75" customHeight="1">
      <c r="A419" s="59"/>
      <c r="B419" s="102"/>
      <c r="C419" s="105"/>
      <c r="D419" s="103"/>
      <c r="E419" s="104"/>
      <c r="F419" s="105"/>
      <c r="G419" s="96">
        <f t="shared" si="2"/>
        <v>0</v>
      </c>
      <c r="H419" s="97">
        <f t="shared" si="3"/>
        <v>0</v>
      </c>
      <c r="I419" s="105"/>
      <c r="J419" s="105"/>
      <c r="K419" s="59"/>
      <c r="L419" s="65"/>
      <c r="M419" s="65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66"/>
      <c r="AN419" s="66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</row>
    <row r="420" ht="15.75" customHeight="1">
      <c r="A420" s="59"/>
      <c r="B420" s="102"/>
      <c r="C420" s="105"/>
      <c r="D420" s="103"/>
      <c r="E420" s="104"/>
      <c r="F420" s="105"/>
      <c r="G420" s="96">
        <f t="shared" si="2"/>
        <v>0</v>
      </c>
      <c r="H420" s="97">
        <f t="shared" si="3"/>
        <v>0</v>
      </c>
      <c r="I420" s="105"/>
      <c r="J420" s="105"/>
      <c r="K420" s="59"/>
      <c r="L420" s="65"/>
      <c r="M420" s="65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66"/>
      <c r="AN420" s="66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</row>
    <row r="421" ht="15.75" customHeight="1">
      <c r="A421" s="59"/>
      <c r="B421" s="102"/>
      <c r="C421" s="105"/>
      <c r="D421" s="103"/>
      <c r="E421" s="104"/>
      <c r="F421" s="105"/>
      <c r="G421" s="96">
        <f t="shared" si="2"/>
        <v>0</v>
      </c>
      <c r="H421" s="97">
        <f t="shared" si="3"/>
        <v>0</v>
      </c>
      <c r="I421" s="105"/>
      <c r="J421" s="105"/>
      <c r="K421" s="59"/>
      <c r="L421" s="65"/>
      <c r="M421" s="65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66"/>
      <c r="AN421" s="66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</row>
    <row r="422" ht="15.75" customHeight="1">
      <c r="A422" s="59"/>
      <c r="B422" s="102"/>
      <c r="C422" s="105"/>
      <c r="D422" s="103"/>
      <c r="E422" s="104"/>
      <c r="F422" s="105"/>
      <c r="G422" s="96">
        <f t="shared" si="2"/>
        <v>0</v>
      </c>
      <c r="H422" s="97">
        <f t="shared" si="3"/>
        <v>0</v>
      </c>
      <c r="I422" s="105"/>
      <c r="J422" s="105"/>
      <c r="K422" s="59"/>
      <c r="L422" s="65"/>
      <c r="M422" s="65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66"/>
      <c r="AN422" s="66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</row>
    <row r="423" ht="15.75" customHeight="1">
      <c r="A423" s="59"/>
      <c r="B423" s="102"/>
      <c r="C423" s="105"/>
      <c r="D423" s="103"/>
      <c r="E423" s="104"/>
      <c r="F423" s="105"/>
      <c r="G423" s="96">
        <f t="shared" si="2"/>
        <v>0</v>
      </c>
      <c r="H423" s="97">
        <f t="shared" si="3"/>
        <v>0</v>
      </c>
      <c r="I423" s="105"/>
      <c r="J423" s="105"/>
      <c r="K423" s="59"/>
      <c r="L423" s="65"/>
      <c r="M423" s="65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66"/>
      <c r="AN423" s="66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</row>
    <row r="424" ht="15.75" customHeight="1">
      <c r="A424" s="59"/>
      <c r="B424" s="102"/>
      <c r="C424" s="105"/>
      <c r="D424" s="103"/>
      <c r="E424" s="104"/>
      <c r="F424" s="105"/>
      <c r="G424" s="96">
        <f t="shared" si="2"/>
        <v>0</v>
      </c>
      <c r="H424" s="97">
        <f t="shared" si="3"/>
        <v>0</v>
      </c>
      <c r="I424" s="105"/>
      <c r="J424" s="105"/>
      <c r="K424" s="59"/>
      <c r="L424" s="65"/>
      <c r="M424" s="65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66"/>
      <c r="AN424" s="66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</row>
    <row r="425" ht="15.75" customHeight="1">
      <c r="A425" s="59"/>
      <c r="B425" s="102"/>
      <c r="C425" s="105"/>
      <c r="D425" s="103"/>
      <c r="E425" s="104"/>
      <c r="F425" s="105"/>
      <c r="G425" s="96">
        <f t="shared" si="2"/>
        <v>0</v>
      </c>
      <c r="H425" s="97">
        <f t="shared" si="3"/>
        <v>0</v>
      </c>
      <c r="I425" s="105"/>
      <c r="J425" s="105"/>
      <c r="K425" s="59"/>
      <c r="L425" s="65"/>
      <c r="M425" s="65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66"/>
      <c r="AN425" s="66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</row>
    <row r="426" ht="15.75" customHeight="1">
      <c r="A426" s="59"/>
      <c r="B426" s="102"/>
      <c r="C426" s="105"/>
      <c r="D426" s="103"/>
      <c r="E426" s="104"/>
      <c r="F426" s="105"/>
      <c r="G426" s="96">
        <f t="shared" si="2"/>
        <v>0</v>
      </c>
      <c r="H426" s="97">
        <f t="shared" si="3"/>
        <v>0</v>
      </c>
      <c r="I426" s="105"/>
      <c r="J426" s="105"/>
      <c r="K426" s="59"/>
      <c r="L426" s="65"/>
      <c r="M426" s="65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66"/>
      <c r="AN426" s="66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</row>
    <row r="427" ht="15.75" customHeight="1">
      <c r="A427" s="59"/>
      <c r="B427" s="102"/>
      <c r="C427" s="105"/>
      <c r="D427" s="103"/>
      <c r="E427" s="104"/>
      <c r="F427" s="105"/>
      <c r="G427" s="96">
        <f t="shared" si="2"/>
        <v>0</v>
      </c>
      <c r="H427" s="97">
        <f t="shared" si="3"/>
        <v>0</v>
      </c>
      <c r="I427" s="105"/>
      <c r="J427" s="105"/>
      <c r="K427" s="59"/>
      <c r="L427" s="65"/>
      <c r="M427" s="65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66"/>
      <c r="AN427" s="66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</row>
    <row r="428" ht="15.75" customHeight="1">
      <c r="A428" s="59"/>
      <c r="B428" s="102"/>
      <c r="C428" s="105"/>
      <c r="D428" s="103"/>
      <c r="E428" s="104"/>
      <c r="F428" s="105"/>
      <c r="G428" s="96">
        <f t="shared" si="2"/>
        <v>0</v>
      </c>
      <c r="H428" s="97">
        <f t="shared" si="3"/>
        <v>0</v>
      </c>
      <c r="I428" s="105"/>
      <c r="J428" s="105"/>
      <c r="K428" s="59"/>
      <c r="L428" s="65"/>
      <c r="M428" s="65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66"/>
      <c r="AN428" s="66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</row>
    <row r="429" ht="15.75" customHeight="1">
      <c r="A429" s="59"/>
      <c r="B429" s="102"/>
      <c r="C429" s="105"/>
      <c r="D429" s="103"/>
      <c r="E429" s="104"/>
      <c r="F429" s="105"/>
      <c r="G429" s="96">
        <f t="shared" si="2"/>
        <v>0</v>
      </c>
      <c r="H429" s="97">
        <f t="shared" si="3"/>
        <v>0</v>
      </c>
      <c r="I429" s="105"/>
      <c r="J429" s="105"/>
      <c r="K429" s="59"/>
      <c r="L429" s="65"/>
      <c r="M429" s="65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66"/>
      <c r="AN429" s="66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</row>
    <row r="430" ht="15.75" customHeight="1">
      <c r="A430" s="59"/>
      <c r="B430" s="102"/>
      <c r="C430" s="105"/>
      <c r="D430" s="103"/>
      <c r="E430" s="104"/>
      <c r="F430" s="105"/>
      <c r="G430" s="96">
        <f t="shared" si="2"/>
        <v>0</v>
      </c>
      <c r="H430" s="97">
        <f t="shared" si="3"/>
        <v>0</v>
      </c>
      <c r="I430" s="105"/>
      <c r="J430" s="105"/>
      <c r="K430" s="59"/>
      <c r="L430" s="65"/>
      <c r="M430" s="65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66"/>
      <c r="AN430" s="66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</row>
    <row r="431" ht="15.75" customHeight="1">
      <c r="A431" s="59"/>
      <c r="B431" s="102"/>
      <c r="C431" s="105"/>
      <c r="D431" s="103"/>
      <c r="E431" s="104"/>
      <c r="F431" s="105"/>
      <c r="G431" s="96">
        <f t="shared" si="2"/>
        <v>0</v>
      </c>
      <c r="H431" s="97">
        <f t="shared" si="3"/>
        <v>0</v>
      </c>
      <c r="I431" s="105"/>
      <c r="J431" s="105"/>
      <c r="K431" s="59"/>
      <c r="L431" s="65"/>
      <c r="M431" s="65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66"/>
      <c r="AN431" s="66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</row>
    <row r="432" ht="15.75" customHeight="1">
      <c r="A432" s="59"/>
      <c r="B432" s="102"/>
      <c r="C432" s="105"/>
      <c r="D432" s="103"/>
      <c r="E432" s="104"/>
      <c r="F432" s="105"/>
      <c r="G432" s="96">
        <f t="shared" si="2"/>
        <v>0</v>
      </c>
      <c r="H432" s="97">
        <f t="shared" si="3"/>
        <v>0</v>
      </c>
      <c r="I432" s="105"/>
      <c r="J432" s="105"/>
      <c r="K432" s="59"/>
      <c r="L432" s="65"/>
      <c r="M432" s="65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66"/>
      <c r="AN432" s="66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</row>
    <row r="433" ht="15.75" customHeight="1">
      <c r="A433" s="59"/>
      <c r="B433" s="102"/>
      <c r="C433" s="105"/>
      <c r="D433" s="103"/>
      <c r="E433" s="104"/>
      <c r="F433" s="105"/>
      <c r="G433" s="96">
        <f t="shared" si="2"/>
        <v>0</v>
      </c>
      <c r="H433" s="97">
        <f t="shared" si="3"/>
        <v>0</v>
      </c>
      <c r="I433" s="105"/>
      <c r="J433" s="105"/>
      <c r="K433" s="59"/>
      <c r="L433" s="65"/>
      <c r="M433" s="65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66"/>
      <c r="AN433" s="66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</row>
    <row r="434" ht="15.75" customHeight="1">
      <c r="A434" s="59"/>
      <c r="B434" s="102"/>
      <c r="C434" s="105"/>
      <c r="D434" s="103"/>
      <c r="E434" s="104"/>
      <c r="F434" s="105"/>
      <c r="G434" s="96">
        <f t="shared" si="2"/>
        <v>0</v>
      </c>
      <c r="H434" s="97">
        <f t="shared" si="3"/>
        <v>0</v>
      </c>
      <c r="I434" s="105"/>
      <c r="J434" s="105"/>
      <c r="K434" s="59"/>
      <c r="L434" s="65"/>
      <c r="M434" s="65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66"/>
      <c r="AN434" s="66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</row>
    <row r="435" ht="15.75" customHeight="1">
      <c r="A435" s="59"/>
      <c r="B435" s="102"/>
      <c r="C435" s="105"/>
      <c r="D435" s="103"/>
      <c r="E435" s="104"/>
      <c r="F435" s="105"/>
      <c r="G435" s="96">
        <f t="shared" si="2"/>
        <v>0</v>
      </c>
      <c r="H435" s="97">
        <f t="shared" si="3"/>
        <v>0</v>
      </c>
      <c r="I435" s="105"/>
      <c r="J435" s="105"/>
      <c r="K435" s="59"/>
      <c r="L435" s="65"/>
      <c r="M435" s="65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66"/>
      <c r="AN435" s="66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</row>
    <row r="436" ht="15.75" customHeight="1">
      <c r="A436" s="59"/>
      <c r="B436" s="102"/>
      <c r="C436" s="105"/>
      <c r="D436" s="103"/>
      <c r="E436" s="104"/>
      <c r="F436" s="105"/>
      <c r="G436" s="96">
        <f t="shared" si="2"/>
        <v>0</v>
      </c>
      <c r="H436" s="97">
        <f t="shared" si="3"/>
        <v>0</v>
      </c>
      <c r="I436" s="105"/>
      <c r="J436" s="105"/>
      <c r="K436" s="59"/>
      <c r="L436" s="65"/>
      <c r="M436" s="65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66"/>
      <c r="AN436" s="66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</row>
    <row r="437" ht="15.75" customHeight="1">
      <c r="A437" s="59"/>
      <c r="B437" s="102"/>
      <c r="C437" s="105"/>
      <c r="D437" s="103"/>
      <c r="E437" s="104"/>
      <c r="F437" s="105"/>
      <c r="G437" s="96">
        <f t="shared" si="2"/>
        <v>0</v>
      </c>
      <c r="H437" s="97">
        <f t="shared" si="3"/>
        <v>0</v>
      </c>
      <c r="I437" s="105"/>
      <c r="J437" s="105"/>
      <c r="K437" s="59"/>
      <c r="L437" s="65"/>
      <c r="M437" s="65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66"/>
      <c r="AN437" s="66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</row>
    <row r="438" ht="15.75" customHeight="1">
      <c r="A438" s="59"/>
      <c r="B438" s="102"/>
      <c r="C438" s="105"/>
      <c r="D438" s="103"/>
      <c r="E438" s="104"/>
      <c r="F438" s="105"/>
      <c r="G438" s="96">
        <f t="shared" si="2"/>
        <v>0</v>
      </c>
      <c r="H438" s="97">
        <f t="shared" si="3"/>
        <v>0</v>
      </c>
      <c r="I438" s="105"/>
      <c r="J438" s="105"/>
      <c r="K438" s="59"/>
      <c r="L438" s="65"/>
      <c r="M438" s="65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66"/>
      <c r="AN438" s="66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</row>
    <row r="439" ht="15.75" customHeight="1">
      <c r="A439" s="59"/>
      <c r="B439" s="102"/>
      <c r="C439" s="105"/>
      <c r="D439" s="103"/>
      <c r="E439" s="104"/>
      <c r="F439" s="105"/>
      <c r="G439" s="96">
        <f t="shared" si="2"/>
        <v>0</v>
      </c>
      <c r="H439" s="97">
        <f t="shared" si="3"/>
        <v>0</v>
      </c>
      <c r="I439" s="105"/>
      <c r="J439" s="105"/>
      <c r="K439" s="59"/>
      <c r="L439" s="65"/>
      <c r="M439" s="65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66"/>
      <c r="AN439" s="66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</row>
    <row r="440" ht="15.75" customHeight="1">
      <c r="A440" s="59"/>
      <c r="B440" s="102"/>
      <c r="C440" s="105"/>
      <c r="D440" s="103"/>
      <c r="E440" s="104"/>
      <c r="F440" s="105"/>
      <c r="G440" s="96">
        <f t="shared" si="2"/>
        <v>0</v>
      </c>
      <c r="H440" s="97">
        <f t="shared" si="3"/>
        <v>0</v>
      </c>
      <c r="I440" s="105"/>
      <c r="J440" s="105"/>
      <c r="K440" s="59"/>
      <c r="L440" s="65"/>
      <c r="M440" s="65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66"/>
      <c r="AN440" s="66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</row>
    <row r="441" ht="15.75" customHeight="1">
      <c r="A441" s="59"/>
      <c r="B441" s="102"/>
      <c r="C441" s="105"/>
      <c r="D441" s="103"/>
      <c r="E441" s="104"/>
      <c r="F441" s="105"/>
      <c r="G441" s="96">
        <f t="shared" si="2"/>
        <v>0</v>
      </c>
      <c r="H441" s="97">
        <f t="shared" si="3"/>
        <v>0</v>
      </c>
      <c r="I441" s="105"/>
      <c r="J441" s="105"/>
      <c r="K441" s="59"/>
      <c r="L441" s="65"/>
      <c r="M441" s="65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66"/>
      <c r="AN441" s="66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</row>
    <row r="442" ht="15.75" customHeight="1">
      <c r="A442" s="59"/>
      <c r="B442" s="102"/>
      <c r="C442" s="105"/>
      <c r="D442" s="103"/>
      <c r="E442" s="104"/>
      <c r="F442" s="105"/>
      <c r="G442" s="96">
        <f t="shared" si="2"/>
        <v>0</v>
      </c>
      <c r="H442" s="97">
        <f t="shared" si="3"/>
        <v>0</v>
      </c>
      <c r="I442" s="105"/>
      <c r="J442" s="105"/>
      <c r="K442" s="59"/>
      <c r="L442" s="65"/>
      <c r="M442" s="65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66"/>
      <c r="AN442" s="66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</row>
    <row r="443" ht="15.75" customHeight="1">
      <c r="A443" s="59"/>
      <c r="B443" s="102"/>
      <c r="C443" s="105"/>
      <c r="D443" s="103"/>
      <c r="E443" s="104"/>
      <c r="F443" s="105"/>
      <c r="G443" s="96">
        <f t="shared" si="2"/>
        <v>0</v>
      </c>
      <c r="H443" s="97">
        <f t="shared" si="3"/>
        <v>0</v>
      </c>
      <c r="I443" s="105"/>
      <c r="J443" s="105"/>
      <c r="K443" s="59"/>
      <c r="L443" s="65"/>
      <c r="M443" s="65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66"/>
      <c r="AN443" s="66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</row>
    <row r="444" ht="15.75" customHeight="1">
      <c r="A444" s="59"/>
      <c r="B444" s="102"/>
      <c r="C444" s="105"/>
      <c r="D444" s="103"/>
      <c r="E444" s="104"/>
      <c r="F444" s="105"/>
      <c r="G444" s="96">
        <f t="shared" si="2"/>
        <v>0</v>
      </c>
      <c r="H444" s="97">
        <f t="shared" si="3"/>
        <v>0</v>
      </c>
      <c r="I444" s="105"/>
      <c r="J444" s="105"/>
      <c r="K444" s="59"/>
      <c r="L444" s="65"/>
      <c r="M444" s="65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66"/>
      <c r="AN444" s="66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</row>
    <row r="445" ht="15.75" customHeight="1">
      <c r="A445" s="59"/>
      <c r="B445" s="102"/>
      <c r="C445" s="105"/>
      <c r="D445" s="103"/>
      <c r="E445" s="104"/>
      <c r="F445" s="105"/>
      <c r="G445" s="96">
        <f t="shared" si="2"/>
        <v>0</v>
      </c>
      <c r="H445" s="97">
        <f t="shared" si="3"/>
        <v>0</v>
      </c>
      <c r="I445" s="105"/>
      <c r="J445" s="105"/>
      <c r="K445" s="59"/>
      <c r="L445" s="65"/>
      <c r="M445" s="65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66"/>
      <c r="AN445" s="66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</row>
    <row r="446" ht="15.75" customHeight="1">
      <c r="A446" s="59"/>
      <c r="B446" s="102"/>
      <c r="C446" s="105"/>
      <c r="D446" s="103"/>
      <c r="E446" s="104"/>
      <c r="F446" s="105"/>
      <c r="G446" s="96">
        <f t="shared" si="2"/>
        <v>0</v>
      </c>
      <c r="H446" s="97">
        <f t="shared" si="3"/>
        <v>0</v>
      </c>
      <c r="I446" s="105"/>
      <c r="J446" s="105"/>
      <c r="K446" s="59"/>
      <c r="L446" s="65"/>
      <c r="M446" s="65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66"/>
      <c r="AN446" s="66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</row>
    <row r="447" ht="15.75" customHeight="1">
      <c r="A447" s="59"/>
      <c r="B447" s="102"/>
      <c r="C447" s="105"/>
      <c r="D447" s="103"/>
      <c r="E447" s="104"/>
      <c r="F447" s="105"/>
      <c r="G447" s="96">
        <f t="shared" si="2"/>
        <v>0</v>
      </c>
      <c r="H447" s="97">
        <f t="shared" si="3"/>
        <v>0</v>
      </c>
      <c r="I447" s="105"/>
      <c r="J447" s="105"/>
      <c r="K447" s="59"/>
      <c r="L447" s="65"/>
      <c r="M447" s="65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66"/>
      <c r="AN447" s="66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</row>
    <row r="448" ht="15.75" customHeight="1">
      <c r="A448" s="59"/>
      <c r="B448" s="102"/>
      <c r="C448" s="105"/>
      <c r="D448" s="103"/>
      <c r="E448" s="104"/>
      <c r="F448" s="105"/>
      <c r="G448" s="96">
        <f t="shared" si="2"/>
        <v>0</v>
      </c>
      <c r="H448" s="97">
        <f t="shared" si="3"/>
        <v>0</v>
      </c>
      <c r="I448" s="105"/>
      <c r="J448" s="105"/>
      <c r="K448" s="59"/>
      <c r="L448" s="65"/>
      <c r="M448" s="65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66"/>
      <c r="AN448" s="66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</row>
    <row r="449" ht="15.75" customHeight="1">
      <c r="A449" s="59"/>
      <c r="B449" s="102"/>
      <c r="C449" s="105"/>
      <c r="D449" s="103"/>
      <c r="E449" s="104"/>
      <c r="F449" s="105"/>
      <c r="G449" s="96">
        <f t="shared" si="2"/>
        <v>0</v>
      </c>
      <c r="H449" s="97">
        <f t="shared" si="3"/>
        <v>0</v>
      </c>
      <c r="I449" s="105"/>
      <c r="J449" s="105"/>
      <c r="K449" s="59"/>
      <c r="L449" s="65"/>
      <c r="M449" s="65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66"/>
      <c r="AN449" s="66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</row>
    <row r="450" ht="15.75" customHeight="1">
      <c r="A450" s="59"/>
      <c r="B450" s="102"/>
      <c r="C450" s="105"/>
      <c r="D450" s="103"/>
      <c r="E450" s="104"/>
      <c r="F450" s="105"/>
      <c r="G450" s="96">
        <f t="shared" si="2"/>
        <v>0</v>
      </c>
      <c r="H450" s="97">
        <f t="shared" si="3"/>
        <v>0</v>
      </c>
      <c r="I450" s="105"/>
      <c r="J450" s="105"/>
      <c r="K450" s="59"/>
      <c r="L450" s="65"/>
      <c r="M450" s="65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66"/>
      <c r="AN450" s="66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</row>
    <row r="451" ht="15.75" customHeight="1">
      <c r="A451" s="59"/>
      <c r="B451" s="102"/>
      <c r="C451" s="105"/>
      <c r="D451" s="103"/>
      <c r="E451" s="104"/>
      <c r="F451" s="105"/>
      <c r="G451" s="96">
        <f t="shared" si="2"/>
        <v>0</v>
      </c>
      <c r="H451" s="97">
        <f t="shared" si="3"/>
        <v>0</v>
      </c>
      <c r="I451" s="105"/>
      <c r="J451" s="105"/>
      <c r="K451" s="59"/>
      <c r="L451" s="65"/>
      <c r="M451" s="65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66"/>
      <c r="AN451" s="66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</row>
    <row r="452" ht="15.75" customHeight="1">
      <c r="A452" s="59"/>
      <c r="B452" s="102"/>
      <c r="C452" s="105"/>
      <c r="D452" s="103"/>
      <c r="E452" s="104"/>
      <c r="F452" s="105"/>
      <c r="G452" s="96">
        <f t="shared" si="2"/>
        <v>0</v>
      </c>
      <c r="H452" s="97">
        <f t="shared" si="3"/>
        <v>0</v>
      </c>
      <c r="I452" s="105"/>
      <c r="J452" s="105"/>
      <c r="K452" s="59"/>
      <c r="L452" s="65"/>
      <c r="M452" s="65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66"/>
      <c r="AN452" s="66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</row>
    <row r="453" ht="15.75" customHeight="1">
      <c r="A453" s="59"/>
      <c r="B453" s="102"/>
      <c r="C453" s="105"/>
      <c r="D453" s="103"/>
      <c r="E453" s="104"/>
      <c r="F453" s="105"/>
      <c r="G453" s="96">
        <f t="shared" si="2"/>
        <v>0</v>
      </c>
      <c r="H453" s="97">
        <f t="shared" si="3"/>
        <v>0</v>
      </c>
      <c r="I453" s="105"/>
      <c r="J453" s="105"/>
      <c r="K453" s="59"/>
      <c r="L453" s="65"/>
      <c r="M453" s="65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66"/>
      <c r="AN453" s="66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</row>
    <row r="454" ht="15.75" customHeight="1">
      <c r="A454" s="59"/>
      <c r="B454" s="102"/>
      <c r="C454" s="105"/>
      <c r="D454" s="103"/>
      <c r="E454" s="104"/>
      <c r="F454" s="105"/>
      <c r="G454" s="96">
        <f t="shared" si="2"/>
        <v>0</v>
      </c>
      <c r="H454" s="97">
        <f t="shared" si="3"/>
        <v>0</v>
      </c>
      <c r="I454" s="105"/>
      <c r="J454" s="105"/>
      <c r="K454" s="59"/>
      <c r="L454" s="65"/>
      <c r="M454" s="65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66"/>
      <c r="AN454" s="66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</row>
    <row r="455" ht="15.75" customHeight="1">
      <c r="A455" s="59"/>
      <c r="B455" s="102"/>
      <c r="C455" s="105"/>
      <c r="D455" s="103"/>
      <c r="E455" s="104"/>
      <c r="F455" s="105"/>
      <c r="G455" s="96">
        <f t="shared" si="2"/>
        <v>0</v>
      </c>
      <c r="H455" s="97">
        <f t="shared" si="3"/>
        <v>0</v>
      </c>
      <c r="I455" s="105"/>
      <c r="J455" s="105"/>
      <c r="K455" s="59"/>
      <c r="L455" s="65"/>
      <c r="M455" s="65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66"/>
      <c r="AN455" s="66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</row>
    <row r="456" ht="15.75" customHeight="1">
      <c r="A456" s="59"/>
      <c r="B456" s="102"/>
      <c r="C456" s="105"/>
      <c r="D456" s="103"/>
      <c r="E456" s="104"/>
      <c r="F456" s="105"/>
      <c r="G456" s="96">
        <f t="shared" si="2"/>
        <v>0</v>
      </c>
      <c r="H456" s="97">
        <f t="shared" si="3"/>
        <v>0</v>
      </c>
      <c r="I456" s="105"/>
      <c r="J456" s="105"/>
      <c r="K456" s="59"/>
      <c r="L456" s="65"/>
      <c r="M456" s="65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66"/>
      <c r="AN456" s="66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</row>
    <row r="457" ht="15.75" customHeight="1">
      <c r="A457" s="59"/>
      <c r="B457" s="102"/>
      <c r="C457" s="105"/>
      <c r="D457" s="103"/>
      <c r="E457" s="104"/>
      <c r="F457" s="105"/>
      <c r="G457" s="96">
        <f t="shared" si="2"/>
        <v>0</v>
      </c>
      <c r="H457" s="97">
        <f t="shared" si="3"/>
        <v>0</v>
      </c>
      <c r="I457" s="105"/>
      <c r="J457" s="105"/>
      <c r="K457" s="59"/>
      <c r="L457" s="65"/>
      <c r="M457" s="65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66"/>
      <c r="AN457" s="66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</row>
    <row r="458" ht="15.75" customHeight="1">
      <c r="A458" s="59"/>
      <c r="B458" s="102"/>
      <c r="C458" s="105"/>
      <c r="D458" s="103"/>
      <c r="E458" s="104"/>
      <c r="F458" s="105"/>
      <c r="G458" s="96">
        <f t="shared" si="2"/>
        <v>0</v>
      </c>
      <c r="H458" s="97">
        <f t="shared" si="3"/>
        <v>0</v>
      </c>
      <c r="I458" s="105"/>
      <c r="J458" s="105"/>
      <c r="K458" s="59"/>
      <c r="L458" s="65"/>
      <c r="M458" s="65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66"/>
      <c r="AN458" s="66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</row>
    <row r="459" ht="15.75" customHeight="1">
      <c r="A459" s="59"/>
      <c r="B459" s="102"/>
      <c r="C459" s="105"/>
      <c r="D459" s="103"/>
      <c r="E459" s="104"/>
      <c r="F459" s="105"/>
      <c r="G459" s="96">
        <f t="shared" si="2"/>
        <v>0</v>
      </c>
      <c r="H459" s="97">
        <f t="shared" si="3"/>
        <v>0</v>
      </c>
      <c r="I459" s="105"/>
      <c r="J459" s="105"/>
      <c r="K459" s="59"/>
      <c r="L459" s="65"/>
      <c r="M459" s="65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66"/>
      <c r="AN459" s="66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</row>
    <row r="460" ht="15.75" customHeight="1">
      <c r="A460" s="59"/>
      <c r="B460" s="102"/>
      <c r="C460" s="105"/>
      <c r="D460" s="103"/>
      <c r="E460" s="104"/>
      <c r="F460" s="105"/>
      <c r="G460" s="96">
        <f t="shared" si="2"/>
        <v>0</v>
      </c>
      <c r="H460" s="97">
        <f t="shared" si="3"/>
        <v>0</v>
      </c>
      <c r="I460" s="105"/>
      <c r="J460" s="105"/>
      <c r="K460" s="59"/>
      <c r="L460" s="65"/>
      <c r="M460" s="65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66"/>
      <c r="AN460" s="66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</row>
    <row r="461" ht="15.75" customHeight="1">
      <c r="A461" s="59"/>
      <c r="B461" s="102"/>
      <c r="C461" s="105"/>
      <c r="D461" s="103"/>
      <c r="E461" s="104"/>
      <c r="F461" s="105"/>
      <c r="G461" s="96">
        <f t="shared" si="2"/>
        <v>0</v>
      </c>
      <c r="H461" s="97">
        <f t="shared" si="3"/>
        <v>0</v>
      </c>
      <c r="I461" s="105"/>
      <c r="J461" s="105"/>
      <c r="K461" s="59"/>
      <c r="L461" s="65"/>
      <c r="M461" s="65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66"/>
      <c r="AN461" s="66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</row>
    <row r="462" ht="15.75" customHeight="1">
      <c r="A462" s="59"/>
      <c r="B462" s="102"/>
      <c r="C462" s="105"/>
      <c r="D462" s="103"/>
      <c r="E462" s="104"/>
      <c r="F462" s="105"/>
      <c r="G462" s="96">
        <f t="shared" si="2"/>
        <v>0</v>
      </c>
      <c r="H462" s="97">
        <f t="shared" si="3"/>
        <v>0</v>
      </c>
      <c r="I462" s="105"/>
      <c r="J462" s="105"/>
      <c r="K462" s="59"/>
      <c r="L462" s="65"/>
      <c r="M462" s="65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66"/>
      <c r="AN462" s="66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</row>
    <row r="463" ht="15.75" customHeight="1">
      <c r="A463" s="59"/>
      <c r="B463" s="102"/>
      <c r="C463" s="105"/>
      <c r="D463" s="103"/>
      <c r="E463" s="104"/>
      <c r="F463" s="105"/>
      <c r="G463" s="96">
        <f t="shared" si="2"/>
        <v>0</v>
      </c>
      <c r="H463" s="97">
        <f t="shared" si="3"/>
        <v>0</v>
      </c>
      <c r="I463" s="105"/>
      <c r="J463" s="105"/>
      <c r="K463" s="59"/>
      <c r="L463" s="65"/>
      <c r="M463" s="65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66"/>
      <c r="AN463" s="66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</row>
    <row r="464" ht="15.75" customHeight="1">
      <c r="A464" s="59"/>
      <c r="B464" s="102"/>
      <c r="C464" s="105"/>
      <c r="D464" s="103"/>
      <c r="E464" s="104"/>
      <c r="F464" s="105"/>
      <c r="G464" s="96">
        <f t="shared" si="2"/>
        <v>0</v>
      </c>
      <c r="H464" s="97">
        <f t="shared" si="3"/>
        <v>0</v>
      </c>
      <c r="I464" s="105"/>
      <c r="J464" s="105"/>
      <c r="K464" s="59"/>
      <c r="L464" s="65"/>
      <c r="M464" s="65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66"/>
      <c r="AN464" s="66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</row>
    <row r="465" ht="15.75" customHeight="1">
      <c r="A465" s="59"/>
      <c r="B465" s="102"/>
      <c r="C465" s="105"/>
      <c r="D465" s="103"/>
      <c r="E465" s="104"/>
      <c r="F465" s="105"/>
      <c r="G465" s="96">
        <f t="shared" si="2"/>
        <v>0</v>
      </c>
      <c r="H465" s="97">
        <f t="shared" si="3"/>
        <v>0</v>
      </c>
      <c r="I465" s="105"/>
      <c r="J465" s="105"/>
      <c r="K465" s="59"/>
      <c r="L465" s="65"/>
      <c r="M465" s="65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66"/>
      <c r="AN465" s="66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</row>
    <row r="466" ht="15.75" customHeight="1">
      <c r="A466" s="59"/>
      <c r="B466" s="102"/>
      <c r="C466" s="105"/>
      <c r="D466" s="103"/>
      <c r="E466" s="104"/>
      <c r="F466" s="105"/>
      <c r="G466" s="96">
        <f t="shared" si="2"/>
        <v>0</v>
      </c>
      <c r="H466" s="97">
        <f t="shared" si="3"/>
        <v>0</v>
      </c>
      <c r="I466" s="105"/>
      <c r="J466" s="105"/>
      <c r="K466" s="59"/>
      <c r="L466" s="65"/>
      <c r="M466" s="65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66"/>
      <c r="AN466" s="66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</row>
    <row r="467" ht="15.75" customHeight="1">
      <c r="A467" s="59"/>
      <c r="B467" s="102"/>
      <c r="C467" s="105"/>
      <c r="D467" s="103"/>
      <c r="E467" s="104"/>
      <c r="F467" s="105"/>
      <c r="G467" s="96">
        <f t="shared" si="2"/>
        <v>0</v>
      </c>
      <c r="H467" s="97">
        <f t="shared" si="3"/>
        <v>0</v>
      </c>
      <c r="I467" s="105"/>
      <c r="J467" s="105"/>
      <c r="K467" s="59"/>
      <c r="L467" s="65"/>
      <c r="M467" s="65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66"/>
      <c r="AN467" s="66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</row>
    <row r="468" ht="15.75" customHeight="1">
      <c r="A468" s="59"/>
      <c r="B468" s="102"/>
      <c r="C468" s="105"/>
      <c r="D468" s="103"/>
      <c r="E468" s="104"/>
      <c r="F468" s="105"/>
      <c r="G468" s="96">
        <f t="shared" si="2"/>
        <v>0</v>
      </c>
      <c r="H468" s="97">
        <f t="shared" si="3"/>
        <v>0</v>
      </c>
      <c r="I468" s="105"/>
      <c r="J468" s="105"/>
      <c r="K468" s="59"/>
      <c r="L468" s="65"/>
      <c r="M468" s="65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66"/>
      <c r="AN468" s="66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</row>
    <row r="469" ht="15.75" customHeight="1">
      <c r="A469" s="59"/>
      <c r="B469" s="102"/>
      <c r="C469" s="105"/>
      <c r="D469" s="103"/>
      <c r="E469" s="104"/>
      <c r="F469" s="105"/>
      <c r="G469" s="96">
        <f t="shared" si="2"/>
        <v>0</v>
      </c>
      <c r="H469" s="97">
        <f t="shared" si="3"/>
        <v>0</v>
      </c>
      <c r="I469" s="105"/>
      <c r="J469" s="105"/>
      <c r="K469" s="59"/>
      <c r="L469" s="65"/>
      <c r="M469" s="65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66"/>
      <c r="AN469" s="66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</row>
    <row r="470" ht="15.75" customHeight="1">
      <c r="A470" s="59"/>
      <c r="B470" s="102"/>
      <c r="C470" s="105"/>
      <c r="D470" s="103"/>
      <c r="E470" s="104"/>
      <c r="F470" s="105"/>
      <c r="G470" s="96">
        <f t="shared" si="2"/>
        <v>0</v>
      </c>
      <c r="H470" s="97">
        <f t="shared" si="3"/>
        <v>0</v>
      </c>
      <c r="I470" s="105"/>
      <c r="J470" s="105"/>
      <c r="K470" s="59"/>
      <c r="L470" s="65"/>
      <c r="M470" s="65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66"/>
      <c r="AN470" s="66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</row>
    <row r="471" ht="15.75" customHeight="1">
      <c r="A471" s="59"/>
      <c r="B471" s="102"/>
      <c r="C471" s="105"/>
      <c r="D471" s="103"/>
      <c r="E471" s="104"/>
      <c r="F471" s="105"/>
      <c r="G471" s="96">
        <f t="shared" si="2"/>
        <v>0</v>
      </c>
      <c r="H471" s="97">
        <f t="shared" si="3"/>
        <v>0</v>
      </c>
      <c r="I471" s="105"/>
      <c r="J471" s="105"/>
      <c r="K471" s="59"/>
      <c r="L471" s="65"/>
      <c r="M471" s="65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66"/>
      <c r="AN471" s="66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</row>
    <row r="472" ht="15.75" customHeight="1">
      <c r="A472" s="59"/>
      <c r="B472" s="102"/>
      <c r="C472" s="105"/>
      <c r="D472" s="103"/>
      <c r="E472" s="104"/>
      <c r="F472" s="105"/>
      <c r="G472" s="96">
        <f t="shared" si="2"/>
        <v>0</v>
      </c>
      <c r="H472" s="97">
        <f t="shared" si="3"/>
        <v>0</v>
      </c>
      <c r="I472" s="105"/>
      <c r="J472" s="105"/>
      <c r="K472" s="59"/>
      <c r="L472" s="65"/>
      <c r="M472" s="65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66"/>
      <c r="AN472" s="66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</row>
    <row r="473" ht="15.75" customHeight="1">
      <c r="A473" s="59"/>
      <c r="B473" s="102"/>
      <c r="C473" s="105"/>
      <c r="D473" s="103"/>
      <c r="E473" s="104"/>
      <c r="F473" s="105"/>
      <c r="G473" s="96">
        <f t="shared" si="2"/>
        <v>0</v>
      </c>
      <c r="H473" s="97">
        <f t="shared" si="3"/>
        <v>0</v>
      </c>
      <c r="I473" s="105"/>
      <c r="J473" s="105"/>
      <c r="K473" s="59"/>
      <c r="L473" s="65"/>
      <c r="M473" s="65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66"/>
      <c r="AN473" s="66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</row>
    <row r="474" ht="15.75" customHeight="1">
      <c r="A474" s="59"/>
      <c r="B474" s="102"/>
      <c r="C474" s="105"/>
      <c r="D474" s="103"/>
      <c r="E474" s="104"/>
      <c r="F474" s="105"/>
      <c r="G474" s="96">
        <f t="shared" si="2"/>
        <v>0</v>
      </c>
      <c r="H474" s="97">
        <f t="shared" si="3"/>
        <v>0</v>
      </c>
      <c r="I474" s="105"/>
      <c r="J474" s="105"/>
      <c r="K474" s="59"/>
      <c r="L474" s="65"/>
      <c r="M474" s="65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66"/>
      <c r="AN474" s="66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</row>
    <row r="475" ht="15.75" customHeight="1">
      <c r="A475" s="59"/>
      <c r="B475" s="102"/>
      <c r="C475" s="105"/>
      <c r="D475" s="103"/>
      <c r="E475" s="104"/>
      <c r="F475" s="105"/>
      <c r="G475" s="96">
        <f t="shared" si="2"/>
        <v>0</v>
      </c>
      <c r="H475" s="97">
        <f t="shared" si="3"/>
        <v>0</v>
      </c>
      <c r="I475" s="105"/>
      <c r="J475" s="105"/>
      <c r="K475" s="59"/>
      <c r="L475" s="65"/>
      <c r="M475" s="65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66"/>
      <c r="AN475" s="66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</row>
    <row r="476" ht="15.75" customHeight="1">
      <c r="A476" s="59"/>
      <c r="B476" s="102"/>
      <c r="C476" s="105"/>
      <c r="D476" s="103"/>
      <c r="E476" s="104"/>
      <c r="F476" s="105"/>
      <c r="G476" s="96">
        <f t="shared" si="2"/>
        <v>0</v>
      </c>
      <c r="H476" s="97">
        <f t="shared" si="3"/>
        <v>0</v>
      </c>
      <c r="I476" s="105"/>
      <c r="J476" s="105"/>
      <c r="K476" s="59"/>
      <c r="L476" s="65"/>
      <c r="M476" s="65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66"/>
      <c r="AN476" s="66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</row>
    <row r="477" ht="15.75" customHeight="1">
      <c r="A477" s="59"/>
      <c r="B477" s="102"/>
      <c r="C477" s="105"/>
      <c r="D477" s="103"/>
      <c r="E477" s="104"/>
      <c r="F477" s="105"/>
      <c r="G477" s="96">
        <f t="shared" si="2"/>
        <v>0</v>
      </c>
      <c r="H477" s="97">
        <f t="shared" si="3"/>
        <v>0</v>
      </c>
      <c r="I477" s="105"/>
      <c r="J477" s="105"/>
      <c r="K477" s="59"/>
      <c r="L477" s="65"/>
      <c r="M477" s="65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66"/>
      <c r="AN477" s="66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</row>
    <row r="478" ht="15.75" customHeight="1">
      <c r="A478" s="59"/>
      <c r="B478" s="102"/>
      <c r="C478" s="105"/>
      <c r="D478" s="103"/>
      <c r="E478" s="104"/>
      <c r="F478" s="105"/>
      <c r="G478" s="96">
        <f t="shared" si="2"/>
        <v>0</v>
      </c>
      <c r="H478" s="97">
        <f t="shared" si="3"/>
        <v>0</v>
      </c>
      <c r="I478" s="105"/>
      <c r="J478" s="105"/>
      <c r="K478" s="59"/>
      <c r="L478" s="65"/>
      <c r="M478" s="65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66"/>
      <c r="AN478" s="66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</row>
    <row r="479" ht="15.75" customHeight="1">
      <c r="A479" s="59"/>
      <c r="B479" s="102"/>
      <c r="C479" s="105"/>
      <c r="D479" s="103"/>
      <c r="E479" s="104"/>
      <c r="F479" s="105"/>
      <c r="G479" s="96">
        <f t="shared" si="2"/>
        <v>0</v>
      </c>
      <c r="H479" s="97">
        <f t="shared" si="3"/>
        <v>0</v>
      </c>
      <c r="I479" s="105"/>
      <c r="J479" s="105"/>
      <c r="K479" s="59"/>
      <c r="L479" s="65"/>
      <c r="M479" s="65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66"/>
      <c r="AN479" s="66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</row>
    <row r="480" ht="15.75" customHeight="1">
      <c r="A480" s="59"/>
      <c r="B480" s="102"/>
      <c r="C480" s="105"/>
      <c r="D480" s="103"/>
      <c r="E480" s="104"/>
      <c r="F480" s="105"/>
      <c r="G480" s="96">
        <f t="shared" si="2"/>
        <v>0</v>
      </c>
      <c r="H480" s="97">
        <f t="shared" si="3"/>
        <v>0</v>
      </c>
      <c r="I480" s="105"/>
      <c r="J480" s="105"/>
      <c r="K480" s="59"/>
      <c r="L480" s="65"/>
      <c r="M480" s="65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66"/>
      <c r="AN480" s="66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</row>
    <row r="481" ht="15.75" customHeight="1">
      <c r="A481" s="59"/>
      <c r="B481" s="102"/>
      <c r="C481" s="105"/>
      <c r="D481" s="103"/>
      <c r="E481" s="104"/>
      <c r="F481" s="105"/>
      <c r="G481" s="96">
        <f t="shared" si="2"/>
        <v>0</v>
      </c>
      <c r="H481" s="97">
        <f t="shared" si="3"/>
        <v>0</v>
      </c>
      <c r="I481" s="105"/>
      <c r="J481" s="105"/>
      <c r="K481" s="59"/>
      <c r="L481" s="65"/>
      <c r="M481" s="65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66"/>
      <c r="AN481" s="66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</row>
    <row r="482" ht="15.75" customHeight="1">
      <c r="A482" s="59"/>
      <c r="B482" s="102"/>
      <c r="C482" s="105"/>
      <c r="D482" s="103"/>
      <c r="E482" s="104"/>
      <c r="F482" s="105"/>
      <c r="G482" s="96">
        <f t="shared" si="2"/>
        <v>0</v>
      </c>
      <c r="H482" s="97">
        <f t="shared" si="3"/>
        <v>0</v>
      </c>
      <c r="I482" s="105"/>
      <c r="J482" s="105"/>
      <c r="K482" s="59"/>
      <c r="L482" s="65"/>
      <c r="M482" s="65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66"/>
      <c r="AN482" s="66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</row>
    <row r="483" ht="15.75" customHeight="1">
      <c r="A483" s="59"/>
      <c r="B483" s="102"/>
      <c r="C483" s="105"/>
      <c r="D483" s="103"/>
      <c r="E483" s="104"/>
      <c r="F483" s="105"/>
      <c r="G483" s="96">
        <f t="shared" si="2"/>
        <v>0</v>
      </c>
      <c r="H483" s="97">
        <f t="shared" si="3"/>
        <v>0</v>
      </c>
      <c r="I483" s="105"/>
      <c r="J483" s="105"/>
      <c r="K483" s="59"/>
      <c r="L483" s="65"/>
      <c r="M483" s="65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66"/>
      <c r="AN483" s="66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</row>
    <row r="484" ht="15.75" customHeight="1">
      <c r="A484" s="59"/>
      <c r="B484" s="102"/>
      <c r="C484" s="105"/>
      <c r="D484" s="103"/>
      <c r="E484" s="104"/>
      <c r="F484" s="105"/>
      <c r="G484" s="96">
        <f t="shared" si="2"/>
        <v>0</v>
      </c>
      <c r="H484" s="97">
        <f t="shared" si="3"/>
        <v>0</v>
      </c>
      <c r="I484" s="105"/>
      <c r="J484" s="105"/>
      <c r="K484" s="59"/>
      <c r="L484" s="65"/>
      <c r="M484" s="65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66"/>
      <c r="AN484" s="66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</row>
    <row r="485" ht="15.75" customHeight="1">
      <c r="A485" s="59"/>
      <c r="B485" s="102"/>
      <c r="C485" s="105"/>
      <c r="D485" s="103"/>
      <c r="E485" s="104"/>
      <c r="F485" s="105"/>
      <c r="G485" s="96">
        <f t="shared" si="2"/>
        <v>0</v>
      </c>
      <c r="H485" s="97">
        <f t="shared" si="3"/>
        <v>0</v>
      </c>
      <c r="I485" s="105"/>
      <c r="J485" s="105"/>
      <c r="K485" s="59"/>
      <c r="L485" s="65"/>
      <c r="M485" s="65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66"/>
      <c r="AN485" s="66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</row>
    <row r="486" ht="15.75" customHeight="1">
      <c r="A486" s="59"/>
      <c r="B486" s="102"/>
      <c r="C486" s="105"/>
      <c r="D486" s="103"/>
      <c r="E486" s="104"/>
      <c r="F486" s="105"/>
      <c r="G486" s="96">
        <f t="shared" si="2"/>
        <v>0</v>
      </c>
      <c r="H486" s="97">
        <f t="shared" si="3"/>
        <v>0</v>
      </c>
      <c r="I486" s="105"/>
      <c r="J486" s="105"/>
      <c r="K486" s="59"/>
      <c r="L486" s="65"/>
      <c r="M486" s="65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66"/>
      <c r="AN486" s="66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</row>
    <row r="487" ht="15.75" customHeight="1">
      <c r="A487" s="59"/>
      <c r="B487" s="102"/>
      <c r="C487" s="105"/>
      <c r="D487" s="103"/>
      <c r="E487" s="104"/>
      <c r="F487" s="105"/>
      <c r="G487" s="96">
        <f t="shared" si="2"/>
        <v>0</v>
      </c>
      <c r="H487" s="97">
        <f t="shared" si="3"/>
        <v>0</v>
      </c>
      <c r="I487" s="105"/>
      <c r="J487" s="105"/>
      <c r="K487" s="59"/>
      <c r="L487" s="65"/>
      <c r="M487" s="65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66"/>
      <c r="AN487" s="66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</row>
    <row r="488" ht="15.75" customHeight="1">
      <c r="A488" s="59"/>
      <c r="B488" s="102"/>
      <c r="C488" s="105"/>
      <c r="D488" s="103"/>
      <c r="E488" s="104"/>
      <c r="F488" s="105"/>
      <c r="G488" s="96">
        <f t="shared" si="2"/>
        <v>0</v>
      </c>
      <c r="H488" s="97">
        <f t="shared" si="3"/>
        <v>0</v>
      </c>
      <c r="I488" s="105"/>
      <c r="J488" s="105"/>
      <c r="K488" s="59"/>
      <c r="L488" s="65"/>
      <c r="M488" s="65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66"/>
      <c r="AN488" s="66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</row>
    <row r="489" ht="15.75" customHeight="1">
      <c r="A489" s="59"/>
      <c r="B489" s="102"/>
      <c r="C489" s="105"/>
      <c r="D489" s="103"/>
      <c r="E489" s="104"/>
      <c r="F489" s="105"/>
      <c r="G489" s="96">
        <f t="shared" si="2"/>
        <v>0</v>
      </c>
      <c r="H489" s="97">
        <f t="shared" si="3"/>
        <v>0</v>
      </c>
      <c r="I489" s="105"/>
      <c r="J489" s="105"/>
      <c r="K489" s="59"/>
      <c r="L489" s="65"/>
      <c r="M489" s="65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66"/>
      <c r="AN489" s="66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</row>
    <row r="490" ht="15.75" customHeight="1">
      <c r="A490" s="59"/>
      <c r="B490" s="102"/>
      <c r="C490" s="105"/>
      <c r="D490" s="103"/>
      <c r="E490" s="104"/>
      <c r="F490" s="105"/>
      <c r="G490" s="96">
        <f t="shared" si="2"/>
        <v>0</v>
      </c>
      <c r="H490" s="97">
        <f t="shared" si="3"/>
        <v>0</v>
      </c>
      <c r="I490" s="105"/>
      <c r="J490" s="105"/>
      <c r="K490" s="59"/>
      <c r="L490" s="65"/>
      <c r="M490" s="65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66"/>
      <c r="AN490" s="66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</row>
    <row r="491" ht="15.75" customHeight="1">
      <c r="A491" s="59"/>
      <c r="B491" s="102"/>
      <c r="C491" s="105"/>
      <c r="D491" s="103"/>
      <c r="E491" s="104"/>
      <c r="F491" s="105"/>
      <c r="G491" s="96">
        <f t="shared" si="2"/>
        <v>0</v>
      </c>
      <c r="H491" s="97">
        <f t="shared" si="3"/>
        <v>0</v>
      </c>
      <c r="I491" s="105"/>
      <c r="J491" s="105"/>
      <c r="K491" s="59"/>
      <c r="L491" s="65"/>
      <c r="M491" s="65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66"/>
      <c r="AN491" s="66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</row>
    <row r="492" ht="15.75" customHeight="1">
      <c r="A492" s="59"/>
      <c r="B492" s="102"/>
      <c r="C492" s="105"/>
      <c r="D492" s="103"/>
      <c r="E492" s="104"/>
      <c r="F492" s="105"/>
      <c r="G492" s="96">
        <f t="shared" si="2"/>
        <v>0</v>
      </c>
      <c r="H492" s="97">
        <f t="shared" si="3"/>
        <v>0</v>
      </c>
      <c r="I492" s="105"/>
      <c r="J492" s="105"/>
      <c r="K492" s="59"/>
      <c r="L492" s="65"/>
      <c r="M492" s="65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66"/>
      <c r="AN492" s="66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</row>
    <row r="493" ht="15.75" customHeight="1">
      <c r="A493" s="59"/>
      <c r="B493" s="102"/>
      <c r="C493" s="105"/>
      <c r="D493" s="103"/>
      <c r="E493" s="104"/>
      <c r="F493" s="105"/>
      <c r="G493" s="96">
        <f t="shared" si="2"/>
        <v>0</v>
      </c>
      <c r="H493" s="97">
        <f t="shared" si="3"/>
        <v>0</v>
      </c>
      <c r="I493" s="105"/>
      <c r="J493" s="105"/>
      <c r="K493" s="59"/>
      <c r="L493" s="65"/>
      <c r="M493" s="65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66"/>
      <c r="AN493" s="66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</row>
    <row r="494" ht="15.75" customHeight="1">
      <c r="A494" s="59"/>
      <c r="B494" s="102"/>
      <c r="C494" s="105"/>
      <c r="D494" s="103"/>
      <c r="E494" s="104"/>
      <c r="F494" s="105"/>
      <c r="G494" s="96">
        <f t="shared" si="2"/>
        <v>0</v>
      </c>
      <c r="H494" s="97">
        <f t="shared" si="3"/>
        <v>0</v>
      </c>
      <c r="I494" s="105"/>
      <c r="J494" s="105"/>
      <c r="K494" s="59"/>
      <c r="L494" s="65"/>
      <c r="M494" s="65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66"/>
      <c r="AN494" s="66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</row>
    <row r="495" ht="15.75" customHeight="1">
      <c r="A495" s="59"/>
      <c r="B495" s="102"/>
      <c r="C495" s="105"/>
      <c r="D495" s="103"/>
      <c r="E495" s="104"/>
      <c r="F495" s="105"/>
      <c r="G495" s="96">
        <f t="shared" si="2"/>
        <v>0</v>
      </c>
      <c r="H495" s="97">
        <f t="shared" si="3"/>
        <v>0</v>
      </c>
      <c r="I495" s="105"/>
      <c r="J495" s="105"/>
      <c r="K495" s="59"/>
      <c r="L495" s="65"/>
      <c r="M495" s="65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66"/>
      <c r="AN495" s="66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</row>
    <row r="496" ht="15.75" customHeight="1">
      <c r="A496" s="59"/>
      <c r="B496" s="102"/>
      <c r="C496" s="105"/>
      <c r="D496" s="103"/>
      <c r="E496" s="104"/>
      <c r="F496" s="105"/>
      <c r="G496" s="96">
        <f t="shared" si="2"/>
        <v>0</v>
      </c>
      <c r="H496" s="97">
        <f t="shared" si="3"/>
        <v>0</v>
      </c>
      <c r="I496" s="105"/>
      <c r="J496" s="105"/>
      <c r="K496" s="59"/>
      <c r="L496" s="65"/>
      <c r="M496" s="65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66"/>
      <c r="AN496" s="66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</row>
    <row r="497" ht="15.75" customHeight="1">
      <c r="A497" s="59"/>
      <c r="B497" s="102"/>
      <c r="C497" s="105"/>
      <c r="D497" s="103"/>
      <c r="E497" s="104"/>
      <c r="F497" s="105"/>
      <c r="G497" s="96">
        <f t="shared" si="2"/>
        <v>0</v>
      </c>
      <c r="H497" s="97">
        <f t="shared" si="3"/>
        <v>0</v>
      </c>
      <c r="I497" s="105"/>
      <c r="J497" s="105"/>
      <c r="K497" s="59"/>
      <c r="L497" s="65"/>
      <c r="M497" s="65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66"/>
      <c r="AN497" s="66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</row>
    <row r="498" ht="15.75" customHeight="1">
      <c r="A498" s="59"/>
      <c r="B498" s="102"/>
      <c r="C498" s="105"/>
      <c r="D498" s="103"/>
      <c r="E498" s="104"/>
      <c r="F498" s="105"/>
      <c r="G498" s="96">
        <f t="shared" si="2"/>
        <v>0</v>
      </c>
      <c r="H498" s="97">
        <f t="shared" si="3"/>
        <v>0</v>
      </c>
      <c r="I498" s="105"/>
      <c r="J498" s="105"/>
      <c r="K498" s="59"/>
      <c r="L498" s="65"/>
      <c r="M498" s="65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66"/>
      <c r="AN498" s="66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</row>
    <row r="499" ht="15.75" customHeight="1">
      <c r="A499" s="59"/>
      <c r="B499" s="102"/>
      <c r="C499" s="105"/>
      <c r="D499" s="103"/>
      <c r="E499" s="104"/>
      <c r="F499" s="105"/>
      <c r="G499" s="96">
        <f t="shared" si="2"/>
        <v>0</v>
      </c>
      <c r="H499" s="97">
        <f t="shared" si="3"/>
        <v>0</v>
      </c>
      <c r="I499" s="105"/>
      <c r="J499" s="105"/>
      <c r="K499" s="59"/>
      <c r="L499" s="65"/>
      <c r="M499" s="65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66"/>
      <c r="AN499" s="66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</row>
    <row r="500" ht="15.75" customHeight="1">
      <c r="A500" s="59"/>
      <c r="B500" s="102"/>
      <c r="C500" s="105"/>
      <c r="D500" s="103"/>
      <c r="E500" s="104"/>
      <c r="F500" s="105"/>
      <c r="G500" s="96">
        <f t="shared" si="2"/>
        <v>0</v>
      </c>
      <c r="H500" s="97">
        <f t="shared" si="3"/>
        <v>0</v>
      </c>
      <c r="I500" s="105"/>
      <c r="J500" s="105"/>
      <c r="K500" s="59"/>
      <c r="L500" s="65"/>
      <c r="M500" s="65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66"/>
      <c r="AN500" s="66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</row>
    <row r="501" ht="15.75" customHeight="1">
      <c r="A501" s="59"/>
      <c r="B501" s="102"/>
      <c r="C501" s="105"/>
      <c r="D501" s="103"/>
      <c r="E501" s="104"/>
      <c r="F501" s="105"/>
      <c r="G501" s="96">
        <f t="shared" si="2"/>
        <v>0</v>
      </c>
      <c r="H501" s="97">
        <f t="shared" si="3"/>
        <v>0</v>
      </c>
      <c r="I501" s="105"/>
      <c r="J501" s="105"/>
      <c r="K501" s="59"/>
      <c r="L501" s="65"/>
      <c r="M501" s="65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66"/>
      <c r="AN501" s="66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</row>
    <row r="502" ht="15.75" customHeight="1">
      <c r="A502" s="59"/>
      <c r="B502" s="102"/>
      <c r="C502" s="105"/>
      <c r="D502" s="103"/>
      <c r="E502" s="104"/>
      <c r="F502" s="105"/>
      <c r="G502" s="96">
        <f t="shared" si="2"/>
        <v>0</v>
      </c>
      <c r="H502" s="97">
        <f t="shared" si="3"/>
        <v>0</v>
      </c>
      <c r="I502" s="105"/>
      <c r="J502" s="105"/>
      <c r="K502" s="59"/>
      <c r="L502" s="65"/>
      <c r="M502" s="65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66"/>
      <c r="AN502" s="66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</row>
    <row r="503" ht="15.75" customHeight="1">
      <c r="A503" s="59"/>
      <c r="B503" s="102"/>
      <c r="C503" s="105"/>
      <c r="D503" s="103"/>
      <c r="E503" s="104"/>
      <c r="F503" s="105"/>
      <c r="G503" s="96">
        <f t="shared" si="2"/>
        <v>0</v>
      </c>
      <c r="H503" s="97">
        <f t="shared" si="3"/>
        <v>0</v>
      </c>
      <c r="I503" s="105"/>
      <c r="J503" s="105"/>
      <c r="K503" s="59"/>
      <c r="L503" s="65"/>
      <c r="M503" s="65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66"/>
      <c r="AN503" s="66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</row>
    <row r="504" ht="15.75" customHeight="1">
      <c r="A504" s="59"/>
      <c r="B504" s="102"/>
      <c r="C504" s="105"/>
      <c r="D504" s="103"/>
      <c r="E504" s="104"/>
      <c r="F504" s="105"/>
      <c r="G504" s="96">
        <f t="shared" si="2"/>
        <v>0</v>
      </c>
      <c r="H504" s="97">
        <f t="shared" si="3"/>
        <v>0</v>
      </c>
      <c r="I504" s="105"/>
      <c r="J504" s="105"/>
      <c r="K504" s="59"/>
      <c r="L504" s="65"/>
      <c r="M504" s="65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66"/>
      <c r="AN504" s="66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</row>
    <row r="505" ht="15.75" customHeight="1">
      <c r="A505" s="59"/>
      <c r="B505" s="102"/>
      <c r="C505" s="105"/>
      <c r="D505" s="103"/>
      <c r="E505" s="104"/>
      <c r="F505" s="105"/>
      <c r="G505" s="96">
        <f t="shared" si="2"/>
        <v>0</v>
      </c>
      <c r="H505" s="97">
        <f t="shared" si="3"/>
        <v>0</v>
      </c>
      <c r="I505" s="105"/>
      <c r="J505" s="105"/>
      <c r="K505" s="59"/>
      <c r="L505" s="65"/>
      <c r="M505" s="65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66"/>
      <c r="AN505" s="66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</row>
    <row r="506" ht="15.75" customHeight="1">
      <c r="A506" s="59"/>
      <c r="B506" s="102"/>
      <c r="C506" s="105"/>
      <c r="D506" s="103"/>
      <c r="E506" s="104"/>
      <c r="F506" s="105"/>
      <c r="G506" s="96">
        <f t="shared" si="2"/>
        <v>0</v>
      </c>
      <c r="H506" s="97">
        <f t="shared" si="3"/>
        <v>0</v>
      </c>
      <c r="I506" s="105"/>
      <c r="J506" s="105"/>
      <c r="K506" s="59"/>
      <c r="L506" s="65"/>
      <c r="M506" s="65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66"/>
      <c r="AN506" s="66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</row>
    <row r="507" ht="15.75" customHeight="1">
      <c r="A507" s="59"/>
      <c r="B507" s="102"/>
      <c r="C507" s="105"/>
      <c r="D507" s="103"/>
      <c r="E507" s="104"/>
      <c r="F507" s="105"/>
      <c r="G507" s="96">
        <f t="shared" si="2"/>
        <v>0</v>
      </c>
      <c r="H507" s="97">
        <f t="shared" si="3"/>
        <v>0</v>
      </c>
      <c r="I507" s="105"/>
      <c r="J507" s="105"/>
      <c r="K507" s="59"/>
      <c r="L507" s="65"/>
      <c r="M507" s="65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66"/>
      <c r="AN507" s="66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</row>
    <row r="508" ht="15.75" customHeight="1">
      <c r="A508" s="59"/>
      <c r="B508" s="102"/>
      <c r="C508" s="105"/>
      <c r="D508" s="103"/>
      <c r="E508" s="104"/>
      <c r="F508" s="105"/>
      <c r="G508" s="96">
        <f t="shared" si="2"/>
        <v>0</v>
      </c>
      <c r="H508" s="97">
        <f t="shared" si="3"/>
        <v>0</v>
      </c>
      <c r="I508" s="105"/>
      <c r="J508" s="105"/>
      <c r="K508" s="59"/>
      <c r="L508" s="65"/>
      <c r="M508" s="65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66"/>
      <c r="AN508" s="66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</row>
    <row r="509" ht="15.75" customHeight="1">
      <c r="A509" s="59"/>
      <c r="B509" s="102"/>
      <c r="C509" s="105"/>
      <c r="D509" s="103"/>
      <c r="E509" s="104"/>
      <c r="F509" s="105"/>
      <c r="G509" s="96">
        <f t="shared" si="2"/>
        <v>0</v>
      </c>
      <c r="H509" s="97">
        <f t="shared" si="3"/>
        <v>0</v>
      </c>
      <c r="I509" s="105"/>
      <c r="J509" s="105"/>
      <c r="K509" s="59"/>
      <c r="L509" s="65"/>
      <c r="M509" s="65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66"/>
      <c r="AN509" s="66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</row>
    <row r="510" ht="15.75" customHeight="1">
      <c r="A510" s="59"/>
      <c r="B510" s="102"/>
      <c r="C510" s="105"/>
      <c r="D510" s="103"/>
      <c r="E510" s="104"/>
      <c r="F510" s="105"/>
      <c r="G510" s="96">
        <f t="shared" si="2"/>
        <v>0</v>
      </c>
      <c r="H510" s="97">
        <f t="shared" si="3"/>
        <v>0</v>
      </c>
      <c r="I510" s="105"/>
      <c r="J510" s="105"/>
      <c r="K510" s="59"/>
      <c r="L510" s="65"/>
      <c r="M510" s="65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66"/>
      <c r="AN510" s="66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</row>
    <row r="511" ht="15.75" customHeight="1">
      <c r="A511" s="59"/>
      <c r="B511" s="102"/>
      <c r="C511" s="105"/>
      <c r="D511" s="103"/>
      <c r="E511" s="104"/>
      <c r="F511" s="105"/>
      <c r="G511" s="96">
        <f t="shared" si="2"/>
        <v>0</v>
      </c>
      <c r="H511" s="97">
        <f t="shared" si="3"/>
        <v>0</v>
      </c>
      <c r="I511" s="105"/>
      <c r="J511" s="105"/>
      <c r="K511" s="59"/>
      <c r="L511" s="65"/>
      <c r="M511" s="65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66"/>
      <c r="AN511" s="66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</row>
    <row r="512" ht="15.75" customHeight="1">
      <c r="A512" s="59"/>
      <c r="B512" s="102"/>
      <c r="C512" s="105"/>
      <c r="D512" s="103"/>
      <c r="E512" s="104"/>
      <c r="F512" s="105"/>
      <c r="G512" s="96">
        <f t="shared" si="2"/>
        <v>0</v>
      </c>
      <c r="H512" s="97">
        <f t="shared" si="3"/>
        <v>0</v>
      </c>
      <c r="I512" s="105"/>
      <c r="J512" s="105"/>
      <c r="K512" s="59"/>
      <c r="L512" s="65"/>
      <c r="M512" s="65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66"/>
      <c r="AN512" s="66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</row>
    <row r="513" ht="15.75" customHeight="1">
      <c r="A513" s="59"/>
      <c r="B513" s="102"/>
      <c r="C513" s="105"/>
      <c r="D513" s="103"/>
      <c r="E513" s="104"/>
      <c r="F513" s="105"/>
      <c r="G513" s="96">
        <f t="shared" si="2"/>
        <v>0</v>
      </c>
      <c r="H513" s="97">
        <f t="shared" si="3"/>
        <v>0</v>
      </c>
      <c r="I513" s="105"/>
      <c r="J513" s="105"/>
      <c r="K513" s="59"/>
      <c r="L513" s="65"/>
      <c r="M513" s="65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66"/>
      <c r="AN513" s="66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</row>
    <row r="514" ht="15.75" customHeight="1">
      <c r="A514" s="59"/>
      <c r="B514" s="102"/>
      <c r="C514" s="105"/>
      <c r="D514" s="103"/>
      <c r="E514" s="104"/>
      <c r="F514" s="105"/>
      <c r="G514" s="96">
        <f t="shared" si="2"/>
        <v>0</v>
      </c>
      <c r="H514" s="97">
        <f t="shared" si="3"/>
        <v>0</v>
      </c>
      <c r="I514" s="105"/>
      <c r="J514" s="105"/>
      <c r="K514" s="59"/>
      <c r="L514" s="65"/>
      <c r="M514" s="65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66"/>
      <c r="AN514" s="66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</row>
    <row r="515" ht="15.75" customHeight="1">
      <c r="A515" s="59"/>
      <c r="B515" s="102"/>
      <c r="C515" s="105"/>
      <c r="D515" s="103"/>
      <c r="E515" s="104"/>
      <c r="F515" s="105"/>
      <c r="G515" s="96">
        <f t="shared" si="2"/>
        <v>0</v>
      </c>
      <c r="H515" s="97">
        <f t="shared" si="3"/>
        <v>0</v>
      </c>
      <c r="I515" s="105"/>
      <c r="J515" s="105"/>
      <c r="K515" s="59"/>
      <c r="L515" s="65"/>
      <c r="M515" s="65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66"/>
      <c r="AN515" s="66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</row>
    <row r="516" ht="15.75" customHeight="1">
      <c r="A516" s="59"/>
      <c r="B516" s="102"/>
      <c r="C516" s="105"/>
      <c r="D516" s="103"/>
      <c r="E516" s="104"/>
      <c r="F516" s="105"/>
      <c r="G516" s="96">
        <f t="shared" si="2"/>
        <v>0</v>
      </c>
      <c r="H516" s="97">
        <f t="shared" si="3"/>
        <v>0</v>
      </c>
      <c r="I516" s="105"/>
      <c r="J516" s="105"/>
      <c r="K516" s="59"/>
      <c r="L516" s="65"/>
      <c r="M516" s="65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66"/>
      <c r="AN516" s="66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</row>
    <row r="517" ht="15.75" customHeight="1">
      <c r="A517" s="59"/>
      <c r="B517" s="102"/>
      <c r="C517" s="105"/>
      <c r="D517" s="103"/>
      <c r="E517" s="104"/>
      <c r="F517" s="105"/>
      <c r="G517" s="96">
        <f t="shared" si="2"/>
        <v>0</v>
      </c>
      <c r="H517" s="97">
        <f t="shared" si="3"/>
        <v>0</v>
      </c>
      <c r="I517" s="105"/>
      <c r="J517" s="105"/>
      <c r="K517" s="59"/>
      <c r="L517" s="65"/>
      <c r="M517" s="65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66"/>
      <c r="AN517" s="66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</row>
    <row r="518" ht="15.75" customHeight="1">
      <c r="A518" s="59"/>
      <c r="B518" s="66"/>
      <c r="C518" s="59"/>
      <c r="D518" s="106"/>
      <c r="E518" s="107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66"/>
      <c r="AN518" s="66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</row>
    <row r="519" ht="15.75" customHeight="1">
      <c r="A519" s="59"/>
      <c r="B519" s="66"/>
      <c r="C519" s="59"/>
      <c r="D519" s="106"/>
      <c r="E519" s="108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66"/>
      <c r="AN519" s="66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</row>
    <row r="520" ht="15.75" customHeight="1">
      <c r="A520" s="59"/>
      <c r="B520" s="66"/>
      <c r="C520" s="59"/>
      <c r="D520" s="106"/>
      <c r="E520" s="108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66"/>
      <c r="AN520" s="66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</row>
    <row r="521" ht="15.75" customHeight="1">
      <c r="A521" s="59"/>
      <c r="B521" s="66"/>
      <c r="C521" s="59"/>
      <c r="D521" s="106"/>
      <c r="E521" s="108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66"/>
      <c r="AN521" s="66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</row>
    <row r="522" ht="15.75" customHeight="1">
      <c r="A522" s="59"/>
      <c r="B522" s="66"/>
      <c r="C522" s="59"/>
      <c r="D522" s="106"/>
      <c r="E522" s="108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66"/>
      <c r="AN522" s="66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</row>
    <row r="523" ht="15.75" customHeight="1">
      <c r="A523" s="59"/>
      <c r="B523" s="66"/>
      <c r="C523" s="59"/>
      <c r="D523" s="106"/>
      <c r="E523" s="108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66"/>
      <c r="AN523" s="66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</row>
    <row r="524" ht="15.75" customHeight="1">
      <c r="A524" s="59"/>
      <c r="B524" s="66"/>
      <c r="C524" s="59"/>
      <c r="D524" s="106"/>
      <c r="E524" s="108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66"/>
      <c r="AN524" s="66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</row>
    <row r="525" ht="15.75" customHeight="1">
      <c r="A525" s="59"/>
      <c r="B525" s="66"/>
      <c r="C525" s="59"/>
      <c r="D525" s="106"/>
      <c r="E525" s="108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66"/>
      <c r="AN525" s="66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</row>
    <row r="526" ht="15.75" customHeight="1">
      <c r="A526" s="59"/>
      <c r="B526" s="66"/>
      <c r="C526" s="59"/>
      <c r="D526" s="106"/>
      <c r="E526" s="108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66"/>
      <c r="AN526" s="66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</row>
    <row r="527" ht="15.75" customHeight="1">
      <c r="A527" s="59"/>
      <c r="B527" s="66"/>
      <c r="C527" s="59"/>
      <c r="D527" s="106"/>
      <c r="E527" s="108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66"/>
      <c r="AN527" s="66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</row>
    <row r="528" ht="15.75" customHeight="1">
      <c r="A528" s="59"/>
      <c r="B528" s="66"/>
      <c r="C528" s="59"/>
      <c r="D528" s="106"/>
      <c r="E528" s="108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66"/>
      <c r="AN528" s="66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</row>
    <row r="529" ht="15.75" customHeight="1">
      <c r="A529" s="59"/>
      <c r="B529" s="66"/>
      <c r="C529" s="59"/>
      <c r="D529" s="106"/>
      <c r="E529" s="108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66"/>
      <c r="AN529" s="66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</row>
    <row r="530" ht="15.75" customHeight="1">
      <c r="A530" s="59"/>
      <c r="B530" s="66"/>
      <c r="C530" s="59"/>
      <c r="D530" s="106"/>
      <c r="E530" s="108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66"/>
      <c r="AN530" s="66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</row>
    <row r="531" ht="15.75" customHeight="1">
      <c r="A531" s="59"/>
      <c r="B531" s="66"/>
      <c r="C531" s="59"/>
      <c r="D531" s="106"/>
      <c r="E531" s="108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66"/>
      <c r="AN531" s="66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</row>
    <row r="532" ht="15.75" customHeight="1">
      <c r="A532" s="59"/>
      <c r="B532" s="66"/>
      <c r="C532" s="59"/>
      <c r="D532" s="106"/>
      <c r="E532" s="108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66"/>
      <c r="AN532" s="66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</row>
    <row r="533" ht="15.75" customHeight="1">
      <c r="A533" s="59"/>
      <c r="B533" s="66"/>
      <c r="C533" s="59"/>
      <c r="D533" s="106"/>
      <c r="E533" s="108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66"/>
      <c r="AN533" s="66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</row>
    <row r="534" ht="15.75" customHeight="1">
      <c r="A534" s="59"/>
      <c r="B534" s="66"/>
      <c r="C534" s="59"/>
      <c r="D534" s="106"/>
      <c r="E534" s="108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66"/>
      <c r="AN534" s="66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</row>
    <row r="535" ht="15.75" customHeight="1">
      <c r="A535" s="59"/>
      <c r="B535" s="66"/>
      <c r="C535" s="59"/>
      <c r="D535" s="106"/>
      <c r="E535" s="108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66"/>
      <c r="AN535" s="66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</row>
    <row r="536" ht="15.75" customHeight="1">
      <c r="A536" s="59"/>
      <c r="B536" s="66"/>
      <c r="C536" s="59"/>
      <c r="D536" s="106"/>
      <c r="E536" s="108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66"/>
      <c r="AN536" s="66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</row>
    <row r="537" ht="15.75" customHeight="1">
      <c r="A537" s="59"/>
      <c r="B537" s="66"/>
      <c r="C537" s="59"/>
      <c r="D537" s="106"/>
      <c r="E537" s="108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66"/>
      <c r="AN537" s="66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9" width="19.14"/>
  </cols>
  <sheetData>
    <row r="1" ht="32.25" customHeight="1">
      <c r="A1" s="91"/>
      <c r="B1" s="91"/>
      <c r="C1" s="109"/>
      <c r="D1" s="110">
        <f t="shared" ref="D1:F1" si="1">Subtotal(9,D3:D306)</f>
        <v>269683</v>
      </c>
      <c r="E1" s="110">
        <f t="shared" si="1"/>
        <v>139394</v>
      </c>
      <c r="F1" s="110">
        <f t="shared" si="1"/>
        <v>130289</v>
      </c>
      <c r="G1" s="111">
        <f>F1/D1</f>
        <v>0.4831190694</v>
      </c>
      <c r="H1" s="91"/>
      <c r="I1" s="91"/>
    </row>
    <row r="2">
      <c r="A2" s="88" t="s">
        <v>64</v>
      </c>
      <c r="B2" s="88" t="s">
        <v>65</v>
      </c>
      <c r="C2" s="89" t="s">
        <v>66</v>
      </c>
      <c r="D2" s="90" t="s">
        <v>67</v>
      </c>
      <c r="E2" s="91" t="s">
        <v>68</v>
      </c>
      <c r="F2" s="92" t="s">
        <v>69</v>
      </c>
      <c r="G2" s="92" t="s">
        <v>70</v>
      </c>
      <c r="H2" s="91" t="s">
        <v>12</v>
      </c>
      <c r="I2" s="91" t="s">
        <v>13</v>
      </c>
    </row>
    <row r="3">
      <c r="A3" s="93" t="s">
        <v>14</v>
      </c>
      <c r="B3" s="69" t="s">
        <v>30</v>
      </c>
      <c r="C3" s="70" t="s">
        <v>31</v>
      </c>
      <c r="D3" s="99">
        <v>6500.0</v>
      </c>
      <c r="E3" s="95">
        <v>3698.0</v>
      </c>
      <c r="F3" s="96">
        <f t="shared" ref="F3:F306" si="2">D3-E3</f>
        <v>2802</v>
      </c>
      <c r="G3" s="97">
        <f t="shared" ref="G3:G306" si="3">if(D3=0,0,(D3-E3)/D3)</f>
        <v>0.4310769231</v>
      </c>
      <c r="H3" s="98" t="s">
        <v>17</v>
      </c>
      <c r="I3" s="71" t="s">
        <v>33</v>
      </c>
    </row>
    <row r="4">
      <c r="A4" s="93" t="s">
        <v>24</v>
      </c>
      <c r="B4" s="69" t="s">
        <v>30</v>
      </c>
      <c r="C4" s="100" t="s">
        <v>21</v>
      </c>
      <c r="D4" s="99">
        <v>3750.0</v>
      </c>
      <c r="E4" s="95">
        <v>2145.0</v>
      </c>
      <c r="F4" s="96">
        <f t="shared" si="2"/>
        <v>1605</v>
      </c>
      <c r="G4" s="97">
        <f t="shared" si="3"/>
        <v>0.428</v>
      </c>
      <c r="H4" s="98" t="s">
        <v>22</v>
      </c>
      <c r="I4" s="71" t="s">
        <v>33</v>
      </c>
    </row>
    <row r="5">
      <c r="A5" s="93" t="s">
        <v>29</v>
      </c>
      <c r="B5" s="69" t="s">
        <v>30</v>
      </c>
      <c r="C5" s="100" t="s">
        <v>36</v>
      </c>
      <c r="D5" s="99">
        <v>2850.0</v>
      </c>
      <c r="E5" s="95">
        <v>1654.0</v>
      </c>
      <c r="F5" s="96">
        <f t="shared" si="2"/>
        <v>1196</v>
      </c>
      <c r="G5" s="97">
        <f t="shared" si="3"/>
        <v>0.4196491228</v>
      </c>
      <c r="H5" s="98" t="s">
        <v>32</v>
      </c>
      <c r="I5" s="71" t="s">
        <v>33</v>
      </c>
    </row>
    <row r="6">
      <c r="A6" s="102" t="str">
        <f t="shared" ref="A6:A16" si="4">A5</f>
        <v>Apple</v>
      </c>
      <c r="B6" s="69" t="s">
        <v>30</v>
      </c>
      <c r="C6" s="100" t="s">
        <v>51</v>
      </c>
      <c r="D6" s="99">
        <v>2400.0</v>
      </c>
      <c r="E6" s="95">
        <v>985.0</v>
      </c>
      <c r="F6" s="96">
        <f t="shared" si="2"/>
        <v>1415</v>
      </c>
      <c r="G6" s="97">
        <f t="shared" si="3"/>
        <v>0.5895833333</v>
      </c>
      <c r="H6" s="98" t="s">
        <v>37</v>
      </c>
      <c r="I6" s="71" t="s">
        <v>33</v>
      </c>
    </row>
    <row r="7">
      <c r="A7" s="102" t="str">
        <f t="shared" si="4"/>
        <v>Apple</v>
      </c>
      <c r="B7" s="69" t="s">
        <v>30</v>
      </c>
      <c r="C7" s="100" t="s">
        <v>61</v>
      </c>
      <c r="D7" s="99">
        <v>2400.0</v>
      </c>
      <c r="E7" s="95">
        <v>1200.0</v>
      </c>
      <c r="F7" s="96">
        <f t="shared" si="2"/>
        <v>1200</v>
      </c>
      <c r="G7" s="97">
        <f t="shared" si="3"/>
        <v>0.5</v>
      </c>
      <c r="H7" s="98" t="s">
        <v>42</v>
      </c>
      <c r="I7" s="71" t="s">
        <v>33</v>
      </c>
    </row>
    <row r="8">
      <c r="A8" s="102" t="str">
        <f t="shared" si="4"/>
        <v>Apple</v>
      </c>
      <c r="B8" s="69" t="s">
        <v>30</v>
      </c>
      <c r="C8" s="100" t="s">
        <v>16</v>
      </c>
      <c r="D8" s="99">
        <v>1850.0</v>
      </c>
      <c r="E8" s="95">
        <v>987.0</v>
      </c>
      <c r="F8" s="96">
        <f t="shared" si="2"/>
        <v>863</v>
      </c>
      <c r="G8" s="97">
        <f t="shared" si="3"/>
        <v>0.4664864865</v>
      </c>
      <c r="H8" s="98" t="s">
        <v>52</v>
      </c>
      <c r="I8" s="71" t="s">
        <v>33</v>
      </c>
    </row>
    <row r="9">
      <c r="A9" s="102" t="str">
        <f t="shared" si="4"/>
        <v>Apple</v>
      </c>
      <c r="B9" s="69" t="s">
        <v>30</v>
      </c>
      <c r="C9" s="100" t="s">
        <v>21</v>
      </c>
      <c r="D9" s="99">
        <v>1850.0</v>
      </c>
      <c r="E9" s="95">
        <v>987.0</v>
      </c>
      <c r="F9" s="96">
        <f t="shared" si="2"/>
        <v>863</v>
      </c>
      <c r="G9" s="97">
        <f t="shared" si="3"/>
        <v>0.4664864865</v>
      </c>
      <c r="H9" s="98" t="s">
        <v>47</v>
      </c>
      <c r="I9" s="71" t="s">
        <v>33</v>
      </c>
    </row>
    <row r="10">
      <c r="A10" s="102" t="str">
        <f t="shared" si="4"/>
        <v>Apple</v>
      </c>
      <c r="B10" s="69" t="s">
        <v>30</v>
      </c>
      <c r="C10" s="100" t="s">
        <v>26</v>
      </c>
      <c r="D10" s="99">
        <v>1350.0</v>
      </c>
      <c r="E10" s="95">
        <v>658.0</v>
      </c>
      <c r="F10" s="96">
        <f t="shared" si="2"/>
        <v>692</v>
      </c>
      <c r="G10" s="97">
        <f t="shared" si="3"/>
        <v>0.5125925926</v>
      </c>
      <c r="H10" s="98" t="s">
        <v>57</v>
      </c>
      <c r="I10" s="71" t="s">
        <v>33</v>
      </c>
    </row>
    <row r="11">
      <c r="A11" s="102" t="str">
        <f t="shared" si="4"/>
        <v>Apple</v>
      </c>
      <c r="B11" s="69" t="s">
        <v>30</v>
      </c>
      <c r="C11" s="100" t="s">
        <v>56</v>
      </c>
      <c r="D11" s="99">
        <v>1350.0</v>
      </c>
      <c r="E11" s="95">
        <v>785.0</v>
      </c>
      <c r="F11" s="96">
        <f t="shared" si="2"/>
        <v>565</v>
      </c>
      <c r="G11" s="97">
        <f t="shared" si="3"/>
        <v>0.4185185185</v>
      </c>
      <c r="H11" s="98" t="s">
        <v>62</v>
      </c>
      <c r="I11" s="71" t="s">
        <v>33</v>
      </c>
    </row>
    <row r="12">
      <c r="A12" s="102" t="str">
        <f t="shared" si="4"/>
        <v>Apple</v>
      </c>
      <c r="B12" s="69" t="s">
        <v>30</v>
      </c>
      <c r="C12" s="100" t="s">
        <v>61</v>
      </c>
      <c r="D12" s="99">
        <v>980.0</v>
      </c>
      <c r="E12" s="95">
        <v>547.0</v>
      </c>
      <c r="F12" s="96">
        <f t="shared" si="2"/>
        <v>433</v>
      </c>
      <c r="G12" s="97">
        <f t="shared" si="3"/>
        <v>0.4418367347</v>
      </c>
      <c r="H12" s="98" t="s">
        <v>42</v>
      </c>
      <c r="I12" s="71" t="s">
        <v>33</v>
      </c>
    </row>
    <row r="13">
      <c r="A13" s="102" t="str">
        <f t="shared" si="4"/>
        <v>Apple</v>
      </c>
      <c r="B13" s="69" t="s">
        <v>30</v>
      </c>
      <c r="C13" s="100" t="s">
        <v>51</v>
      </c>
      <c r="D13" s="99">
        <v>725.0</v>
      </c>
      <c r="E13" s="95">
        <v>325.0</v>
      </c>
      <c r="F13" s="96">
        <f t="shared" si="2"/>
        <v>400</v>
      </c>
      <c r="G13" s="97">
        <f t="shared" si="3"/>
        <v>0.5517241379</v>
      </c>
      <c r="H13" s="98" t="s">
        <v>17</v>
      </c>
      <c r="I13" s="71" t="s">
        <v>33</v>
      </c>
    </row>
    <row r="14">
      <c r="A14" s="102" t="str">
        <f t="shared" si="4"/>
        <v>Apple</v>
      </c>
      <c r="B14" s="69" t="s">
        <v>30</v>
      </c>
      <c r="C14" s="100" t="s">
        <v>16</v>
      </c>
      <c r="D14" s="94">
        <v>545.0</v>
      </c>
      <c r="E14" s="95">
        <v>245.0</v>
      </c>
      <c r="F14" s="96">
        <f t="shared" si="2"/>
        <v>300</v>
      </c>
      <c r="G14" s="97">
        <f t="shared" si="3"/>
        <v>0.5504587156</v>
      </c>
      <c r="H14" s="98" t="s">
        <v>27</v>
      </c>
      <c r="I14" s="71" t="s">
        <v>33</v>
      </c>
    </row>
    <row r="15">
      <c r="A15" s="102" t="str">
        <f t="shared" si="4"/>
        <v>Apple</v>
      </c>
      <c r="B15" s="69" t="s">
        <v>30</v>
      </c>
      <c r="C15" s="100" t="s">
        <v>21</v>
      </c>
      <c r="D15" s="94">
        <v>362.0</v>
      </c>
      <c r="E15" s="95">
        <v>175.0</v>
      </c>
      <c r="F15" s="96">
        <f t="shared" si="2"/>
        <v>187</v>
      </c>
      <c r="G15" s="97">
        <f t="shared" si="3"/>
        <v>0.5165745856</v>
      </c>
      <c r="H15" s="98" t="s">
        <v>32</v>
      </c>
      <c r="I15" s="71" t="s">
        <v>33</v>
      </c>
    </row>
    <row r="16">
      <c r="A16" s="102" t="str">
        <f t="shared" si="4"/>
        <v>Apple</v>
      </c>
      <c r="B16" s="69" t="s">
        <v>30</v>
      </c>
      <c r="C16" s="100" t="s">
        <v>31</v>
      </c>
      <c r="D16" s="94">
        <v>218.0</v>
      </c>
      <c r="E16" s="95">
        <v>105.0</v>
      </c>
      <c r="F16" s="96">
        <f t="shared" si="2"/>
        <v>113</v>
      </c>
      <c r="G16" s="97">
        <f t="shared" si="3"/>
        <v>0.5183486239</v>
      </c>
      <c r="H16" s="98" t="s">
        <v>32</v>
      </c>
      <c r="I16" s="71" t="s">
        <v>33</v>
      </c>
    </row>
    <row r="17">
      <c r="A17" s="93" t="s">
        <v>14</v>
      </c>
      <c r="B17" s="69" t="s">
        <v>15</v>
      </c>
      <c r="C17" s="70" t="s">
        <v>16</v>
      </c>
      <c r="D17" s="94">
        <v>15250.0</v>
      </c>
      <c r="E17" s="95">
        <v>6850.0</v>
      </c>
      <c r="F17" s="96">
        <f t="shared" si="2"/>
        <v>8400</v>
      </c>
      <c r="G17" s="97">
        <f t="shared" si="3"/>
        <v>0.5508196721</v>
      </c>
      <c r="H17" s="98" t="s">
        <v>17</v>
      </c>
      <c r="I17" s="71" t="s">
        <v>18</v>
      </c>
    </row>
    <row r="18">
      <c r="A18" s="93" t="s">
        <v>19</v>
      </c>
      <c r="B18" s="69" t="s">
        <v>15</v>
      </c>
      <c r="C18" s="71" t="s">
        <v>61</v>
      </c>
      <c r="D18" s="99">
        <v>4800.0</v>
      </c>
      <c r="E18" s="95">
        <v>2541.0</v>
      </c>
      <c r="F18" s="96">
        <f t="shared" si="2"/>
        <v>2259</v>
      </c>
      <c r="G18" s="97">
        <f t="shared" si="3"/>
        <v>0.470625</v>
      </c>
      <c r="H18" s="98" t="s">
        <v>22</v>
      </c>
      <c r="I18" s="71" t="s">
        <v>18</v>
      </c>
    </row>
    <row r="19">
      <c r="A19" s="93" t="s">
        <v>29</v>
      </c>
      <c r="B19" s="69" t="s">
        <v>15</v>
      </c>
      <c r="C19" s="100" t="s">
        <v>26</v>
      </c>
      <c r="D19" s="99">
        <v>3200.0</v>
      </c>
      <c r="E19" s="95">
        <v>1458.0</v>
      </c>
      <c r="F19" s="96">
        <f t="shared" si="2"/>
        <v>1742</v>
      </c>
      <c r="G19" s="97">
        <f t="shared" si="3"/>
        <v>0.544375</v>
      </c>
      <c r="H19" s="98" t="s">
        <v>27</v>
      </c>
      <c r="I19" s="71" t="s">
        <v>18</v>
      </c>
    </row>
    <row r="20">
      <c r="A20" s="102" t="str">
        <f t="shared" ref="A20:A22" si="5">A19</f>
        <v>Apple</v>
      </c>
      <c r="B20" s="69" t="s">
        <v>15</v>
      </c>
      <c r="C20" s="100" t="s">
        <v>46</v>
      </c>
      <c r="D20" s="99">
        <v>2850.0</v>
      </c>
      <c r="E20" s="95">
        <v>985.0</v>
      </c>
      <c r="F20" s="96">
        <f t="shared" si="2"/>
        <v>1865</v>
      </c>
      <c r="G20" s="97">
        <f t="shared" si="3"/>
        <v>0.6543859649</v>
      </c>
      <c r="H20" s="98" t="s">
        <v>37</v>
      </c>
      <c r="I20" s="71" t="s">
        <v>18</v>
      </c>
    </row>
    <row r="21">
      <c r="A21" s="102" t="str">
        <f t="shared" si="5"/>
        <v>Apple</v>
      </c>
      <c r="B21" s="69" t="s">
        <v>15</v>
      </c>
      <c r="C21" s="100" t="s">
        <v>61</v>
      </c>
      <c r="D21" s="99">
        <v>2400.0</v>
      </c>
      <c r="E21" s="95">
        <v>1200.0</v>
      </c>
      <c r="F21" s="96">
        <f t="shared" si="2"/>
        <v>1200</v>
      </c>
      <c r="G21" s="97">
        <f t="shared" si="3"/>
        <v>0.5</v>
      </c>
      <c r="H21" s="98" t="s">
        <v>42</v>
      </c>
      <c r="I21" s="71" t="s">
        <v>18</v>
      </c>
    </row>
    <row r="22">
      <c r="A22" s="102" t="str">
        <f t="shared" si="5"/>
        <v>Apple</v>
      </c>
      <c r="B22" s="69" t="s">
        <v>15</v>
      </c>
      <c r="C22" s="100" t="s">
        <v>16</v>
      </c>
      <c r="D22" s="99">
        <v>1850.0</v>
      </c>
      <c r="E22" s="95">
        <v>987.0</v>
      </c>
      <c r="F22" s="96">
        <f t="shared" si="2"/>
        <v>863</v>
      </c>
      <c r="G22" s="97">
        <f t="shared" si="3"/>
        <v>0.4664864865</v>
      </c>
      <c r="H22" s="98" t="s">
        <v>52</v>
      </c>
      <c r="I22" s="71" t="s">
        <v>18</v>
      </c>
    </row>
    <row r="23">
      <c r="A23" s="93" t="s">
        <v>49</v>
      </c>
      <c r="B23" s="69" t="s">
        <v>15</v>
      </c>
      <c r="C23" s="100" t="s">
        <v>31</v>
      </c>
      <c r="D23" s="99">
        <v>1850.0</v>
      </c>
      <c r="E23" s="95">
        <v>987.0</v>
      </c>
      <c r="F23" s="96">
        <f t="shared" si="2"/>
        <v>863</v>
      </c>
      <c r="G23" s="97">
        <f t="shared" si="3"/>
        <v>0.4664864865</v>
      </c>
      <c r="H23" s="98" t="s">
        <v>47</v>
      </c>
      <c r="I23" s="71" t="s">
        <v>18</v>
      </c>
    </row>
    <row r="24">
      <c r="A24" s="102" t="str">
        <f t="shared" ref="A24:A30" si="6">A23</f>
        <v>Samsung</v>
      </c>
      <c r="B24" s="69" t="s">
        <v>15</v>
      </c>
      <c r="C24" s="100" t="s">
        <v>26</v>
      </c>
      <c r="D24" s="99">
        <v>1700.0</v>
      </c>
      <c r="E24" s="95">
        <v>658.0</v>
      </c>
      <c r="F24" s="96">
        <f t="shared" si="2"/>
        <v>1042</v>
      </c>
      <c r="G24" s="97">
        <f t="shared" si="3"/>
        <v>0.6129411765</v>
      </c>
      <c r="H24" s="98" t="s">
        <v>52</v>
      </c>
      <c r="I24" s="71" t="s">
        <v>18</v>
      </c>
    </row>
    <row r="25">
      <c r="A25" s="102" t="str">
        <f t="shared" si="6"/>
        <v>Samsung</v>
      </c>
      <c r="B25" s="69" t="s">
        <v>15</v>
      </c>
      <c r="C25" s="100" t="s">
        <v>56</v>
      </c>
      <c r="D25" s="99">
        <v>1350.0</v>
      </c>
      <c r="E25" s="95">
        <v>785.0</v>
      </c>
      <c r="F25" s="96">
        <f t="shared" si="2"/>
        <v>565</v>
      </c>
      <c r="G25" s="97">
        <f t="shared" si="3"/>
        <v>0.4185185185</v>
      </c>
      <c r="H25" s="98" t="s">
        <v>57</v>
      </c>
      <c r="I25" s="71" t="s">
        <v>18</v>
      </c>
    </row>
    <row r="26">
      <c r="A26" s="102" t="str">
        <f t="shared" si="6"/>
        <v>Samsung</v>
      </c>
      <c r="B26" s="69" t="s">
        <v>15</v>
      </c>
      <c r="C26" s="100" t="s">
        <v>61</v>
      </c>
      <c r="D26" s="99">
        <v>980.0</v>
      </c>
      <c r="E26" s="95">
        <v>547.0</v>
      </c>
      <c r="F26" s="96">
        <f t="shared" si="2"/>
        <v>433</v>
      </c>
      <c r="G26" s="97">
        <f t="shared" si="3"/>
        <v>0.4418367347</v>
      </c>
      <c r="H26" s="98" t="s">
        <v>62</v>
      </c>
      <c r="I26" s="71" t="s">
        <v>18</v>
      </c>
    </row>
    <row r="27">
      <c r="A27" s="102" t="str">
        <f t="shared" si="6"/>
        <v>Samsung</v>
      </c>
      <c r="B27" s="69" t="s">
        <v>15</v>
      </c>
      <c r="C27" s="100" t="s">
        <v>51</v>
      </c>
      <c r="D27" s="99">
        <v>725.0</v>
      </c>
      <c r="E27" s="95">
        <v>325.0</v>
      </c>
      <c r="F27" s="96">
        <f t="shared" si="2"/>
        <v>400</v>
      </c>
      <c r="G27" s="97">
        <f t="shared" si="3"/>
        <v>0.5517241379</v>
      </c>
      <c r="H27" s="98" t="s">
        <v>42</v>
      </c>
      <c r="I27" s="71" t="s">
        <v>18</v>
      </c>
    </row>
    <row r="28">
      <c r="A28" s="102" t="str">
        <f t="shared" si="6"/>
        <v>Samsung</v>
      </c>
      <c r="B28" s="69" t="s">
        <v>15</v>
      </c>
      <c r="C28" s="100" t="s">
        <v>16</v>
      </c>
      <c r="D28" s="99">
        <v>650.0</v>
      </c>
      <c r="E28" s="95">
        <v>245.0</v>
      </c>
      <c r="F28" s="96">
        <f t="shared" si="2"/>
        <v>405</v>
      </c>
      <c r="G28" s="97">
        <f t="shared" si="3"/>
        <v>0.6230769231</v>
      </c>
      <c r="H28" s="98" t="s">
        <v>27</v>
      </c>
      <c r="I28" s="71" t="s">
        <v>18</v>
      </c>
    </row>
    <row r="29">
      <c r="A29" s="102" t="str">
        <f t="shared" si="6"/>
        <v>Samsung</v>
      </c>
      <c r="B29" s="69" t="s">
        <v>15</v>
      </c>
      <c r="C29" s="100" t="s">
        <v>21</v>
      </c>
      <c r="D29" s="94">
        <v>362.0</v>
      </c>
      <c r="E29" s="95">
        <v>175.0</v>
      </c>
      <c r="F29" s="96">
        <f t="shared" si="2"/>
        <v>187</v>
      </c>
      <c r="G29" s="97">
        <f t="shared" si="3"/>
        <v>0.5165745856</v>
      </c>
      <c r="H29" s="98" t="s">
        <v>32</v>
      </c>
      <c r="I29" s="71" t="s">
        <v>18</v>
      </c>
    </row>
    <row r="30">
      <c r="A30" s="102" t="str">
        <f t="shared" si="6"/>
        <v>Samsung</v>
      </c>
      <c r="B30" s="69" t="s">
        <v>15</v>
      </c>
      <c r="C30" s="100" t="s">
        <v>21</v>
      </c>
      <c r="D30" s="94">
        <v>218.0</v>
      </c>
      <c r="E30" s="95">
        <v>105.0</v>
      </c>
      <c r="F30" s="96">
        <f t="shared" si="2"/>
        <v>113</v>
      </c>
      <c r="G30" s="97">
        <f t="shared" si="3"/>
        <v>0.5183486239</v>
      </c>
      <c r="H30" s="98" t="s">
        <v>32</v>
      </c>
      <c r="I30" s="71" t="s">
        <v>18</v>
      </c>
    </row>
    <row r="31">
      <c r="A31" s="93" t="s">
        <v>19</v>
      </c>
      <c r="B31" s="69" t="s">
        <v>55</v>
      </c>
      <c r="C31" s="70" t="s">
        <v>56</v>
      </c>
      <c r="D31" s="99">
        <v>4800.0</v>
      </c>
      <c r="E31" s="95">
        <v>2365.0</v>
      </c>
      <c r="F31" s="96">
        <f t="shared" si="2"/>
        <v>2435</v>
      </c>
      <c r="G31" s="97">
        <f t="shared" si="3"/>
        <v>0.5072916667</v>
      </c>
      <c r="H31" s="98" t="s">
        <v>22</v>
      </c>
      <c r="I31" s="71" t="s">
        <v>58</v>
      </c>
    </row>
    <row r="32">
      <c r="A32" s="93" t="s">
        <v>24</v>
      </c>
      <c r="B32" s="69" t="s">
        <v>55</v>
      </c>
      <c r="C32" s="100" t="s">
        <v>26</v>
      </c>
      <c r="D32" s="99">
        <v>3200.0</v>
      </c>
      <c r="E32" s="95">
        <v>1542.0</v>
      </c>
      <c r="F32" s="96">
        <f t="shared" si="2"/>
        <v>1658</v>
      </c>
      <c r="G32" s="97">
        <f t="shared" si="3"/>
        <v>0.518125</v>
      </c>
      <c r="H32" s="98" t="s">
        <v>27</v>
      </c>
      <c r="I32" s="71" t="s">
        <v>58</v>
      </c>
    </row>
    <row r="33">
      <c r="A33" s="102" t="str">
        <f t="shared" ref="A33:A36" si="7">A32</f>
        <v>Wessen</v>
      </c>
      <c r="B33" s="69" t="s">
        <v>55</v>
      </c>
      <c r="C33" s="100" t="s">
        <v>46</v>
      </c>
      <c r="D33" s="99">
        <v>2850.0</v>
      </c>
      <c r="E33" s="95">
        <v>985.0</v>
      </c>
      <c r="F33" s="96">
        <f t="shared" si="2"/>
        <v>1865</v>
      </c>
      <c r="G33" s="97">
        <f t="shared" si="3"/>
        <v>0.6543859649</v>
      </c>
      <c r="H33" s="98" t="s">
        <v>37</v>
      </c>
      <c r="I33" s="71" t="s">
        <v>58</v>
      </c>
    </row>
    <row r="34">
      <c r="A34" s="102" t="str">
        <f t="shared" si="7"/>
        <v>Wessen</v>
      </c>
      <c r="B34" s="69" t="s">
        <v>55</v>
      </c>
      <c r="C34" s="100" t="s">
        <v>61</v>
      </c>
      <c r="D34" s="99">
        <v>2400.0</v>
      </c>
      <c r="E34" s="95">
        <v>1200.0</v>
      </c>
      <c r="F34" s="96">
        <f t="shared" si="2"/>
        <v>1200</v>
      </c>
      <c r="G34" s="97">
        <f t="shared" si="3"/>
        <v>0.5</v>
      </c>
      <c r="H34" s="98" t="s">
        <v>42</v>
      </c>
      <c r="I34" s="71" t="s">
        <v>58</v>
      </c>
    </row>
    <row r="35">
      <c r="A35" s="102" t="str">
        <f t="shared" si="7"/>
        <v>Wessen</v>
      </c>
      <c r="B35" s="69" t="s">
        <v>55</v>
      </c>
      <c r="C35" s="100" t="s">
        <v>31</v>
      </c>
      <c r="D35" s="99">
        <v>2400.0</v>
      </c>
      <c r="E35" s="95">
        <v>1200.0</v>
      </c>
      <c r="F35" s="96">
        <f t="shared" si="2"/>
        <v>1200</v>
      </c>
      <c r="G35" s="97">
        <f t="shared" si="3"/>
        <v>0.5</v>
      </c>
      <c r="H35" s="98" t="s">
        <v>47</v>
      </c>
      <c r="I35" s="71" t="s">
        <v>58</v>
      </c>
    </row>
    <row r="36">
      <c r="A36" s="102" t="str">
        <f t="shared" si="7"/>
        <v>Wessen</v>
      </c>
      <c r="B36" s="69" t="s">
        <v>55</v>
      </c>
      <c r="C36" s="100" t="s">
        <v>16</v>
      </c>
      <c r="D36" s="99">
        <v>1850.0</v>
      </c>
      <c r="E36" s="95">
        <v>987.0</v>
      </c>
      <c r="F36" s="96">
        <f t="shared" si="2"/>
        <v>863</v>
      </c>
      <c r="G36" s="97">
        <f t="shared" si="3"/>
        <v>0.4664864865</v>
      </c>
      <c r="H36" s="98" t="s">
        <v>52</v>
      </c>
      <c r="I36" s="71" t="s">
        <v>58</v>
      </c>
    </row>
    <row r="37">
      <c r="A37" s="93" t="s">
        <v>59</v>
      </c>
      <c r="B37" s="69" t="s">
        <v>55</v>
      </c>
      <c r="C37" s="100" t="s">
        <v>26</v>
      </c>
      <c r="D37" s="99">
        <v>1700.0</v>
      </c>
      <c r="E37" s="95">
        <v>658.0</v>
      </c>
      <c r="F37" s="96">
        <f t="shared" si="2"/>
        <v>1042</v>
      </c>
      <c r="G37" s="97">
        <f t="shared" si="3"/>
        <v>0.6129411765</v>
      </c>
      <c r="H37" s="98" t="s">
        <v>52</v>
      </c>
      <c r="I37" s="71" t="s">
        <v>58</v>
      </c>
    </row>
    <row r="38">
      <c r="A38" s="102" t="str">
        <f t="shared" ref="A38:A44" si="8">A37</f>
        <v>Toyota</v>
      </c>
      <c r="B38" s="69" t="s">
        <v>55</v>
      </c>
      <c r="C38" s="100" t="s">
        <v>26</v>
      </c>
      <c r="D38" s="99">
        <v>1350.0</v>
      </c>
      <c r="E38" s="95">
        <v>785.0</v>
      </c>
      <c r="F38" s="96">
        <f t="shared" si="2"/>
        <v>565</v>
      </c>
      <c r="G38" s="97">
        <f t="shared" si="3"/>
        <v>0.4185185185</v>
      </c>
      <c r="H38" s="98" t="s">
        <v>57</v>
      </c>
      <c r="I38" s="71" t="s">
        <v>58</v>
      </c>
    </row>
    <row r="39">
      <c r="A39" s="102" t="str">
        <f t="shared" si="8"/>
        <v>Toyota</v>
      </c>
      <c r="B39" s="69" t="s">
        <v>55</v>
      </c>
      <c r="C39" s="100" t="s">
        <v>61</v>
      </c>
      <c r="D39" s="99">
        <v>980.0</v>
      </c>
      <c r="E39" s="95">
        <v>547.0</v>
      </c>
      <c r="F39" s="96">
        <f t="shared" si="2"/>
        <v>433</v>
      </c>
      <c r="G39" s="97">
        <f t="shared" si="3"/>
        <v>0.4418367347</v>
      </c>
      <c r="H39" s="98" t="s">
        <v>62</v>
      </c>
      <c r="I39" s="71" t="s">
        <v>58</v>
      </c>
    </row>
    <row r="40">
      <c r="A40" s="102" t="str">
        <f t="shared" si="8"/>
        <v>Toyota</v>
      </c>
      <c r="B40" s="69" t="s">
        <v>55</v>
      </c>
      <c r="C40" s="100" t="s">
        <v>51</v>
      </c>
      <c r="D40" s="99">
        <v>725.0</v>
      </c>
      <c r="E40" s="95">
        <v>325.0</v>
      </c>
      <c r="F40" s="96">
        <f t="shared" si="2"/>
        <v>400</v>
      </c>
      <c r="G40" s="97">
        <f t="shared" si="3"/>
        <v>0.5517241379</v>
      </c>
      <c r="H40" s="98" t="s">
        <v>42</v>
      </c>
      <c r="I40" s="71" t="s">
        <v>58</v>
      </c>
    </row>
    <row r="41">
      <c r="A41" s="102" t="str">
        <f t="shared" si="8"/>
        <v>Toyota</v>
      </c>
      <c r="B41" s="69" t="s">
        <v>55</v>
      </c>
      <c r="C41" s="100" t="s">
        <v>51</v>
      </c>
      <c r="D41" s="99">
        <v>650.0</v>
      </c>
      <c r="E41" s="95">
        <v>245.0</v>
      </c>
      <c r="F41" s="96">
        <f t="shared" si="2"/>
        <v>405</v>
      </c>
      <c r="G41" s="97">
        <f t="shared" si="3"/>
        <v>0.6230769231</v>
      </c>
      <c r="H41" s="98" t="s">
        <v>17</v>
      </c>
      <c r="I41" s="71" t="s">
        <v>58</v>
      </c>
    </row>
    <row r="42">
      <c r="A42" s="102" t="str">
        <f t="shared" si="8"/>
        <v>Toyota</v>
      </c>
      <c r="B42" s="69" t="s">
        <v>55</v>
      </c>
      <c r="C42" s="100" t="s">
        <v>16</v>
      </c>
      <c r="D42" s="94">
        <v>545.0</v>
      </c>
      <c r="E42" s="95">
        <v>218.0</v>
      </c>
      <c r="F42" s="96">
        <f t="shared" si="2"/>
        <v>327</v>
      </c>
      <c r="G42" s="97">
        <f t="shared" si="3"/>
        <v>0.6</v>
      </c>
      <c r="H42" s="98" t="s">
        <v>27</v>
      </c>
      <c r="I42" s="71" t="s">
        <v>58</v>
      </c>
    </row>
    <row r="43">
      <c r="A43" s="102" t="str">
        <f t="shared" si="8"/>
        <v>Toyota</v>
      </c>
      <c r="B43" s="69" t="s">
        <v>55</v>
      </c>
      <c r="C43" s="100" t="s">
        <v>21</v>
      </c>
      <c r="D43" s="94">
        <v>218.0</v>
      </c>
      <c r="E43" s="95">
        <v>105.0</v>
      </c>
      <c r="F43" s="96">
        <f t="shared" si="2"/>
        <v>113</v>
      </c>
      <c r="G43" s="97">
        <f t="shared" si="3"/>
        <v>0.5183486239</v>
      </c>
      <c r="H43" s="98" t="s">
        <v>32</v>
      </c>
      <c r="I43" s="71" t="s">
        <v>58</v>
      </c>
    </row>
    <row r="44">
      <c r="A44" s="102" t="str">
        <f t="shared" si="8"/>
        <v>Toyota</v>
      </c>
      <c r="B44" s="69" t="s">
        <v>55</v>
      </c>
      <c r="C44" s="100" t="s">
        <v>31</v>
      </c>
      <c r="D44" s="94">
        <v>125.0</v>
      </c>
      <c r="E44" s="95">
        <v>80.0</v>
      </c>
      <c r="F44" s="96">
        <f t="shared" si="2"/>
        <v>45</v>
      </c>
      <c r="G44" s="97">
        <f t="shared" si="3"/>
        <v>0.36</v>
      </c>
      <c r="H44" s="98" t="s">
        <v>52</v>
      </c>
      <c r="I44" s="71" t="s">
        <v>58</v>
      </c>
    </row>
    <row r="45">
      <c r="A45" s="93" t="s">
        <v>14</v>
      </c>
      <c r="B45" s="69" t="s">
        <v>50</v>
      </c>
      <c r="C45" s="70" t="s">
        <v>51</v>
      </c>
      <c r="D45" s="99">
        <v>4800.0</v>
      </c>
      <c r="E45" s="95">
        <v>2547.0</v>
      </c>
      <c r="F45" s="96">
        <f t="shared" si="2"/>
        <v>2253</v>
      </c>
      <c r="G45" s="97">
        <f t="shared" si="3"/>
        <v>0.469375</v>
      </c>
      <c r="H45" s="98" t="s">
        <v>17</v>
      </c>
      <c r="I45" s="71" t="s">
        <v>53</v>
      </c>
    </row>
    <row r="46">
      <c r="A46" s="93" t="s">
        <v>24</v>
      </c>
      <c r="B46" s="69" t="s">
        <v>50</v>
      </c>
      <c r="C46" s="100" t="s">
        <v>26</v>
      </c>
      <c r="D46" s="99">
        <v>3200.0</v>
      </c>
      <c r="E46" s="95">
        <v>1563.0</v>
      </c>
      <c r="F46" s="96">
        <f t="shared" si="2"/>
        <v>1637</v>
      </c>
      <c r="G46" s="97">
        <f t="shared" si="3"/>
        <v>0.5115625</v>
      </c>
      <c r="H46" s="98" t="s">
        <v>27</v>
      </c>
      <c r="I46" s="71" t="s">
        <v>53</v>
      </c>
    </row>
    <row r="47">
      <c r="A47" s="93" t="s">
        <v>34</v>
      </c>
      <c r="B47" s="69" t="s">
        <v>50</v>
      </c>
      <c r="C47" s="100" t="s">
        <v>36</v>
      </c>
      <c r="D47" s="99">
        <v>2850.0</v>
      </c>
      <c r="E47" s="95">
        <v>1453.0</v>
      </c>
      <c r="F47" s="96">
        <f t="shared" si="2"/>
        <v>1397</v>
      </c>
      <c r="G47" s="97">
        <f t="shared" si="3"/>
        <v>0.4901754386</v>
      </c>
      <c r="H47" s="98" t="s">
        <v>37</v>
      </c>
      <c r="I47" s="71" t="s">
        <v>53</v>
      </c>
    </row>
    <row r="48">
      <c r="A48" s="102" t="str">
        <f t="shared" ref="A48:A58" si="9">A47</f>
        <v>Honda</v>
      </c>
      <c r="B48" s="69" t="s">
        <v>50</v>
      </c>
      <c r="C48" s="100" t="s">
        <v>51</v>
      </c>
      <c r="D48" s="99">
        <v>2400.0</v>
      </c>
      <c r="E48" s="95">
        <v>1200.0</v>
      </c>
      <c r="F48" s="96">
        <f t="shared" si="2"/>
        <v>1200</v>
      </c>
      <c r="G48" s="97">
        <f t="shared" si="3"/>
        <v>0.5</v>
      </c>
      <c r="H48" s="98" t="s">
        <v>42</v>
      </c>
      <c r="I48" s="71" t="s">
        <v>53</v>
      </c>
    </row>
    <row r="49">
      <c r="A49" s="102" t="str">
        <f t="shared" si="9"/>
        <v>Honda</v>
      </c>
      <c r="B49" s="69" t="s">
        <v>50</v>
      </c>
      <c r="C49" s="100" t="s">
        <v>31</v>
      </c>
      <c r="D49" s="99">
        <v>2400.0</v>
      </c>
      <c r="E49" s="95">
        <v>1200.0</v>
      </c>
      <c r="F49" s="96">
        <f t="shared" si="2"/>
        <v>1200</v>
      </c>
      <c r="G49" s="97">
        <f t="shared" si="3"/>
        <v>0.5</v>
      </c>
      <c r="H49" s="98" t="s">
        <v>47</v>
      </c>
      <c r="I49" s="71" t="s">
        <v>53</v>
      </c>
    </row>
    <row r="50">
      <c r="A50" s="102" t="str">
        <f t="shared" si="9"/>
        <v>Honda</v>
      </c>
      <c r="B50" s="69" t="s">
        <v>50</v>
      </c>
      <c r="C50" s="100" t="s">
        <v>21</v>
      </c>
      <c r="D50" s="99">
        <v>1850.0</v>
      </c>
      <c r="E50" s="95">
        <v>987.0</v>
      </c>
      <c r="F50" s="96">
        <f t="shared" si="2"/>
        <v>863</v>
      </c>
      <c r="G50" s="97">
        <f t="shared" si="3"/>
        <v>0.4664864865</v>
      </c>
      <c r="H50" s="98" t="s">
        <v>52</v>
      </c>
      <c r="I50" s="71" t="s">
        <v>53</v>
      </c>
    </row>
    <row r="51">
      <c r="A51" s="102" t="str">
        <f t="shared" si="9"/>
        <v>Honda</v>
      </c>
      <c r="B51" s="69" t="s">
        <v>50</v>
      </c>
      <c r="C51" s="100" t="s">
        <v>26</v>
      </c>
      <c r="D51" s="99">
        <v>1700.0</v>
      </c>
      <c r="E51" s="95">
        <v>658.0</v>
      </c>
      <c r="F51" s="96">
        <f t="shared" si="2"/>
        <v>1042</v>
      </c>
      <c r="G51" s="97">
        <f t="shared" si="3"/>
        <v>0.6129411765</v>
      </c>
      <c r="H51" s="98" t="s">
        <v>52</v>
      </c>
      <c r="I51" s="71" t="s">
        <v>53</v>
      </c>
    </row>
    <row r="52">
      <c r="A52" s="102" t="str">
        <f t="shared" si="9"/>
        <v>Honda</v>
      </c>
      <c r="B52" s="69" t="s">
        <v>50</v>
      </c>
      <c r="C52" s="100" t="s">
        <v>26</v>
      </c>
      <c r="D52" s="99">
        <v>1350.0</v>
      </c>
      <c r="E52" s="95">
        <v>785.0</v>
      </c>
      <c r="F52" s="96">
        <f t="shared" si="2"/>
        <v>565</v>
      </c>
      <c r="G52" s="97">
        <f t="shared" si="3"/>
        <v>0.4185185185</v>
      </c>
      <c r="H52" s="98" t="s">
        <v>57</v>
      </c>
      <c r="I52" s="71" t="s">
        <v>53</v>
      </c>
    </row>
    <row r="53">
      <c r="A53" s="102" t="str">
        <f t="shared" si="9"/>
        <v>Honda</v>
      </c>
      <c r="B53" s="69" t="s">
        <v>50</v>
      </c>
      <c r="C53" s="100" t="s">
        <v>56</v>
      </c>
      <c r="D53" s="99">
        <v>980.0</v>
      </c>
      <c r="E53" s="95">
        <v>547.0</v>
      </c>
      <c r="F53" s="96">
        <f t="shared" si="2"/>
        <v>433</v>
      </c>
      <c r="G53" s="97">
        <f t="shared" si="3"/>
        <v>0.4418367347</v>
      </c>
      <c r="H53" s="98" t="s">
        <v>62</v>
      </c>
      <c r="I53" s="71" t="s">
        <v>53</v>
      </c>
    </row>
    <row r="54">
      <c r="A54" s="102" t="str">
        <f t="shared" si="9"/>
        <v>Honda</v>
      </c>
      <c r="B54" s="69" t="s">
        <v>50</v>
      </c>
      <c r="C54" s="100" t="s">
        <v>61</v>
      </c>
      <c r="D54" s="99">
        <v>725.0</v>
      </c>
      <c r="E54" s="95">
        <v>325.0</v>
      </c>
      <c r="F54" s="96">
        <f t="shared" si="2"/>
        <v>400</v>
      </c>
      <c r="G54" s="97">
        <f t="shared" si="3"/>
        <v>0.5517241379</v>
      </c>
      <c r="H54" s="98" t="s">
        <v>42</v>
      </c>
      <c r="I54" s="71" t="s">
        <v>53</v>
      </c>
    </row>
    <row r="55">
      <c r="A55" s="102" t="str">
        <f t="shared" si="9"/>
        <v>Honda</v>
      </c>
      <c r="B55" s="69" t="s">
        <v>50</v>
      </c>
      <c r="C55" s="100" t="s">
        <v>51</v>
      </c>
      <c r="D55" s="99">
        <v>650.0</v>
      </c>
      <c r="E55" s="95">
        <v>245.0</v>
      </c>
      <c r="F55" s="96">
        <f t="shared" si="2"/>
        <v>405</v>
      </c>
      <c r="G55" s="97">
        <f t="shared" si="3"/>
        <v>0.6230769231</v>
      </c>
      <c r="H55" s="98" t="s">
        <v>17</v>
      </c>
      <c r="I55" s="71" t="s">
        <v>53</v>
      </c>
    </row>
    <row r="56">
      <c r="A56" s="102" t="str">
        <f t="shared" si="9"/>
        <v>Honda</v>
      </c>
      <c r="B56" s="69" t="s">
        <v>50</v>
      </c>
      <c r="C56" s="100" t="s">
        <v>16</v>
      </c>
      <c r="D56" s="94">
        <v>545.0</v>
      </c>
      <c r="E56" s="95">
        <v>218.0</v>
      </c>
      <c r="F56" s="96">
        <f t="shared" si="2"/>
        <v>327</v>
      </c>
      <c r="G56" s="97">
        <f t="shared" si="3"/>
        <v>0.6</v>
      </c>
      <c r="H56" s="98" t="s">
        <v>27</v>
      </c>
      <c r="I56" s="71" t="s">
        <v>53</v>
      </c>
    </row>
    <row r="57">
      <c r="A57" s="102" t="str">
        <f t="shared" si="9"/>
        <v>Honda</v>
      </c>
      <c r="B57" s="69" t="s">
        <v>50</v>
      </c>
      <c r="C57" s="100" t="s">
        <v>21</v>
      </c>
      <c r="D57" s="94">
        <v>218.0</v>
      </c>
      <c r="E57" s="95">
        <v>105.0</v>
      </c>
      <c r="F57" s="96">
        <f t="shared" si="2"/>
        <v>113</v>
      </c>
      <c r="G57" s="97">
        <f t="shared" si="3"/>
        <v>0.5183486239</v>
      </c>
      <c r="H57" s="98" t="s">
        <v>32</v>
      </c>
      <c r="I57" s="71" t="s">
        <v>53</v>
      </c>
    </row>
    <row r="58">
      <c r="A58" s="102" t="str">
        <f t="shared" si="9"/>
        <v>Honda</v>
      </c>
      <c r="B58" s="69" t="s">
        <v>50</v>
      </c>
      <c r="C58" s="100" t="s">
        <v>31</v>
      </c>
      <c r="D58" s="94">
        <v>125.0</v>
      </c>
      <c r="E58" s="95">
        <v>80.0</v>
      </c>
      <c r="F58" s="96">
        <f t="shared" si="2"/>
        <v>45</v>
      </c>
      <c r="G58" s="97">
        <f t="shared" si="3"/>
        <v>0.36</v>
      </c>
      <c r="H58" s="98" t="s">
        <v>52</v>
      </c>
      <c r="I58" s="71" t="s">
        <v>53</v>
      </c>
    </row>
    <row r="59">
      <c r="A59" s="93" t="s">
        <v>14</v>
      </c>
      <c r="B59" s="69" t="s">
        <v>35</v>
      </c>
      <c r="C59" s="70" t="s">
        <v>36</v>
      </c>
      <c r="D59" s="99">
        <v>5800.0</v>
      </c>
      <c r="E59" s="95">
        <v>4123.0</v>
      </c>
      <c r="F59" s="96">
        <f t="shared" si="2"/>
        <v>1677</v>
      </c>
      <c r="G59" s="97">
        <f t="shared" si="3"/>
        <v>0.289137931</v>
      </c>
      <c r="H59" s="98" t="s">
        <v>17</v>
      </c>
      <c r="I59" s="71" t="s">
        <v>38</v>
      </c>
    </row>
    <row r="60">
      <c r="A60" s="93" t="s">
        <v>24</v>
      </c>
      <c r="B60" s="69" t="s">
        <v>35</v>
      </c>
      <c r="C60" s="100" t="s">
        <v>21</v>
      </c>
      <c r="D60" s="99">
        <v>3750.0</v>
      </c>
      <c r="E60" s="95">
        <v>2365.0</v>
      </c>
      <c r="F60" s="96">
        <f t="shared" si="2"/>
        <v>1385</v>
      </c>
      <c r="G60" s="97">
        <f t="shared" si="3"/>
        <v>0.3693333333</v>
      </c>
      <c r="H60" s="98" t="s">
        <v>27</v>
      </c>
      <c r="I60" s="71" t="s">
        <v>38</v>
      </c>
    </row>
    <row r="61">
      <c r="A61" s="102" t="str">
        <f t="shared" ref="A61:A62" si="10">A60</f>
        <v>Wessen</v>
      </c>
      <c r="B61" s="69" t="s">
        <v>35</v>
      </c>
      <c r="C61" s="100" t="s">
        <v>36</v>
      </c>
      <c r="D61" s="99">
        <v>2850.0</v>
      </c>
      <c r="E61" s="95">
        <v>1458.0</v>
      </c>
      <c r="F61" s="96">
        <f t="shared" si="2"/>
        <v>1392</v>
      </c>
      <c r="G61" s="97">
        <f t="shared" si="3"/>
        <v>0.4884210526</v>
      </c>
      <c r="H61" s="98" t="s">
        <v>32</v>
      </c>
      <c r="I61" s="71" t="s">
        <v>38</v>
      </c>
    </row>
    <row r="62">
      <c r="A62" s="102" t="str">
        <f t="shared" si="10"/>
        <v>Wessen</v>
      </c>
      <c r="B62" s="69" t="s">
        <v>35</v>
      </c>
      <c r="C62" s="100" t="s">
        <v>51</v>
      </c>
      <c r="D62" s="99">
        <v>2400.0</v>
      </c>
      <c r="E62" s="95">
        <v>1200.0</v>
      </c>
      <c r="F62" s="96">
        <f t="shared" si="2"/>
        <v>1200</v>
      </c>
      <c r="G62" s="97">
        <f t="shared" si="3"/>
        <v>0.5</v>
      </c>
      <c r="H62" s="98" t="s">
        <v>37</v>
      </c>
      <c r="I62" s="71" t="s">
        <v>38</v>
      </c>
    </row>
    <row r="63">
      <c r="A63" s="93" t="s">
        <v>44</v>
      </c>
      <c r="B63" s="69" t="s">
        <v>35</v>
      </c>
      <c r="C63" s="100" t="s">
        <v>31</v>
      </c>
      <c r="D63" s="99">
        <v>2400.0</v>
      </c>
      <c r="E63" s="95">
        <v>1200.0</v>
      </c>
      <c r="F63" s="96">
        <f t="shared" si="2"/>
        <v>1200</v>
      </c>
      <c r="G63" s="97">
        <f t="shared" si="3"/>
        <v>0.5</v>
      </c>
      <c r="H63" s="98" t="s">
        <v>42</v>
      </c>
      <c r="I63" s="71" t="s">
        <v>38</v>
      </c>
    </row>
    <row r="64">
      <c r="A64" s="93" t="s">
        <v>54</v>
      </c>
      <c r="B64" s="69" t="s">
        <v>35</v>
      </c>
      <c r="C64" s="100" t="s">
        <v>21</v>
      </c>
      <c r="D64" s="99">
        <v>1850.0</v>
      </c>
      <c r="E64" s="95">
        <v>987.0</v>
      </c>
      <c r="F64" s="96">
        <f t="shared" si="2"/>
        <v>863</v>
      </c>
      <c r="G64" s="97">
        <f t="shared" si="3"/>
        <v>0.4664864865</v>
      </c>
      <c r="H64" s="98" t="s">
        <v>52</v>
      </c>
      <c r="I64" s="71" t="s">
        <v>38</v>
      </c>
    </row>
    <row r="65">
      <c r="A65" s="102" t="str">
        <f t="shared" ref="A65:A72" si="11">A64</f>
        <v>Dulux</v>
      </c>
      <c r="B65" s="69" t="s">
        <v>35</v>
      </c>
      <c r="C65" s="100" t="s">
        <v>16</v>
      </c>
      <c r="D65" s="99">
        <v>1850.0</v>
      </c>
      <c r="E65" s="95">
        <v>987.0</v>
      </c>
      <c r="F65" s="96">
        <f t="shared" si="2"/>
        <v>863</v>
      </c>
      <c r="G65" s="97">
        <f t="shared" si="3"/>
        <v>0.4664864865</v>
      </c>
      <c r="H65" s="98" t="s">
        <v>52</v>
      </c>
      <c r="I65" s="71" t="s">
        <v>38</v>
      </c>
    </row>
    <row r="66">
      <c r="A66" s="102" t="str">
        <f t="shared" si="11"/>
        <v>Dulux</v>
      </c>
      <c r="B66" s="69" t="s">
        <v>35</v>
      </c>
      <c r="C66" s="100" t="s">
        <v>26</v>
      </c>
      <c r="D66" s="99">
        <v>1350.0</v>
      </c>
      <c r="E66" s="95">
        <v>658.0</v>
      </c>
      <c r="F66" s="96">
        <f t="shared" si="2"/>
        <v>692</v>
      </c>
      <c r="G66" s="97">
        <f t="shared" si="3"/>
        <v>0.5125925926</v>
      </c>
      <c r="H66" s="98" t="s">
        <v>57</v>
      </c>
      <c r="I66" s="71" t="s">
        <v>38</v>
      </c>
    </row>
    <row r="67">
      <c r="A67" s="102" t="str">
        <f t="shared" si="11"/>
        <v>Dulux</v>
      </c>
      <c r="B67" s="69" t="s">
        <v>35</v>
      </c>
      <c r="C67" s="100" t="s">
        <v>56</v>
      </c>
      <c r="D67" s="99">
        <v>980.0</v>
      </c>
      <c r="E67" s="95">
        <v>547.0</v>
      </c>
      <c r="F67" s="96">
        <f t="shared" si="2"/>
        <v>433</v>
      </c>
      <c r="G67" s="97">
        <f t="shared" si="3"/>
        <v>0.4418367347</v>
      </c>
      <c r="H67" s="98" t="s">
        <v>62</v>
      </c>
      <c r="I67" s="71" t="s">
        <v>38</v>
      </c>
    </row>
    <row r="68">
      <c r="A68" s="102" t="str">
        <f t="shared" si="11"/>
        <v>Dulux</v>
      </c>
      <c r="B68" s="69" t="s">
        <v>35</v>
      </c>
      <c r="C68" s="100" t="s">
        <v>61</v>
      </c>
      <c r="D68" s="99">
        <v>980.0</v>
      </c>
      <c r="E68" s="95">
        <v>547.0</v>
      </c>
      <c r="F68" s="96">
        <f t="shared" si="2"/>
        <v>433</v>
      </c>
      <c r="G68" s="97">
        <f t="shared" si="3"/>
        <v>0.4418367347</v>
      </c>
      <c r="H68" s="98" t="s">
        <v>42</v>
      </c>
      <c r="I68" s="71" t="s">
        <v>38</v>
      </c>
    </row>
    <row r="69">
      <c r="A69" s="102" t="str">
        <f t="shared" si="11"/>
        <v>Dulux</v>
      </c>
      <c r="B69" s="69" t="s">
        <v>35</v>
      </c>
      <c r="C69" s="100" t="s">
        <v>51</v>
      </c>
      <c r="D69" s="99">
        <v>725.0</v>
      </c>
      <c r="E69" s="95">
        <v>325.0</v>
      </c>
      <c r="F69" s="96">
        <f t="shared" si="2"/>
        <v>400</v>
      </c>
      <c r="G69" s="97">
        <f t="shared" si="3"/>
        <v>0.5517241379</v>
      </c>
      <c r="H69" s="98" t="s">
        <v>17</v>
      </c>
      <c r="I69" s="71" t="s">
        <v>38</v>
      </c>
    </row>
    <row r="70">
      <c r="A70" s="102" t="str">
        <f t="shared" si="11"/>
        <v>Dulux</v>
      </c>
      <c r="B70" s="69" t="s">
        <v>35</v>
      </c>
      <c r="C70" s="100" t="s">
        <v>16</v>
      </c>
      <c r="D70" s="94">
        <v>545.0</v>
      </c>
      <c r="E70" s="95">
        <v>218.0</v>
      </c>
      <c r="F70" s="96">
        <f t="shared" si="2"/>
        <v>327</v>
      </c>
      <c r="G70" s="97">
        <f t="shared" si="3"/>
        <v>0.6</v>
      </c>
      <c r="H70" s="98" t="s">
        <v>27</v>
      </c>
      <c r="I70" s="71" t="s">
        <v>38</v>
      </c>
    </row>
    <row r="71">
      <c r="A71" s="102" t="str">
        <f t="shared" si="11"/>
        <v>Dulux</v>
      </c>
      <c r="B71" s="69" t="s">
        <v>35</v>
      </c>
      <c r="C71" s="100" t="s">
        <v>21</v>
      </c>
      <c r="D71" s="94">
        <v>362.0</v>
      </c>
      <c r="E71" s="95">
        <v>175.0</v>
      </c>
      <c r="F71" s="96">
        <f t="shared" si="2"/>
        <v>187</v>
      </c>
      <c r="G71" s="97">
        <f t="shared" si="3"/>
        <v>0.5165745856</v>
      </c>
      <c r="H71" s="98" t="s">
        <v>32</v>
      </c>
      <c r="I71" s="71" t="s">
        <v>38</v>
      </c>
    </row>
    <row r="72">
      <c r="A72" s="102" t="str">
        <f t="shared" si="11"/>
        <v>Dulux</v>
      </c>
      <c r="B72" s="69" t="s">
        <v>35</v>
      </c>
      <c r="C72" s="100" t="s">
        <v>31</v>
      </c>
      <c r="D72" s="94">
        <v>218.0</v>
      </c>
      <c r="E72" s="95">
        <v>105.0</v>
      </c>
      <c r="F72" s="96">
        <f t="shared" si="2"/>
        <v>113</v>
      </c>
      <c r="G72" s="97">
        <f t="shared" si="3"/>
        <v>0.5183486239</v>
      </c>
      <c r="H72" s="98" t="s">
        <v>52</v>
      </c>
      <c r="I72" s="71" t="s">
        <v>38</v>
      </c>
    </row>
    <row r="73">
      <c r="A73" s="93" t="s">
        <v>14</v>
      </c>
      <c r="B73" s="69" t="s">
        <v>25</v>
      </c>
      <c r="C73" s="70" t="s">
        <v>26</v>
      </c>
      <c r="D73" s="99">
        <v>7800.0</v>
      </c>
      <c r="E73" s="95">
        <v>4589.0</v>
      </c>
      <c r="F73" s="96">
        <f t="shared" si="2"/>
        <v>3211</v>
      </c>
      <c r="G73" s="97">
        <f t="shared" si="3"/>
        <v>0.4116666667</v>
      </c>
      <c r="H73" s="98" t="s">
        <v>17</v>
      </c>
      <c r="I73" s="71" t="s">
        <v>28</v>
      </c>
    </row>
    <row r="74">
      <c r="A74" s="93" t="s">
        <v>19</v>
      </c>
      <c r="B74" s="69" t="s">
        <v>25</v>
      </c>
      <c r="C74" s="100" t="s">
        <v>21</v>
      </c>
      <c r="D74" s="99">
        <v>3750.0</v>
      </c>
      <c r="E74" s="95">
        <v>2587.0</v>
      </c>
      <c r="F74" s="96">
        <f t="shared" si="2"/>
        <v>1163</v>
      </c>
      <c r="G74" s="97">
        <f t="shared" si="3"/>
        <v>0.3101333333</v>
      </c>
      <c r="H74" s="98" t="s">
        <v>22</v>
      </c>
      <c r="I74" s="71" t="s">
        <v>28</v>
      </c>
    </row>
    <row r="75">
      <c r="A75" s="93" t="s">
        <v>29</v>
      </c>
      <c r="B75" s="69" t="s">
        <v>25</v>
      </c>
      <c r="C75" s="100" t="s">
        <v>26</v>
      </c>
      <c r="D75" s="99">
        <v>2850.0</v>
      </c>
      <c r="E75" s="95">
        <v>1478.0</v>
      </c>
      <c r="F75" s="96">
        <f t="shared" si="2"/>
        <v>1372</v>
      </c>
      <c r="G75" s="97">
        <f t="shared" si="3"/>
        <v>0.4814035088</v>
      </c>
      <c r="H75" s="98" t="s">
        <v>32</v>
      </c>
      <c r="I75" s="71" t="s">
        <v>28</v>
      </c>
    </row>
    <row r="76">
      <c r="A76" s="102" t="str">
        <f t="shared" ref="A76:A86" si="12">A75</f>
        <v>Apple</v>
      </c>
      <c r="B76" s="69" t="s">
        <v>25</v>
      </c>
      <c r="C76" s="100" t="s">
        <v>46</v>
      </c>
      <c r="D76" s="99">
        <v>2400.0</v>
      </c>
      <c r="E76" s="95">
        <v>985.0</v>
      </c>
      <c r="F76" s="96">
        <f t="shared" si="2"/>
        <v>1415</v>
      </c>
      <c r="G76" s="97">
        <f t="shared" si="3"/>
        <v>0.5895833333</v>
      </c>
      <c r="H76" s="98" t="s">
        <v>37</v>
      </c>
      <c r="I76" s="71" t="s">
        <v>28</v>
      </c>
    </row>
    <row r="77">
      <c r="A77" s="102" t="str">
        <f t="shared" si="12"/>
        <v>Apple</v>
      </c>
      <c r="B77" s="69" t="s">
        <v>25</v>
      </c>
      <c r="C77" s="100" t="s">
        <v>61</v>
      </c>
      <c r="D77" s="99">
        <v>2400.0</v>
      </c>
      <c r="E77" s="95">
        <v>1200.0</v>
      </c>
      <c r="F77" s="96">
        <f t="shared" si="2"/>
        <v>1200</v>
      </c>
      <c r="G77" s="97">
        <f t="shared" si="3"/>
        <v>0.5</v>
      </c>
      <c r="H77" s="98" t="s">
        <v>42</v>
      </c>
      <c r="I77" s="71" t="s">
        <v>28</v>
      </c>
    </row>
    <row r="78">
      <c r="A78" s="102" t="str">
        <f t="shared" si="12"/>
        <v>Apple</v>
      </c>
      <c r="B78" s="69" t="s">
        <v>25</v>
      </c>
      <c r="C78" s="100" t="s">
        <v>16</v>
      </c>
      <c r="D78" s="99">
        <v>1850.0</v>
      </c>
      <c r="E78" s="95">
        <v>987.0</v>
      </c>
      <c r="F78" s="96">
        <f t="shared" si="2"/>
        <v>863</v>
      </c>
      <c r="G78" s="97">
        <f t="shared" si="3"/>
        <v>0.4664864865</v>
      </c>
      <c r="H78" s="98" t="s">
        <v>52</v>
      </c>
      <c r="I78" s="71" t="s">
        <v>28</v>
      </c>
    </row>
    <row r="79">
      <c r="A79" s="102" t="str">
        <f t="shared" si="12"/>
        <v>Apple</v>
      </c>
      <c r="B79" s="69" t="s">
        <v>25</v>
      </c>
      <c r="C79" s="100" t="s">
        <v>21</v>
      </c>
      <c r="D79" s="99">
        <v>1850.0</v>
      </c>
      <c r="E79" s="95">
        <v>987.0</v>
      </c>
      <c r="F79" s="96">
        <f t="shared" si="2"/>
        <v>863</v>
      </c>
      <c r="G79" s="97">
        <f t="shared" si="3"/>
        <v>0.4664864865</v>
      </c>
      <c r="H79" s="98" t="s">
        <v>47</v>
      </c>
      <c r="I79" s="71" t="s">
        <v>28</v>
      </c>
    </row>
    <row r="80">
      <c r="A80" s="102" t="str">
        <f t="shared" si="12"/>
        <v>Apple</v>
      </c>
      <c r="B80" s="69" t="s">
        <v>25</v>
      </c>
      <c r="C80" s="100" t="s">
        <v>26</v>
      </c>
      <c r="D80" s="99">
        <v>1350.0</v>
      </c>
      <c r="E80" s="95">
        <v>658.0</v>
      </c>
      <c r="F80" s="96">
        <f t="shared" si="2"/>
        <v>692</v>
      </c>
      <c r="G80" s="97">
        <f t="shared" si="3"/>
        <v>0.5125925926</v>
      </c>
      <c r="H80" s="98" t="s">
        <v>57</v>
      </c>
      <c r="I80" s="71" t="s">
        <v>28</v>
      </c>
    </row>
    <row r="81">
      <c r="A81" s="102" t="str">
        <f t="shared" si="12"/>
        <v>Apple</v>
      </c>
      <c r="B81" s="69" t="s">
        <v>25</v>
      </c>
      <c r="C81" s="100" t="s">
        <v>56</v>
      </c>
      <c r="D81" s="99">
        <v>1350.0</v>
      </c>
      <c r="E81" s="95">
        <v>785.0</v>
      </c>
      <c r="F81" s="96">
        <f t="shared" si="2"/>
        <v>565</v>
      </c>
      <c r="G81" s="97">
        <f t="shared" si="3"/>
        <v>0.4185185185</v>
      </c>
      <c r="H81" s="98" t="s">
        <v>62</v>
      </c>
      <c r="I81" s="71" t="s">
        <v>28</v>
      </c>
    </row>
    <row r="82">
      <c r="A82" s="102" t="str">
        <f t="shared" si="12"/>
        <v>Apple</v>
      </c>
      <c r="B82" s="69" t="s">
        <v>25</v>
      </c>
      <c r="C82" s="100" t="s">
        <v>61</v>
      </c>
      <c r="D82" s="99">
        <v>980.0</v>
      </c>
      <c r="E82" s="95">
        <v>547.0</v>
      </c>
      <c r="F82" s="96">
        <f t="shared" si="2"/>
        <v>433</v>
      </c>
      <c r="G82" s="97">
        <f t="shared" si="3"/>
        <v>0.4418367347</v>
      </c>
      <c r="H82" s="98" t="s">
        <v>62</v>
      </c>
      <c r="I82" s="71" t="s">
        <v>28</v>
      </c>
    </row>
    <row r="83">
      <c r="A83" s="102" t="str">
        <f t="shared" si="12"/>
        <v>Apple</v>
      </c>
      <c r="B83" s="69" t="s">
        <v>25</v>
      </c>
      <c r="C83" s="100" t="s">
        <v>51</v>
      </c>
      <c r="D83" s="99">
        <v>725.0</v>
      </c>
      <c r="E83" s="95">
        <v>325.0</v>
      </c>
      <c r="F83" s="96">
        <f t="shared" si="2"/>
        <v>400</v>
      </c>
      <c r="G83" s="97">
        <f t="shared" si="3"/>
        <v>0.5517241379</v>
      </c>
      <c r="H83" s="98" t="s">
        <v>42</v>
      </c>
      <c r="I83" s="71" t="s">
        <v>28</v>
      </c>
    </row>
    <row r="84">
      <c r="A84" s="102" t="str">
        <f t="shared" si="12"/>
        <v>Apple</v>
      </c>
      <c r="B84" s="69" t="s">
        <v>25</v>
      </c>
      <c r="C84" s="100" t="s">
        <v>16</v>
      </c>
      <c r="D84" s="99">
        <v>650.0</v>
      </c>
      <c r="E84" s="95">
        <v>245.0</v>
      </c>
      <c r="F84" s="96">
        <f t="shared" si="2"/>
        <v>405</v>
      </c>
      <c r="G84" s="97">
        <f t="shared" si="3"/>
        <v>0.6230769231</v>
      </c>
      <c r="H84" s="98" t="s">
        <v>27</v>
      </c>
      <c r="I84" s="71" t="s">
        <v>28</v>
      </c>
    </row>
    <row r="85">
      <c r="A85" s="102" t="str">
        <f t="shared" si="12"/>
        <v>Apple</v>
      </c>
      <c r="B85" s="69" t="s">
        <v>25</v>
      </c>
      <c r="C85" s="100" t="s">
        <v>21</v>
      </c>
      <c r="D85" s="94">
        <v>362.0</v>
      </c>
      <c r="E85" s="95">
        <v>175.0</v>
      </c>
      <c r="F85" s="96">
        <f t="shared" si="2"/>
        <v>187</v>
      </c>
      <c r="G85" s="97">
        <f t="shared" si="3"/>
        <v>0.5165745856</v>
      </c>
      <c r="H85" s="98" t="s">
        <v>32</v>
      </c>
      <c r="I85" s="71" t="s">
        <v>28</v>
      </c>
    </row>
    <row r="86">
      <c r="A86" s="102" t="str">
        <f t="shared" si="12"/>
        <v>Apple</v>
      </c>
      <c r="B86" s="69" t="s">
        <v>25</v>
      </c>
      <c r="C86" s="100" t="s">
        <v>31</v>
      </c>
      <c r="D86" s="94">
        <v>218.0</v>
      </c>
      <c r="E86" s="95">
        <v>105.0</v>
      </c>
      <c r="F86" s="96">
        <f t="shared" si="2"/>
        <v>113</v>
      </c>
      <c r="G86" s="97">
        <f t="shared" si="3"/>
        <v>0.5183486239</v>
      </c>
      <c r="H86" s="98" t="s">
        <v>32</v>
      </c>
      <c r="I86" s="71" t="s">
        <v>28</v>
      </c>
    </row>
    <row r="87">
      <c r="A87" s="93" t="s">
        <v>14</v>
      </c>
      <c r="B87" s="69" t="s">
        <v>45</v>
      </c>
      <c r="C87" s="70" t="s">
        <v>46</v>
      </c>
      <c r="D87" s="99">
        <v>4800.0</v>
      </c>
      <c r="E87" s="95">
        <v>2589.0</v>
      </c>
      <c r="F87" s="96">
        <f t="shared" si="2"/>
        <v>2211</v>
      </c>
      <c r="G87" s="97">
        <f t="shared" si="3"/>
        <v>0.460625</v>
      </c>
      <c r="H87" s="98" t="s">
        <v>17</v>
      </c>
      <c r="I87" s="71" t="s">
        <v>48</v>
      </c>
    </row>
    <row r="88">
      <c r="A88" s="93" t="s">
        <v>24</v>
      </c>
      <c r="B88" s="69" t="s">
        <v>45</v>
      </c>
      <c r="C88" s="100" t="s">
        <v>21</v>
      </c>
      <c r="D88" s="99">
        <v>3200.0</v>
      </c>
      <c r="E88" s="95">
        <v>1589.0</v>
      </c>
      <c r="F88" s="96">
        <f t="shared" si="2"/>
        <v>1611</v>
      </c>
      <c r="G88" s="97">
        <f t="shared" si="3"/>
        <v>0.5034375</v>
      </c>
      <c r="H88" s="98" t="s">
        <v>27</v>
      </c>
      <c r="I88" s="71" t="s">
        <v>48</v>
      </c>
    </row>
    <row r="89">
      <c r="A89" s="102" t="str">
        <f t="shared" ref="A89:A100" si="13">A88</f>
        <v>Wessen</v>
      </c>
      <c r="B89" s="69" t="s">
        <v>45</v>
      </c>
      <c r="C89" s="100" t="s">
        <v>36</v>
      </c>
      <c r="D89" s="99">
        <v>2850.0</v>
      </c>
      <c r="E89" s="95">
        <v>987.0</v>
      </c>
      <c r="F89" s="96">
        <f t="shared" si="2"/>
        <v>1863</v>
      </c>
      <c r="G89" s="97">
        <f t="shared" si="3"/>
        <v>0.6536842105</v>
      </c>
      <c r="H89" s="98" t="s">
        <v>32</v>
      </c>
      <c r="I89" s="71" t="s">
        <v>48</v>
      </c>
    </row>
    <row r="90">
      <c r="A90" s="102" t="str">
        <f t="shared" si="13"/>
        <v>Wessen</v>
      </c>
      <c r="B90" s="69" t="s">
        <v>45</v>
      </c>
      <c r="C90" s="100" t="s">
        <v>51</v>
      </c>
      <c r="D90" s="99">
        <v>2400.0</v>
      </c>
      <c r="E90" s="95">
        <v>1200.0</v>
      </c>
      <c r="F90" s="96">
        <f t="shared" si="2"/>
        <v>1200</v>
      </c>
      <c r="G90" s="97">
        <f t="shared" si="3"/>
        <v>0.5</v>
      </c>
      <c r="H90" s="98" t="s">
        <v>37</v>
      </c>
      <c r="I90" s="71" t="s">
        <v>48</v>
      </c>
    </row>
    <row r="91">
      <c r="A91" s="102" t="str">
        <f t="shared" si="13"/>
        <v>Wessen</v>
      </c>
      <c r="B91" s="69" t="s">
        <v>45</v>
      </c>
      <c r="C91" s="100" t="s">
        <v>31</v>
      </c>
      <c r="D91" s="99">
        <v>2400.0</v>
      </c>
      <c r="E91" s="95">
        <v>1200.0</v>
      </c>
      <c r="F91" s="96">
        <f t="shared" si="2"/>
        <v>1200</v>
      </c>
      <c r="G91" s="97">
        <f t="shared" si="3"/>
        <v>0.5</v>
      </c>
      <c r="H91" s="98" t="s">
        <v>42</v>
      </c>
      <c r="I91" s="71" t="s">
        <v>48</v>
      </c>
    </row>
    <row r="92">
      <c r="A92" s="102" t="str">
        <f t="shared" si="13"/>
        <v>Wessen</v>
      </c>
      <c r="B92" s="69" t="s">
        <v>45</v>
      </c>
      <c r="C92" s="100" t="s">
        <v>21</v>
      </c>
      <c r="D92" s="99">
        <v>1850.0</v>
      </c>
      <c r="E92" s="95">
        <v>987.0</v>
      </c>
      <c r="F92" s="96">
        <f t="shared" si="2"/>
        <v>863</v>
      </c>
      <c r="G92" s="97">
        <f t="shared" si="3"/>
        <v>0.4664864865</v>
      </c>
      <c r="H92" s="98" t="s">
        <v>52</v>
      </c>
      <c r="I92" s="71" t="s">
        <v>48</v>
      </c>
    </row>
    <row r="93">
      <c r="A93" s="102" t="str">
        <f t="shared" si="13"/>
        <v>Wessen</v>
      </c>
      <c r="B93" s="69" t="s">
        <v>45</v>
      </c>
      <c r="C93" s="100" t="s">
        <v>16</v>
      </c>
      <c r="D93" s="99">
        <v>1700.0</v>
      </c>
      <c r="E93" s="95">
        <v>658.0</v>
      </c>
      <c r="F93" s="96">
        <f t="shared" si="2"/>
        <v>1042</v>
      </c>
      <c r="G93" s="97">
        <f t="shared" si="3"/>
        <v>0.6129411765</v>
      </c>
      <c r="H93" s="98" t="s">
        <v>52</v>
      </c>
      <c r="I93" s="71" t="s">
        <v>48</v>
      </c>
    </row>
    <row r="94">
      <c r="A94" s="102" t="str">
        <f t="shared" si="13"/>
        <v>Wessen</v>
      </c>
      <c r="B94" s="69" t="s">
        <v>45</v>
      </c>
      <c r="C94" s="100" t="s">
        <v>26</v>
      </c>
      <c r="D94" s="99">
        <v>1350.0</v>
      </c>
      <c r="E94" s="95">
        <v>658.0</v>
      </c>
      <c r="F94" s="96">
        <f t="shared" si="2"/>
        <v>692</v>
      </c>
      <c r="G94" s="97">
        <f t="shared" si="3"/>
        <v>0.5125925926</v>
      </c>
      <c r="H94" s="98" t="s">
        <v>57</v>
      </c>
      <c r="I94" s="71" t="s">
        <v>48</v>
      </c>
    </row>
    <row r="95">
      <c r="A95" s="102" t="str">
        <f t="shared" si="13"/>
        <v>Wessen</v>
      </c>
      <c r="B95" s="69" t="s">
        <v>45</v>
      </c>
      <c r="C95" s="100" t="s">
        <v>56</v>
      </c>
      <c r="D95" s="99">
        <v>980.0</v>
      </c>
      <c r="E95" s="95">
        <v>547.0</v>
      </c>
      <c r="F95" s="96">
        <f t="shared" si="2"/>
        <v>433</v>
      </c>
      <c r="G95" s="97">
        <f t="shared" si="3"/>
        <v>0.4418367347</v>
      </c>
      <c r="H95" s="98" t="s">
        <v>62</v>
      </c>
      <c r="I95" s="71" t="s">
        <v>48</v>
      </c>
    </row>
    <row r="96">
      <c r="A96" s="102" t="str">
        <f t="shared" si="13"/>
        <v>Wessen</v>
      </c>
      <c r="B96" s="69" t="s">
        <v>45</v>
      </c>
      <c r="C96" s="100" t="s">
        <v>61</v>
      </c>
      <c r="D96" s="99">
        <v>980.0</v>
      </c>
      <c r="E96" s="95">
        <v>547.0</v>
      </c>
      <c r="F96" s="96">
        <f t="shared" si="2"/>
        <v>433</v>
      </c>
      <c r="G96" s="97">
        <f t="shared" si="3"/>
        <v>0.4418367347</v>
      </c>
      <c r="H96" s="98" t="s">
        <v>42</v>
      </c>
      <c r="I96" s="71" t="s">
        <v>48</v>
      </c>
    </row>
    <row r="97">
      <c r="A97" s="102" t="str">
        <f t="shared" si="13"/>
        <v>Wessen</v>
      </c>
      <c r="B97" s="69" t="s">
        <v>45</v>
      </c>
      <c r="C97" s="100" t="s">
        <v>51</v>
      </c>
      <c r="D97" s="99">
        <v>650.0</v>
      </c>
      <c r="E97" s="95">
        <v>245.0</v>
      </c>
      <c r="F97" s="96">
        <f t="shared" si="2"/>
        <v>405</v>
      </c>
      <c r="G97" s="97">
        <f t="shared" si="3"/>
        <v>0.6230769231</v>
      </c>
      <c r="H97" s="98" t="s">
        <v>17</v>
      </c>
      <c r="I97" s="71" t="s">
        <v>48</v>
      </c>
    </row>
    <row r="98">
      <c r="A98" s="102" t="str">
        <f t="shared" si="13"/>
        <v>Wessen</v>
      </c>
      <c r="B98" s="69" t="s">
        <v>45</v>
      </c>
      <c r="C98" s="100" t="s">
        <v>16</v>
      </c>
      <c r="D98" s="94">
        <v>545.0</v>
      </c>
      <c r="E98" s="95">
        <v>218.0</v>
      </c>
      <c r="F98" s="96">
        <f t="shared" si="2"/>
        <v>327</v>
      </c>
      <c r="G98" s="97">
        <f t="shared" si="3"/>
        <v>0.6</v>
      </c>
      <c r="H98" s="98" t="s">
        <v>27</v>
      </c>
      <c r="I98" s="71" t="s">
        <v>48</v>
      </c>
    </row>
    <row r="99">
      <c r="A99" s="102" t="str">
        <f t="shared" si="13"/>
        <v>Wessen</v>
      </c>
      <c r="B99" s="69" t="s">
        <v>45</v>
      </c>
      <c r="C99" s="100" t="s">
        <v>21</v>
      </c>
      <c r="D99" s="94">
        <v>362.0</v>
      </c>
      <c r="E99" s="95">
        <v>175.0</v>
      </c>
      <c r="F99" s="96">
        <f t="shared" si="2"/>
        <v>187</v>
      </c>
      <c r="G99" s="97">
        <f t="shared" si="3"/>
        <v>0.5165745856</v>
      </c>
      <c r="H99" s="98" t="s">
        <v>32</v>
      </c>
      <c r="I99" s="71" t="s">
        <v>48</v>
      </c>
    </row>
    <row r="100">
      <c r="A100" s="102" t="str">
        <f t="shared" si="13"/>
        <v>Wessen</v>
      </c>
      <c r="B100" s="69" t="s">
        <v>45</v>
      </c>
      <c r="C100" s="100" t="s">
        <v>31</v>
      </c>
      <c r="D100" s="94">
        <v>125.0</v>
      </c>
      <c r="E100" s="95">
        <v>80.0</v>
      </c>
      <c r="F100" s="96">
        <f t="shared" si="2"/>
        <v>45</v>
      </c>
      <c r="G100" s="97">
        <f t="shared" si="3"/>
        <v>0.36</v>
      </c>
      <c r="H100" s="98" t="s">
        <v>52</v>
      </c>
      <c r="I100" s="71" t="s">
        <v>48</v>
      </c>
    </row>
    <row r="101">
      <c r="A101" s="93" t="s">
        <v>14</v>
      </c>
      <c r="B101" s="69" t="s">
        <v>40</v>
      </c>
      <c r="C101" s="70" t="s">
        <v>41</v>
      </c>
      <c r="D101" s="99">
        <v>5800.0</v>
      </c>
      <c r="E101" s="95">
        <v>3056.0</v>
      </c>
      <c r="F101" s="96">
        <f t="shared" si="2"/>
        <v>2744</v>
      </c>
      <c r="G101" s="97">
        <f t="shared" si="3"/>
        <v>0.4731034483</v>
      </c>
      <c r="H101" s="98" t="s">
        <v>17</v>
      </c>
      <c r="I101" s="71" t="s">
        <v>43</v>
      </c>
    </row>
    <row r="102">
      <c r="A102" s="93" t="s">
        <v>24</v>
      </c>
      <c r="B102" s="69" t="s">
        <v>40</v>
      </c>
      <c r="C102" s="100" t="s">
        <v>21</v>
      </c>
      <c r="D102" s="99">
        <v>3200.0</v>
      </c>
      <c r="E102" s="95">
        <v>1587.0</v>
      </c>
      <c r="F102" s="96">
        <f t="shared" si="2"/>
        <v>1613</v>
      </c>
      <c r="G102" s="97">
        <f t="shared" si="3"/>
        <v>0.5040625</v>
      </c>
      <c r="H102" s="98" t="s">
        <v>27</v>
      </c>
      <c r="I102" s="71" t="s">
        <v>43</v>
      </c>
    </row>
    <row r="103">
      <c r="A103" s="102" t="str">
        <f>A102</f>
        <v>Wessen</v>
      </c>
      <c r="B103" s="69" t="s">
        <v>40</v>
      </c>
      <c r="C103" s="100" t="s">
        <v>36</v>
      </c>
      <c r="D103" s="99">
        <v>2850.0</v>
      </c>
      <c r="E103" s="95">
        <v>1895.0</v>
      </c>
      <c r="F103" s="96">
        <f t="shared" si="2"/>
        <v>955</v>
      </c>
      <c r="G103" s="97">
        <f t="shared" si="3"/>
        <v>0.3350877193</v>
      </c>
      <c r="H103" s="98" t="s">
        <v>32</v>
      </c>
      <c r="I103" s="71" t="s">
        <v>43</v>
      </c>
    </row>
    <row r="104">
      <c r="A104" s="93" t="s">
        <v>39</v>
      </c>
      <c r="B104" s="69" t="s">
        <v>40</v>
      </c>
      <c r="C104" s="100" t="s">
        <v>51</v>
      </c>
      <c r="D104" s="99">
        <v>2400.0</v>
      </c>
      <c r="E104" s="95">
        <v>1200.0</v>
      </c>
      <c r="F104" s="96">
        <f t="shared" si="2"/>
        <v>1200</v>
      </c>
      <c r="G104" s="97">
        <f t="shared" si="3"/>
        <v>0.5</v>
      </c>
      <c r="H104" s="98" t="s">
        <v>37</v>
      </c>
      <c r="I104" s="71" t="s">
        <v>43</v>
      </c>
    </row>
    <row r="105">
      <c r="A105" s="102" t="str">
        <f t="shared" ref="A105:A114" si="14">A104</f>
        <v>Seiko</v>
      </c>
      <c r="B105" s="69" t="s">
        <v>40</v>
      </c>
      <c r="C105" s="100" t="s">
        <v>31</v>
      </c>
      <c r="D105" s="99">
        <v>2400.0</v>
      </c>
      <c r="E105" s="95">
        <v>1200.0</v>
      </c>
      <c r="F105" s="96">
        <f t="shared" si="2"/>
        <v>1200</v>
      </c>
      <c r="G105" s="97">
        <f t="shared" si="3"/>
        <v>0.5</v>
      </c>
      <c r="H105" s="98" t="s">
        <v>42</v>
      </c>
      <c r="I105" s="71" t="s">
        <v>43</v>
      </c>
    </row>
    <row r="106">
      <c r="A106" s="102" t="str">
        <f t="shared" si="14"/>
        <v>Seiko</v>
      </c>
      <c r="B106" s="69" t="s">
        <v>40</v>
      </c>
      <c r="C106" s="100" t="s">
        <v>21</v>
      </c>
      <c r="D106" s="99">
        <v>1850.0</v>
      </c>
      <c r="E106" s="95">
        <v>987.0</v>
      </c>
      <c r="F106" s="96">
        <f t="shared" si="2"/>
        <v>863</v>
      </c>
      <c r="G106" s="97">
        <f t="shared" si="3"/>
        <v>0.4664864865</v>
      </c>
      <c r="H106" s="98" t="s">
        <v>52</v>
      </c>
      <c r="I106" s="71" t="s">
        <v>43</v>
      </c>
    </row>
    <row r="107">
      <c r="A107" s="102" t="str">
        <f t="shared" si="14"/>
        <v>Seiko</v>
      </c>
      <c r="B107" s="69" t="s">
        <v>40</v>
      </c>
      <c r="C107" s="100" t="s">
        <v>16</v>
      </c>
      <c r="D107" s="99">
        <v>1700.0</v>
      </c>
      <c r="E107" s="95">
        <v>658.0</v>
      </c>
      <c r="F107" s="96">
        <f t="shared" si="2"/>
        <v>1042</v>
      </c>
      <c r="G107" s="97">
        <f t="shared" si="3"/>
        <v>0.6129411765</v>
      </c>
      <c r="H107" s="98" t="s">
        <v>52</v>
      </c>
      <c r="I107" s="71" t="s">
        <v>43</v>
      </c>
    </row>
    <row r="108">
      <c r="A108" s="102" t="str">
        <f t="shared" si="14"/>
        <v>Seiko</v>
      </c>
      <c r="B108" s="69" t="s">
        <v>40</v>
      </c>
      <c r="C108" s="100" t="s">
        <v>26</v>
      </c>
      <c r="D108" s="99">
        <v>1350.0</v>
      </c>
      <c r="E108" s="95">
        <v>658.0</v>
      </c>
      <c r="F108" s="96">
        <f t="shared" si="2"/>
        <v>692</v>
      </c>
      <c r="G108" s="97">
        <f t="shared" si="3"/>
        <v>0.5125925926</v>
      </c>
      <c r="H108" s="98" t="s">
        <v>57</v>
      </c>
      <c r="I108" s="71" t="s">
        <v>43</v>
      </c>
    </row>
    <row r="109">
      <c r="A109" s="102" t="str">
        <f t="shared" si="14"/>
        <v>Seiko</v>
      </c>
      <c r="B109" s="69" t="s">
        <v>40</v>
      </c>
      <c r="C109" s="100" t="s">
        <v>56</v>
      </c>
      <c r="D109" s="99">
        <v>980.0</v>
      </c>
      <c r="E109" s="95">
        <v>547.0</v>
      </c>
      <c r="F109" s="96">
        <f t="shared" si="2"/>
        <v>433</v>
      </c>
      <c r="G109" s="97">
        <f t="shared" si="3"/>
        <v>0.4418367347</v>
      </c>
      <c r="H109" s="98" t="s">
        <v>62</v>
      </c>
      <c r="I109" s="71" t="s">
        <v>43</v>
      </c>
    </row>
    <row r="110">
      <c r="A110" s="102" t="str">
        <f t="shared" si="14"/>
        <v>Seiko</v>
      </c>
      <c r="B110" s="69" t="s">
        <v>40</v>
      </c>
      <c r="C110" s="100" t="s">
        <v>61</v>
      </c>
      <c r="D110" s="99">
        <v>980.0</v>
      </c>
      <c r="E110" s="95">
        <v>547.0</v>
      </c>
      <c r="F110" s="96">
        <f t="shared" si="2"/>
        <v>433</v>
      </c>
      <c r="G110" s="97">
        <f t="shared" si="3"/>
        <v>0.4418367347</v>
      </c>
      <c r="H110" s="98" t="s">
        <v>42</v>
      </c>
      <c r="I110" s="71" t="s">
        <v>43</v>
      </c>
    </row>
    <row r="111">
      <c r="A111" s="102" t="str">
        <f t="shared" si="14"/>
        <v>Seiko</v>
      </c>
      <c r="B111" s="69" t="s">
        <v>40</v>
      </c>
      <c r="C111" s="100" t="s">
        <v>51</v>
      </c>
      <c r="D111" s="99">
        <v>725.0</v>
      </c>
      <c r="E111" s="95">
        <v>325.0</v>
      </c>
      <c r="F111" s="96">
        <f t="shared" si="2"/>
        <v>400</v>
      </c>
      <c r="G111" s="97">
        <f t="shared" si="3"/>
        <v>0.5517241379</v>
      </c>
      <c r="H111" s="98" t="s">
        <v>17</v>
      </c>
      <c r="I111" s="71" t="s">
        <v>43</v>
      </c>
    </row>
    <row r="112">
      <c r="A112" s="102" t="str">
        <f t="shared" si="14"/>
        <v>Seiko</v>
      </c>
      <c r="B112" s="69" t="s">
        <v>40</v>
      </c>
      <c r="C112" s="100" t="s">
        <v>16</v>
      </c>
      <c r="D112" s="94">
        <v>545.0</v>
      </c>
      <c r="E112" s="95">
        <v>218.0</v>
      </c>
      <c r="F112" s="96">
        <f t="shared" si="2"/>
        <v>327</v>
      </c>
      <c r="G112" s="97">
        <f t="shared" si="3"/>
        <v>0.6</v>
      </c>
      <c r="H112" s="98" t="s">
        <v>27</v>
      </c>
      <c r="I112" s="71" t="s">
        <v>43</v>
      </c>
    </row>
    <row r="113">
      <c r="A113" s="102" t="str">
        <f t="shared" si="14"/>
        <v>Seiko</v>
      </c>
      <c r="B113" s="69" t="s">
        <v>40</v>
      </c>
      <c r="C113" s="100" t="s">
        <v>21</v>
      </c>
      <c r="D113" s="94">
        <v>362.0</v>
      </c>
      <c r="E113" s="95">
        <v>175.0</v>
      </c>
      <c r="F113" s="96">
        <f t="shared" si="2"/>
        <v>187</v>
      </c>
      <c r="G113" s="97">
        <f t="shared" si="3"/>
        <v>0.5165745856</v>
      </c>
      <c r="H113" s="98" t="s">
        <v>32</v>
      </c>
      <c r="I113" s="71" t="s">
        <v>43</v>
      </c>
    </row>
    <row r="114">
      <c r="A114" s="102" t="str">
        <f t="shared" si="14"/>
        <v>Seiko</v>
      </c>
      <c r="B114" s="69" t="s">
        <v>40</v>
      </c>
      <c r="C114" s="100" t="s">
        <v>31</v>
      </c>
      <c r="D114" s="94">
        <v>125.0</v>
      </c>
      <c r="E114" s="95">
        <v>80.0</v>
      </c>
      <c r="F114" s="96">
        <f t="shared" si="2"/>
        <v>45</v>
      </c>
      <c r="G114" s="97">
        <f t="shared" si="3"/>
        <v>0.36</v>
      </c>
      <c r="H114" s="98" t="s">
        <v>52</v>
      </c>
      <c r="I114" s="71" t="s">
        <v>43</v>
      </c>
    </row>
    <row r="115">
      <c r="A115" s="93" t="s">
        <v>19</v>
      </c>
      <c r="B115" s="71" t="s">
        <v>60</v>
      </c>
      <c r="C115" s="71" t="s">
        <v>61</v>
      </c>
      <c r="D115" s="99">
        <v>4800.0</v>
      </c>
      <c r="E115" s="95">
        <v>3145.0</v>
      </c>
      <c r="F115" s="96">
        <f t="shared" si="2"/>
        <v>1655</v>
      </c>
      <c r="G115" s="97">
        <f t="shared" si="3"/>
        <v>0.3447916667</v>
      </c>
      <c r="H115" s="98" t="s">
        <v>22</v>
      </c>
      <c r="I115" s="71" t="s">
        <v>63</v>
      </c>
    </row>
    <row r="116">
      <c r="A116" s="93" t="s">
        <v>29</v>
      </c>
      <c r="B116" s="71" t="s">
        <v>60</v>
      </c>
      <c r="C116" s="100" t="s">
        <v>26</v>
      </c>
      <c r="D116" s="99">
        <v>3200.0</v>
      </c>
      <c r="E116" s="95">
        <v>2145.0</v>
      </c>
      <c r="F116" s="96">
        <f t="shared" si="2"/>
        <v>1055</v>
      </c>
      <c r="G116" s="97">
        <f t="shared" si="3"/>
        <v>0.3296875</v>
      </c>
      <c r="H116" s="98" t="s">
        <v>27</v>
      </c>
      <c r="I116" s="71" t="s">
        <v>63</v>
      </c>
    </row>
    <row r="117">
      <c r="A117" s="102" t="str">
        <f t="shared" ref="A117:A128" si="15">A116</f>
        <v>Apple</v>
      </c>
      <c r="B117" s="71" t="s">
        <v>60</v>
      </c>
      <c r="C117" s="100" t="s">
        <v>46</v>
      </c>
      <c r="D117" s="99">
        <v>2850.0</v>
      </c>
      <c r="E117" s="95">
        <v>985.0</v>
      </c>
      <c r="F117" s="96">
        <f t="shared" si="2"/>
        <v>1865</v>
      </c>
      <c r="G117" s="97">
        <f t="shared" si="3"/>
        <v>0.6543859649</v>
      </c>
      <c r="H117" s="98" t="s">
        <v>37</v>
      </c>
      <c r="I117" s="71" t="s">
        <v>63</v>
      </c>
    </row>
    <row r="118">
      <c r="A118" s="102" t="str">
        <f t="shared" si="15"/>
        <v>Apple</v>
      </c>
      <c r="B118" s="71" t="s">
        <v>60</v>
      </c>
      <c r="C118" s="100" t="s">
        <v>61</v>
      </c>
      <c r="D118" s="99">
        <v>2400.0</v>
      </c>
      <c r="E118" s="95">
        <v>1200.0</v>
      </c>
      <c r="F118" s="96">
        <f t="shared" si="2"/>
        <v>1200</v>
      </c>
      <c r="G118" s="97">
        <f t="shared" si="3"/>
        <v>0.5</v>
      </c>
      <c r="H118" s="98" t="s">
        <v>42</v>
      </c>
      <c r="I118" s="71" t="s">
        <v>63</v>
      </c>
    </row>
    <row r="119">
      <c r="A119" s="102" t="str">
        <f t="shared" si="15"/>
        <v>Apple</v>
      </c>
      <c r="B119" s="71" t="s">
        <v>60</v>
      </c>
      <c r="C119" s="100" t="s">
        <v>16</v>
      </c>
      <c r="D119" s="99">
        <v>1850.0</v>
      </c>
      <c r="E119" s="95">
        <v>987.0</v>
      </c>
      <c r="F119" s="96">
        <f t="shared" si="2"/>
        <v>863</v>
      </c>
      <c r="G119" s="97">
        <f t="shared" si="3"/>
        <v>0.4664864865</v>
      </c>
      <c r="H119" s="98" t="s">
        <v>52</v>
      </c>
      <c r="I119" s="71" t="s">
        <v>63</v>
      </c>
    </row>
    <row r="120">
      <c r="A120" s="102" t="str">
        <f t="shared" si="15"/>
        <v>Apple</v>
      </c>
      <c r="B120" s="71" t="s">
        <v>60</v>
      </c>
      <c r="C120" s="100" t="s">
        <v>31</v>
      </c>
      <c r="D120" s="99">
        <v>1850.0</v>
      </c>
      <c r="E120" s="95">
        <v>987.0</v>
      </c>
      <c r="F120" s="96">
        <f t="shared" si="2"/>
        <v>863</v>
      </c>
      <c r="G120" s="97">
        <f t="shared" si="3"/>
        <v>0.4664864865</v>
      </c>
      <c r="H120" s="98" t="s">
        <v>47</v>
      </c>
      <c r="I120" s="71" t="s">
        <v>63</v>
      </c>
    </row>
    <row r="121">
      <c r="A121" s="102" t="str">
        <f t="shared" si="15"/>
        <v>Apple</v>
      </c>
      <c r="B121" s="71" t="s">
        <v>60</v>
      </c>
      <c r="C121" s="100" t="s">
        <v>26</v>
      </c>
      <c r="D121" s="99">
        <v>1700.0</v>
      </c>
      <c r="E121" s="95">
        <v>658.0</v>
      </c>
      <c r="F121" s="96">
        <f t="shared" si="2"/>
        <v>1042</v>
      </c>
      <c r="G121" s="97">
        <f t="shared" si="3"/>
        <v>0.6129411765</v>
      </c>
      <c r="H121" s="98" t="s">
        <v>52</v>
      </c>
      <c r="I121" s="71" t="s">
        <v>63</v>
      </c>
    </row>
    <row r="122">
      <c r="A122" s="102" t="str">
        <f t="shared" si="15"/>
        <v>Apple</v>
      </c>
      <c r="B122" s="71" t="s">
        <v>60</v>
      </c>
      <c r="C122" s="100" t="s">
        <v>56</v>
      </c>
      <c r="D122" s="99">
        <v>1350.0</v>
      </c>
      <c r="E122" s="95">
        <v>785.0</v>
      </c>
      <c r="F122" s="96">
        <f t="shared" si="2"/>
        <v>565</v>
      </c>
      <c r="G122" s="97">
        <f t="shared" si="3"/>
        <v>0.4185185185</v>
      </c>
      <c r="H122" s="98" t="s">
        <v>57</v>
      </c>
      <c r="I122" s="71" t="s">
        <v>63</v>
      </c>
    </row>
    <row r="123">
      <c r="A123" s="102" t="str">
        <f t="shared" si="15"/>
        <v>Apple</v>
      </c>
      <c r="B123" s="71" t="s">
        <v>60</v>
      </c>
      <c r="C123" s="100" t="s">
        <v>61</v>
      </c>
      <c r="D123" s="99">
        <v>980.0</v>
      </c>
      <c r="E123" s="95">
        <v>547.0</v>
      </c>
      <c r="F123" s="96">
        <f t="shared" si="2"/>
        <v>433</v>
      </c>
      <c r="G123" s="97">
        <f t="shared" si="3"/>
        <v>0.4418367347</v>
      </c>
      <c r="H123" s="98" t="s">
        <v>62</v>
      </c>
      <c r="I123" s="71" t="s">
        <v>63</v>
      </c>
    </row>
    <row r="124">
      <c r="A124" s="102" t="str">
        <f t="shared" si="15"/>
        <v>Apple</v>
      </c>
      <c r="B124" s="71" t="s">
        <v>60</v>
      </c>
      <c r="C124" s="100" t="s">
        <v>51</v>
      </c>
      <c r="D124" s="99">
        <v>725.0</v>
      </c>
      <c r="E124" s="95">
        <v>325.0</v>
      </c>
      <c r="F124" s="96">
        <f t="shared" si="2"/>
        <v>400</v>
      </c>
      <c r="G124" s="97">
        <f t="shared" si="3"/>
        <v>0.5517241379</v>
      </c>
      <c r="H124" s="98" t="s">
        <v>42</v>
      </c>
      <c r="I124" s="71" t="s">
        <v>63</v>
      </c>
    </row>
    <row r="125">
      <c r="A125" s="102" t="str">
        <f t="shared" si="15"/>
        <v>Apple</v>
      </c>
      <c r="B125" s="71" t="s">
        <v>60</v>
      </c>
      <c r="C125" s="100" t="s">
        <v>16</v>
      </c>
      <c r="D125" s="99">
        <v>650.0</v>
      </c>
      <c r="E125" s="95">
        <v>245.0</v>
      </c>
      <c r="F125" s="96">
        <f t="shared" si="2"/>
        <v>405</v>
      </c>
      <c r="G125" s="97">
        <f t="shared" si="3"/>
        <v>0.6230769231</v>
      </c>
      <c r="H125" s="98" t="s">
        <v>17</v>
      </c>
      <c r="I125" s="71" t="s">
        <v>63</v>
      </c>
    </row>
    <row r="126">
      <c r="A126" s="102" t="str">
        <f t="shared" si="15"/>
        <v>Apple</v>
      </c>
      <c r="B126" s="71" t="s">
        <v>60</v>
      </c>
      <c r="C126" s="100" t="s">
        <v>21</v>
      </c>
      <c r="D126" s="94">
        <v>545.0</v>
      </c>
      <c r="E126" s="95">
        <v>218.0</v>
      </c>
      <c r="F126" s="96">
        <f t="shared" si="2"/>
        <v>327</v>
      </c>
      <c r="G126" s="97">
        <f t="shared" si="3"/>
        <v>0.6</v>
      </c>
      <c r="H126" s="98" t="s">
        <v>27</v>
      </c>
      <c r="I126" s="71" t="s">
        <v>63</v>
      </c>
    </row>
    <row r="127">
      <c r="A127" s="102" t="str">
        <f t="shared" si="15"/>
        <v>Apple</v>
      </c>
      <c r="B127" s="71" t="s">
        <v>60</v>
      </c>
      <c r="C127" s="100" t="s">
        <v>21</v>
      </c>
      <c r="D127" s="94">
        <v>218.0</v>
      </c>
      <c r="E127" s="95">
        <v>105.0</v>
      </c>
      <c r="F127" s="96">
        <f t="shared" si="2"/>
        <v>113</v>
      </c>
      <c r="G127" s="97">
        <f t="shared" si="3"/>
        <v>0.5183486239</v>
      </c>
      <c r="H127" s="98" t="s">
        <v>32</v>
      </c>
      <c r="I127" s="71" t="s">
        <v>63</v>
      </c>
    </row>
    <row r="128">
      <c r="A128" s="102" t="str">
        <f t="shared" si="15"/>
        <v>Apple</v>
      </c>
      <c r="B128" s="71" t="s">
        <v>60</v>
      </c>
      <c r="C128" s="100" t="s">
        <v>31</v>
      </c>
      <c r="D128" s="94">
        <v>125.0</v>
      </c>
      <c r="E128" s="95">
        <v>80.0</v>
      </c>
      <c r="F128" s="96">
        <f t="shared" si="2"/>
        <v>45</v>
      </c>
      <c r="G128" s="97">
        <f t="shared" si="3"/>
        <v>0.36</v>
      </c>
      <c r="H128" s="98" t="s">
        <v>52</v>
      </c>
      <c r="I128" s="71" t="s">
        <v>63</v>
      </c>
    </row>
    <row r="129">
      <c r="A129" s="93" t="s">
        <v>14</v>
      </c>
      <c r="B129" s="69" t="s">
        <v>20</v>
      </c>
      <c r="C129" s="70" t="s">
        <v>21</v>
      </c>
      <c r="D129" s="99">
        <v>8750.0</v>
      </c>
      <c r="E129" s="95">
        <v>5478.0</v>
      </c>
      <c r="F129" s="96">
        <f t="shared" si="2"/>
        <v>3272</v>
      </c>
      <c r="G129" s="97">
        <f t="shared" si="3"/>
        <v>0.3739428571</v>
      </c>
      <c r="H129" s="98" t="s">
        <v>17</v>
      </c>
      <c r="I129" s="71" t="s">
        <v>23</v>
      </c>
    </row>
    <row r="130">
      <c r="A130" s="93" t="s">
        <v>19</v>
      </c>
      <c r="B130" s="69" t="s">
        <v>20</v>
      </c>
      <c r="C130" s="71" t="s">
        <v>61</v>
      </c>
      <c r="D130" s="99">
        <v>3750.0</v>
      </c>
      <c r="E130" s="95">
        <v>2589.0</v>
      </c>
      <c r="F130" s="96">
        <f t="shared" si="2"/>
        <v>1161</v>
      </c>
      <c r="G130" s="97">
        <f t="shared" si="3"/>
        <v>0.3096</v>
      </c>
      <c r="H130" s="98" t="s">
        <v>22</v>
      </c>
      <c r="I130" s="71" t="s">
        <v>23</v>
      </c>
    </row>
    <row r="131">
      <c r="A131" s="93" t="s">
        <v>29</v>
      </c>
      <c r="B131" s="69" t="s">
        <v>20</v>
      </c>
      <c r="C131" s="100" t="s">
        <v>26</v>
      </c>
      <c r="D131" s="99">
        <v>2850.0</v>
      </c>
      <c r="E131" s="95">
        <v>1056.0</v>
      </c>
      <c r="F131" s="96">
        <f t="shared" si="2"/>
        <v>1794</v>
      </c>
      <c r="G131" s="97">
        <f t="shared" si="3"/>
        <v>0.6294736842</v>
      </c>
      <c r="H131" s="98" t="s">
        <v>32</v>
      </c>
      <c r="I131" s="71" t="s">
        <v>23</v>
      </c>
    </row>
    <row r="132">
      <c r="A132" s="102" t="str">
        <f t="shared" ref="A132:A142" si="16">A131</f>
        <v>Apple</v>
      </c>
      <c r="B132" s="69" t="s">
        <v>20</v>
      </c>
      <c r="C132" s="100" t="s">
        <v>46</v>
      </c>
      <c r="D132" s="99">
        <v>2400.0</v>
      </c>
      <c r="E132" s="95">
        <v>985.0</v>
      </c>
      <c r="F132" s="96">
        <f t="shared" si="2"/>
        <v>1415</v>
      </c>
      <c r="G132" s="97">
        <f t="shared" si="3"/>
        <v>0.5895833333</v>
      </c>
      <c r="H132" s="98" t="s">
        <v>37</v>
      </c>
      <c r="I132" s="71" t="s">
        <v>23</v>
      </c>
    </row>
    <row r="133">
      <c r="A133" s="102" t="str">
        <f t="shared" si="16"/>
        <v>Apple</v>
      </c>
      <c r="B133" s="69" t="s">
        <v>20</v>
      </c>
      <c r="C133" s="100" t="s">
        <v>61</v>
      </c>
      <c r="D133" s="99">
        <v>2400.0</v>
      </c>
      <c r="E133" s="95">
        <v>1200.0</v>
      </c>
      <c r="F133" s="96">
        <f t="shared" si="2"/>
        <v>1200</v>
      </c>
      <c r="G133" s="97">
        <f t="shared" si="3"/>
        <v>0.5</v>
      </c>
      <c r="H133" s="98" t="s">
        <v>42</v>
      </c>
      <c r="I133" s="71" t="s">
        <v>23</v>
      </c>
    </row>
    <row r="134">
      <c r="A134" s="102" t="str">
        <f t="shared" si="16"/>
        <v>Apple</v>
      </c>
      <c r="B134" s="69" t="s">
        <v>20</v>
      </c>
      <c r="C134" s="100" t="s">
        <v>16</v>
      </c>
      <c r="D134" s="99">
        <v>1850.0</v>
      </c>
      <c r="E134" s="95">
        <v>987.0</v>
      </c>
      <c r="F134" s="96">
        <f t="shared" si="2"/>
        <v>863</v>
      </c>
      <c r="G134" s="97">
        <f t="shared" si="3"/>
        <v>0.4664864865</v>
      </c>
      <c r="H134" s="98" t="s">
        <v>52</v>
      </c>
      <c r="I134" s="71" t="s">
        <v>23</v>
      </c>
    </row>
    <row r="135">
      <c r="A135" s="102" t="str">
        <f t="shared" si="16"/>
        <v>Apple</v>
      </c>
      <c r="B135" s="69" t="s">
        <v>20</v>
      </c>
      <c r="C135" s="100" t="s">
        <v>21</v>
      </c>
      <c r="D135" s="99">
        <v>1850.0</v>
      </c>
      <c r="E135" s="95">
        <v>987.0</v>
      </c>
      <c r="F135" s="96">
        <f t="shared" si="2"/>
        <v>863</v>
      </c>
      <c r="G135" s="97">
        <f t="shared" si="3"/>
        <v>0.4664864865</v>
      </c>
      <c r="H135" s="98" t="s">
        <v>47</v>
      </c>
      <c r="I135" s="71" t="s">
        <v>23</v>
      </c>
    </row>
    <row r="136">
      <c r="A136" s="102" t="str">
        <f t="shared" si="16"/>
        <v>Apple</v>
      </c>
      <c r="B136" s="69" t="s">
        <v>20</v>
      </c>
      <c r="C136" s="100" t="s">
        <v>26</v>
      </c>
      <c r="D136" s="99">
        <v>1350.0</v>
      </c>
      <c r="E136" s="95">
        <v>658.0</v>
      </c>
      <c r="F136" s="96">
        <f t="shared" si="2"/>
        <v>692</v>
      </c>
      <c r="G136" s="97">
        <f t="shared" si="3"/>
        <v>0.5125925926</v>
      </c>
      <c r="H136" s="98" t="s">
        <v>57</v>
      </c>
      <c r="I136" s="71" t="s">
        <v>23</v>
      </c>
    </row>
    <row r="137">
      <c r="A137" s="102" t="str">
        <f t="shared" si="16"/>
        <v>Apple</v>
      </c>
      <c r="B137" s="69" t="s">
        <v>20</v>
      </c>
      <c r="C137" s="100" t="s">
        <v>56</v>
      </c>
      <c r="D137" s="99">
        <v>1350.0</v>
      </c>
      <c r="E137" s="95">
        <v>785.0</v>
      </c>
      <c r="F137" s="96">
        <f t="shared" si="2"/>
        <v>565</v>
      </c>
      <c r="G137" s="97">
        <f t="shared" si="3"/>
        <v>0.4185185185</v>
      </c>
      <c r="H137" s="98" t="s">
        <v>62</v>
      </c>
      <c r="I137" s="71" t="s">
        <v>23</v>
      </c>
    </row>
    <row r="138">
      <c r="A138" s="102" t="str">
        <f t="shared" si="16"/>
        <v>Apple</v>
      </c>
      <c r="B138" s="69" t="s">
        <v>20</v>
      </c>
      <c r="C138" s="100" t="s">
        <v>61</v>
      </c>
      <c r="D138" s="99">
        <v>980.0</v>
      </c>
      <c r="E138" s="95">
        <v>547.0</v>
      </c>
      <c r="F138" s="96">
        <f t="shared" si="2"/>
        <v>433</v>
      </c>
      <c r="G138" s="97">
        <f t="shared" si="3"/>
        <v>0.4418367347</v>
      </c>
      <c r="H138" s="98" t="s">
        <v>62</v>
      </c>
      <c r="I138" s="71" t="s">
        <v>23</v>
      </c>
    </row>
    <row r="139">
      <c r="A139" s="102" t="str">
        <f t="shared" si="16"/>
        <v>Apple</v>
      </c>
      <c r="B139" s="69" t="s">
        <v>20</v>
      </c>
      <c r="C139" s="100" t="s">
        <v>51</v>
      </c>
      <c r="D139" s="99">
        <v>725.0</v>
      </c>
      <c r="E139" s="95">
        <v>325.0</v>
      </c>
      <c r="F139" s="96">
        <f t="shared" si="2"/>
        <v>400</v>
      </c>
      <c r="G139" s="97">
        <f t="shared" si="3"/>
        <v>0.5517241379</v>
      </c>
      <c r="H139" s="98" t="s">
        <v>42</v>
      </c>
      <c r="I139" s="71" t="s">
        <v>23</v>
      </c>
    </row>
    <row r="140">
      <c r="A140" s="102" t="str">
        <f t="shared" si="16"/>
        <v>Apple</v>
      </c>
      <c r="B140" s="69" t="s">
        <v>20</v>
      </c>
      <c r="C140" s="100" t="s">
        <v>16</v>
      </c>
      <c r="D140" s="99">
        <v>650.0</v>
      </c>
      <c r="E140" s="95">
        <v>245.0</v>
      </c>
      <c r="F140" s="96">
        <f t="shared" si="2"/>
        <v>405</v>
      </c>
      <c r="G140" s="97">
        <f t="shared" si="3"/>
        <v>0.6230769231</v>
      </c>
      <c r="H140" s="98" t="s">
        <v>27</v>
      </c>
      <c r="I140" s="71" t="s">
        <v>23</v>
      </c>
    </row>
    <row r="141">
      <c r="A141" s="102" t="str">
        <f t="shared" si="16"/>
        <v>Apple</v>
      </c>
      <c r="B141" s="69" t="s">
        <v>20</v>
      </c>
      <c r="C141" s="100" t="s">
        <v>21</v>
      </c>
      <c r="D141" s="94">
        <v>362.0</v>
      </c>
      <c r="E141" s="95">
        <v>175.0</v>
      </c>
      <c r="F141" s="96">
        <f t="shared" si="2"/>
        <v>187</v>
      </c>
      <c r="G141" s="97">
        <f t="shared" si="3"/>
        <v>0.5165745856</v>
      </c>
      <c r="H141" s="98" t="s">
        <v>32</v>
      </c>
      <c r="I141" s="71" t="s">
        <v>23</v>
      </c>
    </row>
    <row r="142">
      <c r="A142" s="102" t="str">
        <f t="shared" si="16"/>
        <v>Apple</v>
      </c>
      <c r="B142" s="69" t="s">
        <v>20</v>
      </c>
      <c r="C142" s="100" t="s">
        <v>31</v>
      </c>
      <c r="D142" s="94">
        <v>218.0</v>
      </c>
      <c r="E142" s="95">
        <v>105.0</v>
      </c>
      <c r="F142" s="96">
        <f t="shared" si="2"/>
        <v>113</v>
      </c>
      <c r="G142" s="97">
        <f t="shared" si="3"/>
        <v>0.5183486239</v>
      </c>
      <c r="H142" s="98" t="s">
        <v>32</v>
      </c>
      <c r="I142" s="71" t="s">
        <v>23</v>
      </c>
    </row>
    <row r="143">
      <c r="A143" s="102"/>
      <c r="B143" s="69"/>
      <c r="C143" s="103"/>
      <c r="D143" s="104"/>
      <c r="E143" s="105"/>
      <c r="F143" s="96">
        <f t="shared" si="2"/>
        <v>0</v>
      </c>
      <c r="G143" s="97">
        <f t="shared" si="3"/>
        <v>0</v>
      </c>
      <c r="H143" s="105"/>
      <c r="I143" s="71"/>
    </row>
    <row r="144">
      <c r="A144" s="102"/>
      <c r="B144" s="69"/>
      <c r="C144" s="103"/>
      <c r="D144" s="104"/>
      <c r="E144" s="105"/>
      <c r="F144" s="96">
        <f t="shared" si="2"/>
        <v>0</v>
      </c>
      <c r="G144" s="97">
        <f t="shared" si="3"/>
        <v>0</v>
      </c>
      <c r="H144" s="105"/>
      <c r="I144" s="71"/>
    </row>
    <row r="145">
      <c r="A145" s="102"/>
      <c r="B145" s="69"/>
      <c r="C145" s="103"/>
      <c r="D145" s="104"/>
      <c r="E145" s="105"/>
      <c r="F145" s="96">
        <f t="shared" si="2"/>
        <v>0</v>
      </c>
      <c r="G145" s="97">
        <f t="shared" si="3"/>
        <v>0</v>
      </c>
      <c r="H145" s="105"/>
      <c r="I145" s="71"/>
    </row>
    <row r="146">
      <c r="A146" s="102"/>
      <c r="B146" s="69"/>
      <c r="C146" s="103"/>
      <c r="D146" s="104"/>
      <c r="E146" s="105"/>
      <c r="F146" s="96">
        <f t="shared" si="2"/>
        <v>0</v>
      </c>
      <c r="G146" s="97">
        <f t="shared" si="3"/>
        <v>0</v>
      </c>
      <c r="H146" s="105"/>
      <c r="I146" s="71"/>
    </row>
    <row r="147">
      <c r="A147" s="102"/>
      <c r="B147" s="69"/>
      <c r="C147" s="103"/>
      <c r="D147" s="104"/>
      <c r="E147" s="105"/>
      <c r="F147" s="96">
        <f t="shared" si="2"/>
        <v>0</v>
      </c>
      <c r="G147" s="97">
        <f t="shared" si="3"/>
        <v>0</v>
      </c>
      <c r="H147" s="105"/>
      <c r="I147" s="71"/>
    </row>
    <row r="148">
      <c r="A148" s="102"/>
      <c r="B148" s="69"/>
      <c r="C148" s="103"/>
      <c r="D148" s="104"/>
      <c r="E148" s="105"/>
      <c r="F148" s="96">
        <f t="shared" si="2"/>
        <v>0</v>
      </c>
      <c r="G148" s="97">
        <f t="shared" si="3"/>
        <v>0</v>
      </c>
      <c r="H148" s="105"/>
      <c r="I148" s="71"/>
    </row>
    <row r="149">
      <c r="A149" s="102"/>
      <c r="B149" s="69"/>
      <c r="C149" s="103"/>
      <c r="D149" s="104"/>
      <c r="E149" s="105"/>
      <c r="F149" s="96">
        <f t="shared" si="2"/>
        <v>0</v>
      </c>
      <c r="G149" s="97">
        <f t="shared" si="3"/>
        <v>0</v>
      </c>
      <c r="H149" s="105"/>
      <c r="I149" s="71"/>
    </row>
    <row r="150">
      <c r="A150" s="102"/>
      <c r="B150" s="69"/>
      <c r="C150" s="103"/>
      <c r="D150" s="104"/>
      <c r="E150" s="105"/>
      <c r="F150" s="96">
        <f t="shared" si="2"/>
        <v>0</v>
      </c>
      <c r="G150" s="97">
        <f t="shared" si="3"/>
        <v>0</v>
      </c>
      <c r="H150" s="105"/>
      <c r="I150" s="71"/>
    </row>
    <row r="151">
      <c r="A151" s="102"/>
      <c r="B151" s="69"/>
      <c r="C151" s="103"/>
      <c r="D151" s="104"/>
      <c r="E151" s="105"/>
      <c r="F151" s="96">
        <f t="shared" si="2"/>
        <v>0</v>
      </c>
      <c r="G151" s="97">
        <f t="shared" si="3"/>
        <v>0</v>
      </c>
      <c r="H151" s="105"/>
      <c r="I151" s="71"/>
    </row>
    <row r="152">
      <c r="A152" s="102"/>
      <c r="B152" s="71"/>
      <c r="C152" s="103"/>
      <c r="D152" s="104"/>
      <c r="E152" s="105"/>
      <c r="F152" s="96">
        <f t="shared" si="2"/>
        <v>0</v>
      </c>
      <c r="G152" s="97">
        <f t="shared" si="3"/>
        <v>0</v>
      </c>
      <c r="H152" s="105"/>
      <c r="I152" s="71"/>
    </row>
    <row r="153">
      <c r="A153" s="102"/>
      <c r="B153" s="69"/>
      <c r="C153" s="103"/>
      <c r="D153" s="104"/>
      <c r="E153" s="105"/>
      <c r="F153" s="96">
        <f t="shared" si="2"/>
        <v>0</v>
      </c>
      <c r="G153" s="97">
        <f t="shared" si="3"/>
        <v>0</v>
      </c>
      <c r="H153" s="105"/>
      <c r="I153" s="105"/>
    </row>
    <row r="154">
      <c r="A154" s="102"/>
      <c r="B154" s="69"/>
      <c r="C154" s="103"/>
      <c r="D154" s="104"/>
      <c r="E154" s="105"/>
      <c r="F154" s="96">
        <f t="shared" si="2"/>
        <v>0</v>
      </c>
      <c r="G154" s="97">
        <f t="shared" si="3"/>
        <v>0</v>
      </c>
      <c r="H154" s="105"/>
      <c r="I154" s="105"/>
    </row>
    <row r="155">
      <c r="A155" s="102"/>
      <c r="B155" s="69"/>
      <c r="C155" s="103"/>
      <c r="D155" s="104"/>
      <c r="E155" s="105"/>
      <c r="F155" s="96">
        <f t="shared" si="2"/>
        <v>0</v>
      </c>
      <c r="G155" s="97">
        <f t="shared" si="3"/>
        <v>0</v>
      </c>
      <c r="H155" s="105"/>
      <c r="I155" s="105"/>
    </row>
    <row r="156">
      <c r="A156" s="102"/>
      <c r="B156" s="69"/>
      <c r="C156" s="103"/>
      <c r="D156" s="104"/>
      <c r="E156" s="105"/>
      <c r="F156" s="96">
        <f t="shared" si="2"/>
        <v>0</v>
      </c>
      <c r="G156" s="97">
        <f t="shared" si="3"/>
        <v>0</v>
      </c>
      <c r="H156" s="105"/>
      <c r="I156" s="105"/>
    </row>
    <row r="157">
      <c r="A157" s="102"/>
      <c r="B157" s="69"/>
      <c r="C157" s="103"/>
      <c r="D157" s="104"/>
      <c r="E157" s="105"/>
      <c r="F157" s="96">
        <f t="shared" si="2"/>
        <v>0</v>
      </c>
      <c r="G157" s="97">
        <f t="shared" si="3"/>
        <v>0</v>
      </c>
      <c r="H157" s="105"/>
      <c r="I157" s="105"/>
    </row>
    <row r="158">
      <c r="A158" s="102"/>
      <c r="B158" s="69"/>
      <c r="C158" s="103"/>
      <c r="D158" s="104"/>
      <c r="E158" s="105"/>
      <c r="F158" s="96">
        <f t="shared" si="2"/>
        <v>0</v>
      </c>
      <c r="G158" s="97">
        <f t="shared" si="3"/>
        <v>0</v>
      </c>
      <c r="H158" s="105"/>
      <c r="I158" s="105"/>
    </row>
    <row r="159">
      <c r="A159" s="102"/>
      <c r="B159" s="69"/>
      <c r="C159" s="103"/>
      <c r="D159" s="104"/>
      <c r="E159" s="105"/>
      <c r="F159" s="96">
        <f t="shared" si="2"/>
        <v>0</v>
      </c>
      <c r="G159" s="97">
        <f t="shared" si="3"/>
        <v>0</v>
      </c>
      <c r="H159" s="105"/>
      <c r="I159" s="105"/>
    </row>
    <row r="160">
      <c r="A160" s="102"/>
      <c r="B160" s="69"/>
      <c r="C160" s="103"/>
      <c r="D160" s="104"/>
      <c r="E160" s="105"/>
      <c r="F160" s="96">
        <f t="shared" si="2"/>
        <v>0</v>
      </c>
      <c r="G160" s="97">
        <f t="shared" si="3"/>
        <v>0</v>
      </c>
      <c r="H160" s="105"/>
      <c r="I160" s="105"/>
    </row>
    <row r="161">
      <c r="A161" s="102"/>
      <c r="B161" s="69"/>
      <c r="C161" s="103"/>
      <c r="D161" s="104"/>
      <c r="E161" s="105"/>
      <c r="F161" s="96">
        <f t="shared" si="2"/>
        <v>0</v>
      </c>
      <c r="G161" s="97">
        <f t="shared" si="3"/>
        <v>0</v>
      </c>
      <c r="H161" s="105"/>
      <c r="I161" s="105"/>
    </row>
    <row r="162">
      <c r="A162" s="102"/>
      <c r="B162" s="71"/>
      <c r="C162" s="103"/>
      <c r="D162" s="104"/>
      <c r="E162" s="105"/>
      <c r="F162" s="96">
        <f t="shared" si="2"/>
        <v>0</v>
      </c>
      <c r="G162" s="97">
        <f t="shared" si="3"/>
        <v>0</v>
      </c>
      <c r="H162" s="105"/>
      <c r="I162" s="105"/>
    </row>
    <row r="163">
      <c r="A163" s="102"/>
      <c r="B163" s="69"/>
      <c r="C163" s="103"/>
      <c r="D163" s="104"/>
      <c r="E163" s="105"/>
      <c r="F163" s="96">
        <f t="shared" si="2"/>
        <v>0</v>
      </c>
      <c r="G163" s="97">
        <f t="shared" si="3"/>
        <v>0</v>
      </c>
      <c r="H163" s="105"/>
      <c r="I163" s="105"/>
    </row>
    <row r="164">
      <c r="A164" s="102"/>
      <c r="B164" s="69"/>
      <c r="C164" s="103"/>
      <c r="D164" s="104"/>
      <c r="E164" s="105"/>
      <c r="F164" s="96">
        <f t="shared" si="2"/>
        <v>0</v>
      </c>
      <c r="G164" s="97">
        <f t="shared" si="3"/>
        <v>0</v>
      </c>
      <c r="H164" s="105"/>
      <c r="I164" s="105"/>
    </row>
    <row r="165">
      <c r="A165" s="102"/>
      <c r="B165" s="69"/>
      <c r="C165" s="103"/>
      <c r="D165" s="104"/>
      <c r="E165" s="105"/>
      <c r="F165" s="96">
        <f t="shared" si="2"/>
        <v>0</v>
      </c>
      <c r="G165" s="97">
        <f t="shared" si="3"/>
        <v>0</v>
      </c>
      <c r="H165" s="105"/>
      <c r="I165" s="105"/>
    </row>
    <row r="166">
      <c r="A166" s="102"/>
      <c r="B166" s="69"/>
      <c r="C166" s="103"/>
      <c r="D166" s="104"/>
      <c r="E166" s="105"/>
      <c r="F166" s="96">
        <f t="shared" si="2"/>
        <v>0</v>
      </c>
      <c r="G166" s="97">
        <f t="shared" si="3"/>
        <v>0</v>
      </c>
      <c r="H166" s="105"/>
      <c r="I166" s="105"/>
    </row>
    <row r="167">
      <c r="A167" s="102"/>
      <c r="B167" s="69"/>
      <c r="C167" s="103"/>
      <c r="D167" s="104"/>
      <c r="E167" s="105"/>
      <c r="F167" s="96">
        <f t="shared" si="2"/>
        <v>0</v>
      </c>
      <c r="G167" s="97">
        <f t="shared" si="3"/>
        <v>0</v>
      </c>
      <c r="H167" s="105"/>
      <c r="I167" s="105"/>
    </row>
    <row r="168">
      <c r="A168" s="102"/>
      <c r="B168" s="69"/>
      <c r="C168" s="103"/>
      <c r="D168" s="104"/>
      <c r="E168" s="105"/>
      <c r="F168" s="96">
        <f t="shared" si="2"/>
        <v>0</v>
      </c>
      <c r="G168" s="97">
        <f t="shared" si="3"/>
        <v>0</v>
      </c>
      <c r="H168" s="105"/>
      <c r="I168" s="105"/>
    </row>
    <row r="169">
      <c r="A169" s="102"/>
      <c r="B169" s="69"/>
      <c r="C169" s="103"/>
      <c r="D169" s="104"/>
      <c r="E169" s="105"/>
      <c r="F169" s="96">
        <f t="shared" si="2"/>
        <v>0</v>
      </c>
      <c r="G169" s="97">
        <f t="shared" si="3"/>
        <v>0</v>
      </c>
      <c r="H169" s="105"/>
      <c r="I169" s="105"/>
    </row>
    <row r="170">
      <c r="A170" s="102"/>
      <c r="B170" s="69"/>
      <c r="C170" s="103"/>
      <c r="D170" s="104"/>
      <c r="E170" s="105"/>
      <c r="F170" s="96">
        <f t="shared" si="2"/>
        <v>0</v>
      </c>
      <c r="G170" s="97">
        <f t="shared" si="3"/>
        <v>0</v>
      </c>
      <c r="H170" s="105"/>
      <c r="I170" s="105"/>
    </row>
    <row r="171">
      <c r="A171" s="102"/>
      <c r="B171" s="69"/>
      <c r="C171" s="103"/>
      <c r="D171" s="104"/>
      <c r="E171" s="105"/>
      <c r="F171" s="96">
        <f t="shared" si="2"/>
        <v>0</v>
      </c>
      <c r="G171" s="97">
        <f t="shared" si="3"/>
        <v>0</v>
      </c>
      <c r="H171" s="105"/>
      <c r="I171" s="105"/>
    </row>
    <row r="172">
      <c r="A172" s="102"/>
      <c r="B172" s="71"/>
      <c r="C172" s="103"/>
      <c r="D172" s="104"/>
      <c r="E172" s="105"/>
      <c r="F172" s="96">
        <f t="shared" si="2"/>
        <v>0</v>
      </c>
      <c r="G172" s="97">
        <f t="shared" si="3"/>
        <v>0</v>
      </c>
      <c r="H172" s="105"/>
      <c r="I172" s="105"/>
    </row>
    <row r="173">
      <c r="A173" s="102"/>
      <c r="B173" s="69"/>
      <c r="C173" s="103"/>
      <c r="D173" s="104"/>
      <c r="E173" s="105"/>
      <c r="F173" s="96">
        <f t="shared" si="2"/>
        <v>0</v>
      </c>
      <c r="G173" s="97">
        <f t="shared" si="3"/>
        <v>0</v>
      </c>
      <c r="H173" s="105"/>
      <c r="I173" s="105"/>
    </row>
    <row r="174">
      <c r="A174" s="102"/>
      <c r="B174" s="69"/>
      <c r="C174" s="103"/>
      <c r="D174" s="104"/>
      <c r="E174" s="105"/>
      <c r="F174" s="96">
        <f t="shared" si="2"/>
        <v>0</v>
      </c>
      <c r="G174" s="97">
        <f t="shared" si="3"/>
        <v>0</v>
      </c>
      <c r="H174" s="105"/>
      <c r="I174" s="105"/>
    </row>
    <row r="175">
      <c r="A175" s="102"/>
      <c r="B175" s="69"/>
      <c r="C175" s="103"/>
      <c r="D175" s="104"/>
      <c r="E175" s="105"/>
      <c r="F175" s="96">
        <f t="shared" si="2"/>
        <v>0</v>
      </c>
      <c r="G175" s="97">
        <f t="shared" si="3"/>
        <v>0</v>
      </c>
      <c r="H175" s="105"/>
      <c r="I175" s="105"/>
    </row>
    <row r="176">
      <c r="A176" s="102"/>
      <c r="B176" s="69"/>
      <c r="C176" s="103"/>
      <c r="D176" s="104"/>
      <c r="E176" s="105"/>
      <c r="F176" s="96">
        <f t="shared" si="2"/>
        <v>0</v>
      </c>
      <c r="G176" s="97">
        <f t="shared" si="3"/>
        <v>0</v>
      </c>
      <c r="H176" s="105"/>
      <c r="I176" s="105"/>
    </row>
    <row r="177">
      <c r="A177" s="102"/>
      <c r="B177" s="69"/>
      <c r="C177" s="103"/>
      <c r="D177" s="104"/>
      <c r="E177" s="105"/>
      <c r="F177" s="96">
        <f t="shared" si="2"/>
        <v>0</v>
      </c>
      <c r="G177" s="97">
        <f t="shared" si="3"/>
        <v>0</v>
      </c>
      <c r="H177" s="105"/>
      <c r="I177" s="105"/>
    </row>
    <row r="178">
      <c r="A178" s="102"/>
      <c r="B178" s="69"/>
      <c r="C178" s="103"/>
      <c r="D178" s="104"/>
      <c r="E178" s="105"/>
      <c r="F178" s="96">
        <f t="shared" si="2"/>
        <v>0</v>
      </c>
      <c r="G178" s="97">
        <f t="shared" si="3"/>
        <v>0</v>
      </c>
      <c r="H178" s="105"/>
      <c r="I178" s="105"/>
    </row>
    <row r="179">
      <c r="A179" s="102"/>
      <c r="B179" s="69"/>
      <c r="C179" s="103"/>
      <c r="D179" s="104"/>
      <c r="E179" s="105"/>
      <c r="F179" s="96">
        <f t="shared" si="2"/>
        <v>0</v>
      </c>
      <c r="G179" s="97">
        <f t="shared" si="3"/>
        <v>0</v>
      </c>
      <c r="H179" s="105"/>
      <c r="I179" s="105"/>
    </row>
    <row r="180">
      <c r="A180" s="102"/>
      <c r="B180" s="69"/>
      <c r="C180" s="103"/>
      <c r="D180" s="104"/>
      <c r="E180" s="105"/>
      <c r="F180" s="96">
        <f t="shared" si="2"/>
        <v>0</v>
      </c>
      <c r="G180" s="97">
        <f t="shared" si="3"/>
        <v>0</v>
      </c>
      <c r="H180" s="105"/>
      <c r="I180" s="105"/>
    </row>
    <row r="181">
      <c r="A181" s="102"/>
      <c r="B181" s="69"/>
      <c r="C181" s="103"/>
      <c r="D181" s="104"/>
      <c r="E181" s="105"/>
      <c r="F181" s="96">
        <f t="shared" si="2"/>
        <v>0</v>
      </c>
      <c r="G181" s="97">
        <f t="shared" si="3"/>
        <v>0</v>
      </c>
      <c r="H181" s="105"/>
      <c r="I181" s="105"/>
    </row>
    <row r="182">
      <c r="A182" s="102"/>
      <c r="B182" s="71"/>
      <c r="C182" s="103"/>
      <c r="D182" s="104"/>
      <c r="E182" s="105"/>
      <c r="F182" s="96">
        <f t="shared" si="2"/>
        <v>0</v>
      </c>
      <c r="G182" s="97">
        <f t="shared" si="3"/>
        <v>0</v>
      </c>
      <c r="H182" s="105"/>
      <c r="I182" s="105"/>
    </row>
    <row r="183">
      <c r="A183" s="102"/>
      <c r="B183" s="105"/>
      <c r="C183" s="103"/>
      <c r="D183" s="104"/>
      <c r="E183" s="105"/>
      <c r="F183" s="96">
        <f t="shared" si="2"/>
        <v>0</v>
      </c>
      <c r="G183" s="97">
        <f t="shared" si="3"/>
        <v>0</v>
      </c>
      <c r="H183" s="105"/>
      <c r="I183" s="105"/>
    </row>
    <row r="184">
      <c r="A184" s="102"/>
      <c r="B184" s="105"/>
      <c r="C184" s="103"/>
      <c r="D184" s="104"/>
      <c r="E184" s="105"/>
      <c r="F184" s="96">
        <f t="shared" si="2"/>
        <v>0</v>
      </c>
      <c r="G184" s="97">
        <f t="shared" si="3"/>
        <v>0</v>
      </c>
      <c r="H184" s="105"/>
      <c r="I184" s="105"/>
    </row>
    <row r="185">
      <c r="A185" s="102"/>
      <c r="B185" s="105"/>
      <c r="C185" s="103"/>
      <c r="D185" s="104"/>
      <c r="E185" s="105"/>
      <c r="F185" s="96">
        <f t="shared" si="2"/>
        <v>0</v>
      </c>
      <c r="G185" s="97">
        <f t="shared" si="3"/>
        <v>0</v>
      </c>
      <c r="H185" s="105"/>
      <c r="I185" s="105"/>
    </row>
    <row r="186">
      <c r="A186" s="102"/>
      <c r="B186" s="105"/>
      <c r="C186" s="103"/>
      <c r="D186" s="104"/>
      <c r="E186" s="105"/>
      <c r="F186" s="96">
        <f t="shared" si="2"/>
        <v>0</v>
      </c>
      <c r="G186" s="97">
        <f t="shared" si="3"/>
        <v>0</v>
      </c>
      <c r="H186" s="105"/>
      <c r="I186" s="105"/>
    </row>
    <row r="187">
      <c r="A187" s="102"/>
      <c r="B187" s="105"/>
      <c r="C187" s="103"/>
      <c r="D187" s="104"/>
      <c r="E187" s="105"/>
      <c r="F187" s="96">
        <f t="shared" si="2"/>
        <v>0</v>
      </c>
      <c r="G187" s="97">
        <f t="shared" si="3"/>
        <v>0</v>
      </c>
      <c r="H187" s="105"/>
      <c r="I187" s="105"/>
    </row>
    <row r="188">
      <c r="A188" s="102"/>
      <c r="B188" s="105"/>
      <c r="C188" s="103"/>
      <c r="D188" s="104"/>
      <c r="E188" s="105"/>
      <c r="F188" s="96">
        <f t="shared" si="2"/>
        <v>0</v>
      </c>
      <c r="G188" s="97">
        <f t="shared" si="3"/>
        <v>0</v>
      </c>
      <c r="H188" s="105"/>
      <c r="I188" s="105"/>
    </row>
    <row r="189">
      <c r="A189" s="102"/>
      <c r="B189" s="105"/>
      <c r="C189" s="103"/>
      <c r="D189" s="104"/>
      <c r="E189" s="105"/>
      <c r="F189" s="96">
        <f t="shared" si="2"/>
        <v>0</v>
      </c>
      <c r="G189" s="97">
        <f t="shared" si="3"/>
        <v>0</v>
      </c>
      <c r="H189" s="105"/>
      <c r="I189" s="105"/>
    </row>
    <row r="190">
      <c r="A190" s="102"/>
      <c r="B190" s="105"/>
      <c r="C190" s="103"/>
      <c r="D190" s="104"/>
      <c r="E190" s="105"/>
      <c r="F190" s="96">
        <f t="shared" si="2"/>
        <v>0</v>
      </c>
      <c r="G190" s="97">
        <f t="shared" si="3"/>
        <v>0</v>
      </c>
      <c r="H190" s="105"/>
      <c r="I190" s="105"/>
    </row>
    <row r="191">
      <c r="A191" s="102"/>
      <c r="B191" s="105"/>
      <c r="C191" s="103"/>
      <c r="D191" s="104"/>
      <c r="E191" s="105"/>
      <c r="F191" s="96">
        <f t="shared" si="2"/>
        <v>0</v>
      </c>
      <c r="G191" s="97">
        <f t="shared" si="3"/>
        <v>0</v>
      </c>
      <c r="H191" s="105"/>
      <c r="I191" s="105"/>
    </row>
    <row r="192">
      <c r="A192" s="102"/>
      <c r="B192" s="105"/>
      <c r="C192" s="103"/>
      <c r="D192" s="104"/>
      <c r="E192" s="105"/>
      <c r="F192" s="96">
        <f t="shared" si="2"/>
        <v>0</v>
      </c>
      <c r="G192" s="97">
        <f t="shared" si="3"/>
        <v>0</v>
      </c>
      <c r="H192" s="105"/>
      <c r="I192" s="105"/>
    </row>
    <row r="193">
      <c r="A193" s="102"/>
      <c r="B193" s="105"/>
      <c r="C193" s="103"/>
      <c r="D193" s="104"/>
      <c r="E193" s="105"/>
      <c r="F193" s="96">
        <f t="shared" si="2"/>
        <v>0</v>
      </c>
      <c r="G193" s="97">
        <f t="shared" si="3"/>
        <v>0</v>
      </c>
      <c r="H193" s="105"/>
      <c r="I193" s="105"/>
    </row>
    <row r="194">
      <c r="A194" s="102"/>
      <c r="B194" s="105"/>
      <c r="C194" s="103"/>
      <c r="D194" s="104"/>
      <c r="E194" s="105"/>
      <c r="F194" s="96">
        <f t="shared" si="2"/>
        <v>0</v>
      </c>
      <c r="G194" s="97">
        <f t="shared" si="3"/>
        <v>0</v>
      </c>
      <c r="H194" s="105"/>
      <c r="I194" s="105"/>
    </row>
    <row r="195">
      <c r="A195" s="102"/>
      <c r="B195" s="105"/>
      <c r="C195" s="103"/>
      <c r="D195" s="104"/>
      <c r="E195" s="105"/>
      <c r="F195" s="96">
        <f t="shared" si="2"/>
        <v>0</v>
      </c>
      <c r="G195" s="97">
        <f t="shared" si="3"/>
        <v>0</v>
      </c>
      <c r="H195" s="105"/>
      <c r="I195" s="105"/>
    </row>
    <row r="196">
      <c r="A196" s="102"/>
      <c r="B196" s="105"/>
      <c r="C196" s="103"/>
      <c r="D196" s="104"/>
      <c r="E196" s="105"/>
      <c r="F196" s="96">
        <f t="shared" si="2"/>
        <v>0</v>
      </c>
      <c r="G196" s="97">
        <f t="shared" si="3"/>
        <v>0</v>
      </c>
      <c r="H196" s="105"/>
      <c r="I196" s="105"/>
    </row>
    <row r="197">
      <c r="A197" s="102"/>
      <c r="B197" s="105"/>
      <c r="C197" s="103"/>
      <c r="D197" s="104"/>
      <c r="E197" s="105"/>
      <c r="F197" s="96">
        <f t="shared" si="2"/>
        <v>0</v>
      </c>
      <c r="G197" s="97">
        <f t="shared" si="3"/>
        <v>0</v>
      </c>
      <c r="H197" s="105"/>
      <c r="I197" s="105"/>
    </row>
    <row r="198">
      <c r="A198" s="102"/>
      <c r="B198" s="105"/>
      <c r="C198" s="103"/>
      <c r="D198" s="104"/>
      <c r="E198" s="105"/>
      <c r="F198" s="96">
        <f t="shared" si="2"/>
        <v>0</v>
      </c>
      <c r="G198" s="97">
        <f t="shared" si="3"/>
        <v>0</v>
      </c>
      <c r="H198" s="105"/>
      <c r="I198" s="105"/>
    </row>
    <row r="199">
      <c r="A199" s="102"/>
      <c r="B199" s="105"/>
      <c r="C199" s="103"/>
      <c r="D199" s="104"/>
      <c r="E199" s="105"/>
      <c r="F199" s="96">
        <f t="shared" si="2"/>
        <v>0</v>
      </c>
      <c r="G199" s="97">
        <f t="shared" si="3"/>
        <v>0</v>
      </c>
      <c r="H199" s="105"/>
      <c r="I199" s="105"/>
    </row>
    <row r="200">
      <c r="A200" s="102"/>
      <c r="B200" s="105"/>
      <c r="C200" s="103"/>
      <c r="D200" s="104"/>
      <c r="E200" s="105"/>
      <c r="F200" s="96">
        <f t="shared" si="2"/>
        <v>0</v>
      </c>
      <c r="G200" s="97">
        <f t="shared" si="3"/>
        <v>0</v>
      </c>
      <c r="H200" s="105"/>
      <c r="I200" s="105"/>
    </row>
    <row r="201">
      <c r="A201" s="102"/>
      <c r="B201" s="105"/>
      <c r="C201" s="103"/>
      <c r="D201" s="104"/>
      <c r="E201" s="105"/>
      <c r="F201" s="96">
        <f t="shared" si="2"/>
        <v>0</v>
      </c>
      <c r="G201" s="97">
        <f t="shared" si="3"/>
        <v>0</v>
      </c>
      <c r="H201" s="105"/>
      <c r="I201" s="105"/>
    </row>
    <row r="202">
      <c r="A202" s="102"/>
      <c r="B202" s="105"/>
      <c r="C202" s="103"/>
      <c r="D202" s="104"/>
      <c r="E202" s="105"/>
      <c r="F202" s="96">
        <f t="shared" si="2"/>
        <v>0</v>
      </c>
      <c r="G202" s="97">
        <f t="shared" si="3"/>
        <v>0</v>
      </c>
      <c r="H202" s="105"/>
      <c r="I202" s="105"/>
    </row>
    <row r="203">
      <c r="A203" s="102"/>
      <c r="B203" s="105"/>
      <c r="C203" s="103"/>
      <c r="D203" s="104"/>
      <c r="E203" s="105"/>
      <c r="F203" s="96">
        <f t="shared" si="2"/>
        <v>0</v>
      </c>
      <c r="G203" s="97">
        <f t="shared" si="3"/>
        <v>0</v>
      </c>
      <c r="H203" s="105"/>
      <c r="I203" s="105"/>
    </row>
    <row r="204">
      <c r="A204" s="102"/>
      <c r="B204" s="105"/>
      <c r="C204" s="103"/>
      <c r="D204" s="104"/>
      <c r="E204" s="105"/>
      <c r="F204" s="96">
        <f t="shared" si="2"/>
        <v>0</v>
      </c>
      <c r="G204" s="97">
        <f t="shared" si="3"/>
        <v>0</v>
      </c>
      <c r="H204" s="105"/>
      <c r="I204" s="105"/>
    </row>
    <row r="205">
      <c r="A205" s="102"/>
      <c r="B205" s="105"/>
      <c r="C205" s="103"/>
      <c r="D205" s="104"/>
      <c r="E205" s="105"/>
      <c r="F205" s="96">
        <f t="shared" si="2"/>
        <v>0</v>
      </c>
      <c r="G205" s="97">
        <f t="shared" si="3"/>
        <v>0</v>
      </c>
      <c r="H205" s="105"/>
      <c r="I205" s="105"/>
    </row>
    <row r="206">
      <c r="A206" s="102"/>
      <c r="B206" s="105"/>
      <c r="C206" s="103"/>
      <c r="D206" s="104"/>
      <c r="E206" s="105"/>
      <c r="F206" s="96">
        <f t="shared" si="2"/>
        <v>0</v>
      </c>
      <c r="G206" s="97">
        <f t="shared" si="3"/>
        <v>0</v>
      </c>
      <c r="H206" s="105"/>
      <c r="I206" s="105"/>
    </row>
    <row r="207">
      <c r="A207" s="102"/>
      <c r="B207" s="105"/>
      <c r="C207" s="103"/>
      <c r="D207" s="104"/>
      <c r="E207" s="105"/>
      <c r="F207" s="96">
        <f t="shared" si="2"/>
        <v>0</v>
      </c>
      <c r="G207" s="97">
        <f t="shared" si="3"/>
        <v>0</v>
      </c>
      <c r="H207" s="105"/>
      <c r="I207" s="105"/>
    </row>
    <row r="208">
      <c r="A208" s="102"/>
      <c r="B208" s="105"/>
      <c r="C208" s="103"/>
      <c r="D208" s="104"/>
      <c r="E208" s="105"/>
      <c r="F208" s="96">
        <f t="shared" si="2"/>
        <v>0</v>
      </c>
      <c r="G208" s="97">
        <f t="shared" si="3"/>
        <v>0</v>
      </c>
      <c r="H208" s="105"/>
      <c r="I208" s="105"/>
    </row>
    <row r="209">
      <c r="A209" s="102"/>
      <c r="B209" s="105"/>
      <c r="C209" s="103"/>
      <c r="D209" s="104"/>
      <c r="E209" s="105"/>
      <c r="F209" s="96">
        <f t="shared" si="2"/>
        <v>0</v>
      </c>
      <c r="G209" s="97">
        <f t="shared" si="3"/>
        <v>0</v>
      </c>
      <c r="H209" s="105"/>
      <c r="I209" s="105"/>
    </row>
    <row r="210">
      <c r="A210" s="102"/>
      <c r="B210" s="105"/>
      <c r="C210" s="103"/>
      <c r="D210" s="104"/>
      <c r="E210" s="105"/>
      <c r="F210" s="96">
        <f t="shared" si="2"/>
        <v>0</v>
      </c>
      <c r="G210" s="97">
        <f t="shared" si="3"/>
        <v>0</v>
      </c>
      <c r="H210" s="105"/>
      <c r="I210" s="105"/>
    </row>
    <row r="211">
      <c r="A211" s="102"/>
      <c r="B211" s="105"/>
      <c r="C211" s="103"/>
      <c r="D211" s="104"/>
      <c r="E211" s="105"/>
      <c r="F211" s="96">
        <f t="shared" si="2"/>
        <v>0</v>
      </c>
      <c r="G211" s="97">
        <f t="shared" si="3"/>
        <v>0</v>
      </c>
      <c r="H211" s="105"/>
      <c r="I211" s="105"/>
    </row>
    <row r="212">
      <c r="A212" s="102"/>
      <c r="B212" s="105"/>
      <c r="C212" s="103"/>
      <c r="D212" s="104"/>
      <c r="E212" s="105"/>
      <c r="F212" s="96">
        <f t="shared" si="2"/>
        <v>0</v>
      </c>
      <c r="G212" s="97">
        <f t="shared" si="3"/>
        <v>0</v>
      </c>
      <c r="H212" s="105"/>
      <c r="I212" s="105"/>
    </row>
    <row r="213">
      <c r="A213" s="102"/>
      <c r="B213" s="105"/>
      <c r="C213" s="103"/>
      <c r="D213" s="104"/>
      <c r="E213" s="105"/>
      <c r="F213" s="96">
        <f t="shared" si="2"/>
        <v>0</v>
      </c>
      <c r="G213" s="97">
        <f t="shared" si="3"/>
        <v>0</v>
      </c>
      <c r="H213" s="105"/>
      <c r="I213" s="105"/>
    </row>
    <row r="214">
      <c r="A214" s="102"/>
      <c r="B214" s="105"/>
      <c r="C214" s="103"/>
      <c r="D214" s="104"/>
      <c r="E214" s="105"/>
      <c r="F214" s="96">
        <f t="shared" si="2"/>
        <v>0</v>
      </c>
      <c r="G214" s="97">
        <f t="shared" si="3"/>
        <v>0</v>
      </c>
      <c r="H214" s="105"/>
      <c r="I214" s="105"/>
    </row>
    <row r="215">
      <c r="A215" s="102"/>
      <c r="B215" s="105"/>
      <c r="C215" s="103"/>
      <c r="D215" s="104"/>
      <c r="E215" s="105"/>
      <c r="F215" s="96">
        <f t="shared" si="2"/>
        <v>0</v>
      </c>
      <c r="G215" s="97">
        <f t="shared" si="3"/>
        <v>0</v>
      </c>
      <c r="H215" s="105"/>
      <c r="I215" s="105"/>
    </row>
    <row r="216">
      <c r="A216" s="102"/>
      <c r="B216" s="105"/>
      <c r="C216" s="103"/>
      <c r="D216" s="104"/>
      <c r="E216" s="105"/>
      <c r="F216" s="96">
        <f t="shared" si="2"/>
        <v>0</v>
      </c>
      <c r="G216" s="97">
        <f t="shared" si="3"/>
        <v>0</v>
      </c>
      <c r="H216" s="105"/>
      <c r="I216" s="105"/>
    </row>
    <row r="217">
      <c r="A217" s="102"/>
      <c r="B217" s="105"/>
      <c r="C217" s="103"/>
      <c r="D217" s="104"/>
      <c r="E217" s="105"/>
      <c r="F217" s="96">
        <f t="shared" si="2"/>
        <v>0</v>
      </c>
      <c r="G217" s="97">
        <f t="shared" si="3"/>
        <v>0</v>
      </c>
      <c r="H217" s="105"/>
      <c r="I217" s="105"/>
    </row>
    <row r="218">
      <c r="A218" s="102"/>
      <c r="B218" s="105"/>
      <c r="C218" s="103"/>
      <c r="D218" s="104"/>
      <c r="E218" s="105"/>
      <c r="F218" s="96">
        <f t="shared" si="2"/>
        <v>0</v>
      </c>
      <c r="G218" s="97">
        <f t="shared" si="3"/>
        <v>0</v>
      </c>
      <c r="H218" s="105"/>
      <c r="I218" s="105"/>
    </row>
    <row r="219">
      <c r="A219" s="102"/>
      <c r="B219" s="105"/>
      <c r="C219" s="103"/>
      <c r="D219" s="104"/>
      <c r="E219" s="105"/>
      <c r="F219" s="96">
        <f t="shared" si="2"/>
        <v>0</v>
      </c>
      <c r="G219" s="97">
        <f t="shared" si="3"/>
        <v>0</v>
      </c>
      <c r="H219" s="105"/>
      <c r="I219" s="105"/>
    </row>
    <row r="220">
      <c r="A220" s="102"/>
      <c r="B220" s="105"/>
      <c r="C220" s="103"/>
      <c r="D220" s="104"/>
      <c r="E220" s="105"/>
      <c r="F220" s="96">
        <f t="shared" si="2"/>
        <v>0</v>
      </c>
      <c r="G220" s="97">
        <f t="shared" si="3"/>
        <v>0</v>
      </c>
      <c r="H220" s="105"/>
      <c r="I220" s="105"/>
    </row>
    <row r="221">
      <c r="A221" s="102"/>
      <c r="B221" s="105"/>
      <c r="C221" s="103"/>
      <c r="D221" s="104"/>
      <c r="E221" s="105"/>
      <c r="F221" s="96">
        <f t="shared" si="2"/>
        <v>0</v>
      </c>
      <c r="G221" s="97">
        <f t="shared" si="3"/>
        <v>0</v>
      </c>
      <c r="H221" s="105"/>
      <c r="I221" s="105"/>
    </row>
    <row r="222">
      <c r="A222" s="102"/>
      <c r="B222" s="105"/>
      <c r="C222" s="103"/>
      <c r="D222" s="104"/>
      <c r="E222" s="105"/>
      <c r="F222" s="96">
        <f t="shared" si="2"/>
        <v>0</v>
      </c>
      <c r="G222" s="97">
        <f t="shared" si="3"/>
        <v>0</v>
      </c>
      <c r="H222" s="105"/>
      <c r="I222" s="105"/>
    </row>
    <row r="223">
      <c r="A223" s="102"/>
      <c r="B223" s="105"/>
      <c r="C223" s="103"/>
      <c r="D223" s="104"/>
      <c r="E223" s="105"/>
      <c r="F223" s="96">
        <f t="shared" si="2"/>
        <v>0</v>
      </c>
      <c r="G223" s="97">
        <f t="shared" si="3"/>
        <v>0</v>
      </c>
      <c r="H223" s="105"/>
      <c r="I223" s="105"/>
    </row>
    <row r="224">
      <c r="A224" s="102"/>
      <c r="B224" s="105"/>
      <c r="C224" s="103"/>
      <c r="D224" s="104"/>
      <c r="E224" s="105"/>
      <c r="F224" s="96">
        <f t="shared" si="2"/>
        <v>0</v>
      </c>
      <c r="G224" s="97">
        <f t="shared" si="3"/>
        <v>0</v>
      </c>
      <c r="H224" s="105"/>
      <c r="I224" s="105"/>
    </row>
    <row r="225">
      <c r="A225" s="102"/>
      <c r="B225" s="105"/>
      <c r="C225" s="103"/>
      <c r="D225" s="104"/>
      <c r="E225" s="105"/>
      <c r="F225" s="96">
        <f t="shared" si="2"/>
        <v>0</v>
      </c>
      <c r="G225" s="97">
        <f t="shared" si="3"/>
        <v>0</v>
      </c>
      <c r="H225" s="105"/>
      <c r="I225" s="105"/>
    </row>
    <row r="226">
      <c r="A226" s="102"/>
      <c r="B226" s="105"/>
      <c r="C226" s="103"/>
      <c r="D226" s="104"/>
      <c r="E226" s="105"/>
      <c r="F226" s="96">
        <f t="shared" si="2"/>
        <v>0</v>
      </c>
      <c r="G226" s="97">
        <f t="shared" si="3"/>
        <v>0</v>
      </c>
      <c r="H226" s="105"/>
      <c r="I226" s="105"/>
    </row>
    <row r="227">
      <c r="A227" s="102"/>
      <c r="B227" s="105"/>
      <c r="C227" s="103"/>
      <c r="D227" s="104"/>
      <c r="E227" s="105"/>
      <c r="F227" s="96">
        <f t="shared" si="2"/>
        <v>0</v>
      </c>
      <c r="G227" s="97">
        <f t="shared" si="3"/>
        <v>0</v>
      </c>
      <c r="H227" s="105"/>
      <c r="I227" s="105"/>
    </row>
    <row r="228">
      <c r="A228" s="102"/>
      <c r="B228" s="105"/>
      <c r="C228" s="103"/>
      <c r="D228" s="104"/>
      <c r="E228" s="105"/>
      <c r="F228" s="96">
        <f t="shared" si="2"/>
        <v>0</v>
      </c>
      <c r="G228" s="97">
        <f t="shared" si="3"/>
        <v>0</v>
      </c>
      <c r="H228" s="105"/>
      <c r="I228" s="105"/>
    </row>
    <row r="229">
      <c r="A229" s="102"/>
      <c r="B229" s="105"/>
      <c r="C229" s="103"/>
      <c r="D229" s="104"/>
      <c r="E229" s="105"/>
      <c r="F229" s="96">
        <f t="shared" si="2"/>
        <v>0</v>
      </c>
      <c r="G229" s="97">
        <f t="shared" si="3"/>
        <v>0</v>
      </c>
      <c r="H229" s="105"/>
      <c r="I229" s="105"/>
    </row>
    <row r="230">
      <c r="A230" s="102"/>
      <c r="B230" s="105"/>
      <c r="C230" s="103"/>
      <c r="D230" s="104"/>
      <c r="E230" s="105"/>
      <c r="F230" s="96">
        <f t="shared" si="2"/>
        <v>0</v>
      </c>
      <c r="G230" s="97">
        <f t="shared" si="3"/>
        <v>0</v>
      </c>
      <c r="H230" s="105"/>
      <c r="I230" s="105"/>
    </row>
    <row r="231">
      <c r="A231" s="102"/>
      <c r="B231" s="105"/>
      <c r="C231" s="103"/>
      <c r="D231" s="104"/>
      <c r="E231" s="105"/>
      <c r="F231" s="96">
        <f t="shared" si="2"/>
        <v>0</v>
      </c>
      <c r="G231" s="97">
        <f t="shared" si="3"/>
        <v>0</v>
      </c>
      <c r="H231" s="105"/>
      <c r="I231" s="105"/>
    </row>
    <row r="232">
      <c r="A232" s="102"/>
      <c r="B232" s="105"/>
      <c r="C232" s="103"/>
      <c r="D232" s="104"/>
      <c r="E232" s="105"/>
      <c r="F232" s="96">
        <f t="shared" si="2"/>
        <v>0</v>
      </c>
      <c r="G232" s="97">
        <f t="shared" si="3"/>
        <v>0</v>
      </c>
      <c r="H232" s="105"/>
      <c r="I232" s="105"/>
    </row>
    <row r="233">
      <c r="A233" s="102"/>
      <c r="B233" s="105"/>
      <c r="C233" s="103"/>
      <c r="D233" s="104"/>
      <c r="E233" s="105"/>
      <c r="F233" s="96">
        <f t="shared" si="2"/>
        <v>0</v>
      </c>
      <c r="G233" s="97">
        <f t="shared" si="3"/>
        <v>0</v>
      </c>
      <c r="H233" s="105"/>
      <c r="I233" s="105"/>
    </row>
    <row r="234">
      <c r="A234" s="102"/>
      <c r="B234" s="105"/>
      <c r="C234" s="103"/>
      <c r="D234" s="104"/>
      <c r="E234" s="105"/>
      <c r="F234" s="96">
        <f t="shared" si="2"/>
        <v>0</v>
      </c>
      <c r="G234" s="97">
        <f t="shared" si="3"/>
        <v>0</v>
      </c>
      <c r="H234" s="105"/>
      <c r="I234" s="105"/>
    </row>
    <row r="235">
      <c r="A235" s="102"/>
      <c r="B235" s="105"/>
      <c r="C235" s="103"/>
      <c r="D235" s="104"/>
      <c r="E235" s="105"/>
      <c r="F235" s="96">
        <f t="shared" si="2"/>
        <v>0</v>
      </c>
      <c r="G235" s="97">
        <f t="shared" si="3"/>
        <v>0</v>
      </c>
      <c r="H235" s="105"/>
      <c r="I235" s="105"/>
    </row>
    <row r="236">
      <c r="A236" s="102"/>
      <c r="B236" s="105"/>
      <c r="C236" s="103"/>
      <c r="D236" s="104"/>
      <c r="E236" s="105"/>
      <c r="F236" s="96">
        <f t="shared" si="2"/>
        <v>0</v>
      </c>
      <c r="G236" s="97">
        <f t="shared" si="3"/>
        <v>0</v>
      </c>
      <c r="H236" s="105"/>
      <c r="I236" s="105"/>
    </row>
    <row r="237">
      <c r="A237" s="102"/>
      <c r="B237" s="105"/>
      <c r="C237" s="103"/>
      <c r="D237" s="104"/>
      <c r="E237" s="105"/>
      <c r="F237" s="96">
        <f t="shared" si="2"/>
        <v>0</v>
      </c>
      <c r="G237" s="97">
        <f t="shared" si="3"/>
        <v>0</v>
      </c>
      <c r="H237" s="105"/>
      <c r="I237" s="105"/>
    </row>
    <row r="238">
      <c r="A238" s="102"/>
      <c r="B238" s="105"/>
      <c r="C238" s="103"/>
      <c r="D238" s="104"/>
      <c r="E238" s="105"/>
      <c r="F238" s="96">
        <f t="shared" si="2"/>
        <v>0</v>
      </c>
      <c r="G238" s="97">
        <f t="shared" si="3"/>
        <v>0</v>
      </c>
      <c r="H238" s="105"/>
      <c r="I238" s="105"/>
    </row>
    <row r="239">
      <c r="A239" s="102"/>
      <c r="B239" s="105"/>
      <c r="C239" s="103"/>
      <c r="D239" s="104"/>
      <c r="E239" s="105"/>
      <c r="F239" s="96">
        <f t="shared" si="2"/>
        <v>0</v>
      </c>
      <c r="G239" s="97">
        <f t="shared" si="3"/>
        <v>0</v>
      </c>
      <c r="H239" s="105"/>
      <c r="I239" s="105"/>
    </row>
    <row r="240">
      <c r="A240" s="102"/>
      <c r="B240" s="105"/>
      <c r="C240" s="103"/>
      <c r="D240" s="104"/>
      <c r="E240" s="105"/>
      <c r="F240" s="96">
        <f t="shared" si="2"/>
        <v>0</v>
      </c>
      <c r="G240" s="97">
        <f t="shared" si="3"/>
        <v>0</v>
      </c>
      <c r="H240" s="105"/>
      <c r="I240" s="105"/>
    </row>
    <row r="241">
      <c r="A241" s="102"/>
      <c r="B241" s="105"/>
      <c r="C241" s="103"/>
      <c r="D241" s="104"/>
      <c r="E241" s="105"/>
      <c r="F241" s="96">
        <f t="shared" si="2"/>
        <v>0</v>
      </c>
      <c r="G241" s="97">
        <f t="shared" si="3"/>
        <v>0</v>
      </c>
      <c r="H241" s="105"/>
      <c r="I241" s="105"/>
    </row>
    <row r="242">
      <c r="A242" s="102"/>
      <c r="B242" s="105"/>
      <c r="C242" s="103"/>
      <c r="D242" s="104"/>
      <c r="E242" s="105"/>
      <c r="F242" s="96">
        <f t="shared" si="2"/>
        <v>0</v>
      </c>
      <c r="G242" s="97">
        <f t="shared" si="3"/>
        <v>0</v>
      </c>
      <c r="H242" s="105"/>
      <c r="I242" s="105"/>
    </row>
    <row r="243">
      <c r="A243" s="102"/>
      <c r="B243" s="105"/>
      <c r="C243" s="103"/>
      <c r="D243" s="104"/>
      <c r="E243" s="105"/>
      <c r="F243" s="96">
        <f t="shared" si="2"/>
        <v>0</v>
      </c>
      <c r="G243" s="97">
        <f t="shared" si="3"/>
        <v>0</v>
      </c>
      <c r="H243" s="105"/>
      <c r="I243" s="105"/>
    </row>
    <row r="244">
      <c r="A244" s="102"/>
      <c r="B244" s="105"/>
      <c r="C244" s="103"/>
      <c r="D244" s="104"/>
      <c r="E244" s="105"/>
      <c r="F244" s="96">
        <f t="shared" si="2"/>
        <v>0</v>
      </c>
      <c r="G244" s="97">
        <f t="shared" si="3"/>
        <v>0</v>
      </c>
      <c r="H244" s="105"/>
      <c r="I244" s="105"/>
    </row>
    <row r="245">
      <c r="A245" s="102"/>
      <c r="B245" s="105"/>
      <c r="C245" s="103"/>
      <c r="D245" s="104"/>
      <c r="E245" s="105"/>
      <c r="F245" s="96">
        <f t="shared" si="2"/>
        <v>0</v>
      </c>
      <c r="G245" s="97">
        <f t="shared" si="3"/>
        <v>0</v>
      </c>
      <c r="H245" s="105"/>
      <c r="I245" s="105"/>
    </row>
    <row r="246">
      <c r="A246" s="102"/>
      <c r="B246" s="105"/>
      <c r="C246" s="103"/>
      <c r="D246" s="104"/>
      <c r="E246" s="105"/>
      <c r="F246" s="96">
        <f t="shared" si="2"/>
        <v>0</v>
      </c>
      <c r="G246" s="97">
        <f t="shared" si="3"/>
        <v>0</v>
      </c>
      <c r="H246" s="105"/>
      <c r="I246" s="105"/>
    </row>
    <row r="247">
      <c r="A247" s="102"/>
      <c r="B247" s="105"/>
      <c r="C247" s="103"/>
      <c r="D247" s="104"/>
      <c r="E247" s="105"/>
      <c r="F247" s="96">
        <f t="shared" si="2"/>
        <v>0</v>
      </c>
      <c r="G247" s="97">
        <f t="shared" si="3"/>
        <v>0</v>
      </c>
      <c r="H247" s="105"/>
      <c r="I247" s="105"/>
    </row>
    <row r="248">
      <c r="A248" s="102"/>
      <c r="B248" s="105"/>
      <c r="C248" s="103"/>
      <c r="D248" s="104"/>
      <c r="E248" s="105"/>
      <c r="F248" s="96">
        <f t="shared" si="2"/>
        <v>0</v>
      </c>
      <c r="G248" s="97">
        <f t="shared" si="3"/>
        <v>0</v>
      </c>
      <c r="H248" s="105"/>
      <c r="I248" s="105"/>
    </row>
    <row r="249">
      <c r="A249" s="102"/>
      <c r="B249" s="105"/>
      <c r="C249" s="103"/>
      <c r="D249" s="104"/>
      <c r="E249" s="105"/>
      <c r="F249" s="96">
        <f t="shared" si="2"/>
        <v>0</v>
      </c>
      <c r="G249" s="97">
        <f t="shared" si="3"/>
        <v>0</v>
      </c>
      <c r="H249" s="105"/>
      <c r="I249" s="105"/>
    </row>
    <row r="250">
      <c r="A250" s="102"/>
      <c r="B250" s="105"/>
      <c r="C250" s="103"/>
      <c r="D250" s="104"/>
      <c r="E250" s="105"/>
      <c r="F250" s="96">
        <f t="shared" si="2"/>
        <v>0</v>
      </c>
      <c r="G250" s="97">
        <f t="shared" si="3"/>
        <v>0</v>
      </c>
      <c r="H250" s="105"/>
      <c r="I250" s="105"/>
    </row>
    <row r="251">
      <c r="A251" s="102"/>
      <c r="B251" s="105"/>
      <c r="C251" s="103"/>
      <c r="D251" s="104"/>
      <c r="E251" s="105"/>
      <c r="F251" s="96">
        <f t="shared" si="2"/>
        <v>0</v>
      </c>
      <c r="G251" s="97">
        <f t="shared" si="3"/>
        <v>0</v>
      </c>
      <c r="H251" s="105"/>
      <c r="I251" s="105"/>
    </row>
    <row r="252">
      <c r="A252" s="102"/>
      <c r="B252" s="105"/>
      <c r="C252" s="103"/>
      <c r="D252" s="104"/>
      <c r="E252" s="105"/>
      <c r="F252" s="96">
        <f t="shared" si="2"/>
        <v>0</v>
      </c>
      <c r="G252" s="97">
        <f t="shared" si="3"/>
        <v>0</v>
      </c>
      <c r="H252" s="105"/>
      <c r="I252" s="105"/>
    </row>
    <row r="253">
      <c r="A253" s="102"/>
      <c r="B253" s="105"/>
      <c r="C253" s="103"/>
      <c r="D253" s="104"/>
      <c r="E253" s="105"/>
      <c r="F253" s="96">
        <f t="shared" si="2"/>
        <v>0</v>
      </c>
      <c r="G253" s="97">
        <f t="shared" si="3"/>
        <v>0</v>
      </c>
      <c r="H253" s="105"/>
      <c r="I253" s="105"/>
    </row>
    <row r="254">
      <c r="A254" s="102"/>
      <c r="B254" s="105"/>
      <c r="C254" s="103"/>
      <c r="D254" s="104"/>
      <c r="E254" s="105"/>
      <c r="F254" s="96">
        <f t="shared" si="2"/>
        <v>0</v>
      </c>
      <c r="G254" s="97">
        <f t="shared" si="3"/>
        <v>0</v>
      </c>
      <c r="H254" s="105"/>
      <c r="I254" s="105"/>
    </row>
    <row r="255">
      <c r="A255" s="102"/>
      <c r="B255" s="105"/>
      <c r="C255" s="103"/>
      <c r="D255" s="104"/>
      <c r="E255" s="105"/>
      <c r="F255" s="96">
        <f t="shared" si="2"/>
        <v>0</v>
      </c>
      <c r="G255" s="97">
        <f t="shared" si="3"/>
        <v>0</v>
      </c>
      <c r="H255" s="105"/>
      <c r="I255" s="105"/>
    </row>
    <row r="256">
      <c r="A256" s="102"/>
      <c r="B256" s="105"/>
      <c r="C256" s="103"/>
      <c r="D256" s="104"/>
      <c r="E256" s="105"/>
      <c r="F256" s="96">
        <f t="shared" si="2"/>
        <v>0</v>
      </c>
      <c r="G256" s="97">
        <f t="shared" si="3"/>
        <v>0</v>
      </c>
      <c r="H256" s="105"/>
      <c r="I256" s="105"/>
    </row>
    <row r="257">
      <c r="A257" s="102"/>
      <c r="B257" s="105"/>
      <c r="C257" s="103"/>
      <c r="D257" s="104"/>
      <c r="E257" s="105"/>
      <c r="F257" s="96">
        <f t="shared" si="2"/>
        <v>0</v>
      </c>
      <c r="G257" s="97">
        <f t="shared" si="3"/>
        <v>0</v>
      </c>
      <c r="H257" s="105"/>
      <c r="I257" s="105"/>
    </row>
    <row r="258">
      <c r="A258" s="102"/>
      <c r="B258" s="105"/>
      <c r="C258" s="103"/>
      <c r="D258" s="104"/>
      <c r="E258" s="105"/>
      <c r="F258" s="96">
        <f t="shared" si="2"/>
        <v>0</v>
      </c>
      <c r="G258" s="97">
        <f t="shared" si="3"/>
        <v>0</v>
      </c>
      <c r="H258" s="105"/>
      <c r="I258" s="105"/>
    </row>
    <row r="259">
      <c r="A259" s="102"/>
      <c r="B259" s="105"/>
      <c r="C259" s="103"/>
      <c r="D259" s="104"/>
      <c r="E259" s="105"/>
      <c r="F259" s="96">
        <f t="shared" si="2"/>
        <v>0</v>
      </c>
      <c r="G259" s="97">
        <f t="shared" si="3"/>
        <v>0</v>
      </c>
      <c r="H259" s="105"/>
      <c r="I259" s="105"/>
    </row>
    <row r="260">
      <c r="A260" s="102"/>
      <c r="B260" s="105"/>
      <c r="C260" s="103"/>
      <c r="D260" s="104"/>
      <c r="E260" s="105"/>
      <c r="F260" s="96">
        <f t="shared" si="2"/>
        <v>0</v>
      </c>
      <c r="G260" s="97">
        <f t="shared" si="3"/>
        <v>0</v>
      </c>
      <c r="H260" s="105"/>
      <c r="I260" s="105"/>
    </row>
    <row r="261">
      <c r="A261" s="102"/>
      <c r="B261" s="105"/>
      <c r="C261" s="103"/>
      <c r="D261" s="104"/>
      <c r="E261" s="105"/>
      <c r="F261" s="96">
        <f t="shared" si="2"/>
        <v>0</v>
      </c>
      <c r="G261" s="97">
        <f t="shared" si="3"/>
        <v>0</v>
      </c>
      <c r="H261" s="105"/>
      <c r="I261" s="105"/>
    </row>
    <row r="262">
      <c r="A262" s="102"/>
      <c r="B262" s="105"/>
      <c r="C262" s="103"/>
      <c r="D262" s="104"/>
      <c r="E262" s="105"/>
      <c r="F262" s="96">
        <f t="shared" si="2"/>
        <v>0</v>
      </c>
      <c r="G262" s="97">
        <f t="shared" si="3"/>
        <v>0</v>
      </c>
      <c r="H262" s="105"/>
      <c r="I262" s="105"/>
    </row>
    <row r="263">
      <c r="A263" s="102"/>
      <c r="B263" s="105"/>
      <c r="C263" s="103"/>
      <c r="D263" s="104"/>
      <c r="E263" s="105"/>
      <c r="F263" s="96">
        <f t="shared" si="2"/>
        <v>0</v>
      </c>
      <c r="G263" s="97">
        <f t="shared" si="3"/>
        <v>0</v>
      </c>
      <c r="H263" s="105"/>
      <c r="I263" s="105"/>
    </row>
    <row r="264">
      <c r="A264" s="102"/>
      <c r="B264" s="105"/>
      <c r="C264" s="103"/>
      <c r="D264" s="104"/>
      <c r="E264" s="105"/>
      <c r="F264" s="96">
        <f t="shared" si="2"/>
        <v>0</v>
      </c>
      <c r="G264" s="97">
        <f t="shared" si="3"/>
        <v>0</v>
      </c>
      <c r="H264" s="105"/>
      <c r="I264" s="105"/>
    </row>
    <row r="265">
      <c r="A265" s="102"/>
      <c r="B265" s="105"/>
      <c r="C265" s="103"/>
      <c r="D265" s="104"/>
      <c r="E265" s="105"/>
      <c r="F265" s="96">
        <f t="shared" si="2"/>
        <v>0</v>
      </c>
      <c r="G265" s="97">
        <f t="shared" si="3"/>
        <v>0</v>
      </c>
      <c r="H265" s="105"/>
      <c r="I265" s="105"/>
    </row>
    <row r="266">
      <c r="A266" s="102"/>
      <c r="B266" s="105"/>
      <c r="C266" s="103"/>
      <c r="D266" s="104"/>
      <c r="E266" s="105"/>
      <c r="F266" s="96">
        <f t="shared" si="2"/>
        <v>0</v>
      </c>
      <c r="G266" s="97">
        <f t="shared" si="3"/>
        <v>0</v>
      </c>
      <c r="H266" s="105"/>
      <c r="I266" s="105"/>
    </row>
    <row r="267">
      <c r="A267" s="102"/>
      <c r="B267" s="105"/>
      <c r="C267" s="103"/>
      <c r="D267" s="104"/>
      <c r="E267" s="105"/>
      <c r="F267" s="96">
        <f t="shared" si="2"/>
        <v>0</v>
      </c>
      <c r="G267" s="97">
        <f t="shared" si="3"/>
        <v>0</v>
      </c>
      <c r="H267" s="105"/>
      <c r="I267" s="105"/>
    </row>
    <row r="268">
      <c r="A268" s="102"/>
      <c r="B268" s="105"/>
      <c r="C268" s="103"/>
      <c r="D268" s="104"/>
      <c r="E268" s="105"/>
      <c r="F268" s="96">
        <f t="shared" si="2"/>
        <v>0</v>
      </c>
      <c r="G268" s="97">
        <f t="shared" si="3"/>
        <v>0</v>
      </c>
      <c r="H268" s="105"/>
      <c r="I268" s="105"/>
    </row>
    <row r="269">
      <c r="A269" s="102"/>
      <c r="B269" s="105"/>
      <c r="C269" s="103"/>
      <c r="D269" s="104"/>
      <c r="E269" s="105"/>
      <c r="F269" s="96">
        <f t="shared" si="2"/>
        <v>0</v>
      </c>
      <c r="G269" s="97">
        <f t="shared" si="3"/>
        <v>0</v>
      </c>
      <c r="H269" s="105"/>
      <c r="I269" s="105"/>
    </row>
    <row r="270">
      <c r="A270" s="102"/>
      <c r="B270" s="105"/>
      <c r="C270" s="103"/>
      <c r="D270" s="104"/>
      <c r="E270" s="105"/>
      <c r="F270" s="96">
        <f t="shared" si="2"/>
        <v>0</v>
      </c>
      <c r="G270" s="97">
        <f t="shared" si="3"/>
        <v>0</v>
      </c>
      <c r="H270" s="105"/>
      <c r="I270" s="105"/>
    </row>
    <row r="271">
      <c r="A271" s="102"/>
      <c r="B271" s="105"/>
      <c r="C271" s="103"/>
      <c r="D271" s="104"/>
      <c r="E271" s="105"/>
      <c r="F271" s="96">
        <f t="shared" si="2"/>
        <v>0</v>
      </c>
      <c r="G271" s="97">
        <f t="shared" si="3"/>
        <v>0</v>
      </c>
      <c r="H271" s="105"/>
      <c r="I271" s="105"/>
    </row>
    <row r="272">
      <c r="A272" s="102"/>
      <c r="B272" s="105"/>
      <c r="C272" s="103"/>
      <c r="D272" s="104"/>
      <c r="E272" s="105"/>
      <c r="F272" s="96">
        <f t="shared" si="2"/>
        <v>0</v>
      </c>
      <c r="G272" s="97">
        <f t="shared" si="3"/>
        <v>0</v>
      </c>
      <c r="H272" s="105"/>
      <c r="I272" s="105"/>
    </row>
    <row r="273">
      <c r="A273" s="102"/>
      <c r="B273" s="105"/>
      <c r="C273" s="103"/>
      <c r="D273" s="104"/>
      <c r="E273" s="105"/>
      <c r="F273" s="96">
        <f t="shared" si="2"/>
        <v>0</v>
      </c>
      <c r="G273" s="97">
        <f t="shared" si="3"/>
        <v>0</v>
      </c>
      <c r="H273" s="105"/>
      <c r="I273" s="105"/>
    </row>
    <row r="274">
      <c r="A274" s="102"/>
      <c r="B274" s="105"/>
      <c r="C274" s="103"/>
      <c r="D274" s="104"/>
      <c r="E274" s="105"/>
      <c r="F274" s="96">
        <f t="shared" si="2"/>
        <v>0</v>
      </c>
      <c r="G274" s="97">
        <f t="shared" si="3"/>
        <v>0</v>
      </c>
      <c r="H274" s="105"/>
      <c r="I274" s="105"/>
    </row>
    <row r="275">
      <c r="A275" s="102"/>
      <c r="B275" s="105"/>
      <c r="C275" s="103"/>
      <c r="D275" s="104"/>
      <c r="E275" s="105"/>
      <c r="F275" s="96">
        <f t="shared" si="2"/>
        <v>0</v>
      </c>
      <c r="G275" s="97">
        <f t="shared" si="3"/>
        <v>0</v>
      </c>
      <c r="H275" s="105"/>
      <c r="I275" s="105"/>
    </row>
    <row r="276">
      <c r="A276" s="102"/>
      <c r="B276" s="105"/>
      <c r="C276" s="103"/>
      <c r="D276" s="104"/>
      <c r="E276" s="105"/>
      <c r="F276" s="96">
        <f t="shared" si="2"/>
        <v>0</v>
      </c>
      <c r="G276" s="97">
        <f t="shared" si="3"/>
        <v>0</v>
      </c>
      <c r="H276" s="105"/>
      <c r="I276" s="105"/>
    </row>
    <row r="277">
      <c r="A277" s="102"/>
      <c r="B277" s="105"/>
      <c r="C277" s="103"/>
      <c r="D277" s="104"/>
      <c r="E277" s="105"/>
      <c r="F277" s="96">
        <f t="shared" si="2"/>
        <v>0</v>
      </c>
      <c r="G277" s="97">
        <f t="shared" si="3"/>
        <v>0</v>
      </c>
      <c r="H277" s="105"/>
      <c r="I277" s="105"/>
    </row>
    <row r="278">
      <c r="A278" s="102"/>
      <c r="B278" s="105"/>
      <c r="C278" s="103"/>
      <c r="D278" s="104"/>
      <c r="E278" s="105"/>
      <c r="F278" s="96">
        <f t="shared" si="2"/>
        <v>0</v>
      </c>
      <c r="G278" s="97">
        <f t="shared" si="3"/>
        <v>0</v>
      </c>
      <c r="H278" s="105"/>
      <c r="I278" s="105"/>
    </row>
    <row r="279">
      <c r="A279" s="102"/>
      <c r="B279" s="105"/>
      <c r="C279" s="103"/>
      <c r="D279" s="104"/>
      <c r="E279" s="105"/>
      <c r="F279" s="96">
        <f t="shared" si="2"/>
        <v>0</v>
      </c>
      <c r="G279" s="97">
        <f t="shared" si="3"/>
        <v>0</v>
      </c>
      <c r="H279" s="105"/>
      <c r="I279" s="105"/>
    </row>
    <row r="280">
      <c r="A280" s="102"/>
      <c r="B280" s="105"/>
      <c r="C280" s="103"/>
      <c r="D280" s="104"/>
      <c r="E280" s="105"/>
      <c r="F280" s="96">
        <f t="shared" si="2"/>
        <v>0</v>
      </c>
      <c r="G280" s="97">
        <f t="shared" si="3"/>
        <v>0</v>
      </c>
      <c r="H280" s="105"/>
      <c r="I280" s="105"/>
    </row>
    <row r="281">
      <c r="A281" s="102"/>
      <c r="B281" s="105"/>
      <c r="C281" s="103"/>
      <c r="D281" s="104"/>
      <c r="E281" s="105"/>
      <c r="F281" s="96">
        <f t="shared" si="2"/>
        <v>0</v>
      </c>
      <c r="G281" s="97">
        <f t="shared" si="3"/>
        <v>0</v>
      </c>
      <c r="H281" s="105"/>
      <c r="I281" s="105"/>
    </row>
    <row r="282">
      <c r="A282" s="102"/>
      <c r="B282" s="105"/>
      <c r="C282" s="103"/>
      <c r="D282" s="104"/>
      <c r="E282" s="105"/>
      <c r="F282" s="96">
        <f t="shared" si="2"/>
        <v>0</v>
      </c>
      <c r="G282" s="97">
        <f t="shared" si="3"/>
        <v>0</v>
      </c>
      <c r="H282" s="105"/>
      <c r="I282" s="105"/>
    </row>
    <row r="283">
      <c r="A283" s="102"/>
      <c r="B283" s="105"/>
      <c r="C283" s="103"/>
      <c r="D283" s="104"/>
      <c r="E283" s="105"/>
      <c r="F283" s="96">
        <f t="shared" si="2"/>
        <v>0</v>
      </c>
      <c r="G283" s="97">
        <f t="shared" si="3"/>
        <v>0</v>
      </c>
      <c r="H283" s="105"/>
      <c r="I283" s="105"/>
    </row>
    <row r="284">
      <c r="A284" s="102"/>
      <c r="B284" s="105"/>
      <c r="C284" s="103"/>
      <c r="D284" s="104"/>
      <c r="E284" s="105"/>
      <c r="F284" s="96">
        <f t="shared" si="2"/>
        <v>0</v>
      </c>
      <c r="G284" s="97">
        <f t="shared" si="3"/>
        <v>0</v>
      </c>
      <c r="H284" s="105"/>
      <c r="I284" s="105"/>
    </row>
    <row r="285">
      <c r="A285" s="102"/>
      <c r="B285" s="105"/>
      <c r="C285" s="103"/>
      <c r="D285" s="104"/>
      <c r="E285" s="105"/>
      <c r="F285" s="96">
        <f t="shared" si="2"/>
        <v>0</v>
      </c>
      <c r="G285" s="97">
        <f t="shared" si="3"/>
        <v>0</v>
      </c>
      <c r="H285" s="105"/>
      <c r="I285" s="105"/>
    </row>
    <row r="286">
      <c r="A286" s="102"/>
      <c r="B286" s="105"/>
      <c r="C286" s="103"/>
      <c r="D286" s="104"/>
      <c r="E286" s="105"/>
      <c r="F286" s="96">
        <f t="shared" si="2"/>
        <v>0</v>
      </c>
      <c r="G286" s="97">
        <f t="shared" si="3"/>
        <v>0</v>
      </c>
      <c r="H286" s="105"/>
      <c r="I286" s="105"/>
    </row>
    <row r="287">
      <c r="A287" s="102"/>
      <c r="B287" s="105"/>
      <c r="C287" s="103"/>
      <c r="D287" s="104"/>
      <c r="E287" s="105"/>
      <c r="F287" s="96">
        <f t="shared" si="2"/>
        <v>0</v>
      </c>
      <c r="G287" s="97">
        <f t="shared" si="3"/>
        <v>0</v>
      </c>
      <c r="H287" s="105"/>
      <c r="I287" s="105"/>
    </row>
    <row r="288">
      <c r="A288" s="102"/>
      <c r="B288" s="105"/>
      <c r="C288" s="103"/>
      <c r="D288" s="104"/>
      <c r="E288" s="105"/>
      <c r="F288" s="96">
        <f t="shared" si="2"/>
        <v>0</v>
      </c>
      <c r="G288" s="97">
        <f t="shared" si="3"/>
        <v>0</v>
      </c>
      <c r="H288" s="105"/>
      <c r="I288" s="105"/>
    </row>
    <row r="289">
      <c r="A289" s="102"/>
      <c r="B289" s="105"/>
      <c r="C289" s="103"/>
      <c r="D289" s="104"/>
      <c r="E289" s="105"/>
      <c r="F289" s="96">
        <f t="shared" si="2"/>
        <v>0</v>
      </c>
      <c r="G289" s="97">
        <f t="shared" si="3"/>
        <v>0</v>
      </c>
      <c r="H289" s="105"/>
      <c r="I289" s="105"/>
    </row>
    <row r="290">
      <c r="A290" s="102"/>
      <c r="B290" s="105"/>
      <c r="C290" s="103"/>
      <c r="D290" s="104"/>
      <c r="E290" s="105"/>
      <c r="F290" s="96">
        <f t="shared" si="2"/>
        <v>0</v>
      </c>
      <c r="G290" s="97">
        <f t="shared" si="3"/>
        <v>0</v>
      </c>
      <c r="H290" s="105"/>
      <c r="I290" s="105"/>
    </row>
    <row r="291">
      <c r="A291" s="102"/>
      <c r="B291" s="105"/>
      <c r="C291" s="103"/>
      <c r="D291" s="104"/>
      <c r="E291" s="105"/>
      <c r="F291" s="96">
        <f t="shared" si="2"/>
        <v>0</v>
      </c>
      <c r="G291" s="97">
        <f t="shared" si="3"/>
        <v>0</v>
      </c>
      <c r="H291" s="105"/>
      <c r="I291" s="105"/>
    </row>
    <row r="292">
      <c r="A292" s="102"/>
      <c r="B292" s="105"/>
      <c r="C292" s="103"/>
      <c r="D292" s="104"/>
      <c r="E292" s="105"/>
      <c r="F292" s="96">
        <f t="shared" si="2"/>
        <v>0</v>
      </c>
      <c r="G292" s="97">
        <f t="shared" si="3"/>
        <v>0</v>
      </c>
      <c r="H292" s="105"/>
      <c r="I292" s="105"/>
    </row>
    <row r="293">
      <c r="A293" s="102"/>
      <c r="B293" s="105"/>
      <c r="C293" s="103"/>
      <c r="D293" s="104"/>
      <c r="E293" s="105"/>
      <c r="F293" s="96">
        <f t="shared" si="2"/>
        <v>0</v>
      </c>
      <c r="G293" s="97">
        <f t="shared" si="3"/>
        <v>0</v>
      </c>
      <c r="H293" s="105"/>
      <c r="I293" s="105"/>
    </row>
    <row r="294">
      <c r="A294" s="102"/>
      <c r="B294" s="105"/>
      <c r="C294" s="103"/>
      <c r="D294" s="104"/>
      <c r="E294" s="105"/>
      <c r="F294" s="96">
        <f t="shared" si="2"/>
        <v>0</v>
      </c>
      <c r="G294" s="97">
        <f t="shared" si="3"/>
        <v>0</v>
      </c>
      <c r="H294" s="105"/>
      <c r="I294" s="105"/>
    </row>
    <row r="295">
      <c r="A295" s="102"/>
      <c r="B295" s="105"/>
      <c r="C295" s="103"/>
      <c r="D295" s="104"/>
      <c r="E295" s="105"/>
      <c r="F295" s="96">
        <f t="shared" si="2"/>
        <v>0</v>
      </c>
      <c r="G295" s="97">
        <f t="shared" si="3"/>
        <v>0</v>
      </c>
      <c r="H295" s="105"/>
      <c r="I295" s="105"/>
    </row>
    <row r="296">
      <c r="A296" s="102"/>
      <c r="B296" s="105"/>
      <c r="C296" s="103"/>
      <c r="D296" s="104"/>
      <c r="E296" s="105"/>
      <c r="F296" s="96">
        <f t="shared" si="2"/>
        <v>0</v>
      </c>
      <c r="G296" s="97">
        <f t="shared" si="3"/>
        <v>0</v>
      </c>
      <c r="H296" s="105"/>
      <c r="I296" s="105"/>
    </row>
    <row r="297">
      <c r="A297" s="102"/>
      <c r="B297" s="105"/>
      <c r="C297" s="103"/>
      <c r="D297" s="104"/>
      <c r="E297" s="105"/>
      <c r="F297" s="96">
        <f t="shared" si="2"/>
        <v>0</v>
      </c>
      <c r="G297" s="97">
        <f t="shared" si="3"/>
        <v>0</v>
      </c>
      <c r="H297" s="105"/>
      <c r="I297" s="105"/>
    </row>
    <row r="298">
      <c r="A298" s="102"/>
      <c r="B298" s="105"/>
      <c r="C298" s="103"/>
      <c r="D298" s="104"/>
      <c r="E298" s="105"/>
      <c r="F298" s="96">
        <f t="shared" si="2"/>
        <v>0</v>
      </c>
      <c r="G298" s="97">
        <f t="shared" si="3"/>
        <v>0</v>
      </c>
      <c r="H298" s="105"/>
      <c r="I298" s="105"/>
    </row>
    <row r="299">
      <c r="A299" s="102"/>
      <c r="B299" s="105"/>
      <c r="C299" s="103"/>
      <c r="D299" s="104"/>
      <c r="E299" s="105"/>
      <c r="F299" s="96">
        <f t="shared" si="2"/>
        <v>0</v>
      </c>
      <c r="G299" s="97">
        <f t="shared" si="3"/>
        <v>0</v>
      </c>
      <c r="H299" s="105"/>
      <c r="I299" s="105"/>
    </row>
    <row r="300">
      <c r="A300" s="102"/>
      <c r="B300" s="105"/>
      <c r="C300" s="103"/>
      <c r="D300" s="104"/>
      <c r="E300" s="105"/>
      <c r="F300" s="96">
        <f t="shared" si="2"/>
        <v>0</v>
      </c>
      <c r="G300" s="97">
        <f t="shared" si="3"/>
        <v>0</v>
      </c>
      <c r="H300" s="105"/>
      <c r="I300" s="105"/>
    </row>
    <row r="301">
      <c r="A301" s="102"/>
      <c r="B301" s="105"/>
      <c r="C301" s="103"/>
      <c r="D301" s="104"/>
      <c r="E301" s="105"/>
      <c r="F301" s="96">
        <f t="shared" si="2"/>
        <v>0</v>
      </c>
      <c r="G301" s="97">
        <f t="shared" si="3"/>
        <v>0</v>
      </c>
      <c r="H301" s="105"/>
      <c r="I301" s="105"/>
    </row>
    <row r="302">
      <c r="A302" s="102"/>
      <c r="B302" s="105"/>
      <c r="C302" s="103"/>
      <c r="D302" s="104"/>
      <c r="E302" s="105"/>
      <c r="F302" s="96">
        <f t="shared" si="2"/>
        <v>0</v>
      </c>
      <c r="G302" s="97">
        <f t="shared" si="3"/>
        <v>0</v>
      </c>
      <c r="H302" s="105"/>
      <c r="I302" s="105"/>
    </row>
    <row r="303">
      <c r="A303" s="102"/>
      <c r="B303" s="105"/>
      <c r="C303" s="103"/>
      <c r="D303" s="104"/>
      <c r="E303" s="105"/>
      <c r="F303" s="96">
        <f t="shared" si="2"/>
        <v>0</v>
      </c>
      <c r="G303" s="97">
        <f t="shared" si="3"/>
        <v>0</v>
      </c>
      <c r="H303" s="105"/>
      <c r="I303" s="105"/>
    </row>
    <row r="304">
      <c r="A304" s="102"/>
      <c r="B304" s="105"/>
      <c r="C304" s="103"/>
      <c r="D304" s="104"/>
      <c r="E304" s="105"/>
      <c r="F304" s="96">
        <f t="shared" si="2"/>
        <v>0</v>
      </c>
      <c r="G304" s="97">
        <f t="shared" si="3"/>
        <v>0</v>
      </c>
      <c r="H304" s="105"/>
      <c r="I304" s="105"/>
    </row>
    <row r="305">
      <c r="A305" s="102"/>
      <c r="B305" s="105"/>
      <c r="C305" s="103"/>
      <c r="D305" s="104"/>
      <c r="E305" s="105"/>
      <c r="F305" s="96">
        <f t="shared" si="2"/>
        <v>0</v>
      </c>
      <c r="G305" s="97">
        <f t="shared" si="3"/>
        <v>0</v>
      </c>
      <c r="H305" s="105"/>
      <c r="I305" s="105"/>
    </row>
    <row r="306">
      <c r="A306" s="102"/>
      <c r="B306" s="105"/>
      <c r="C306" s="103"/>
      <c r="D306" s="104"/>
      <c r="E306" s="105"/>
      <c r="F306" s="96">
        <f t="shared" si="2"/>
        <v>0</v>
      </c>
      <c r="G306" s="97">
        <f t="shared" si="3"/>
        <v>0</v>
      </c>
      <c r="H306" s="105"/>
      <c r="I306" s="105"/>
    </row>
  </sheetData>
  <autoFilter ref="$A$2:$Z$307">
    <sortState ref="A2:Z307">
      <sortCondition ref="B2:B307"/>
      <sortCondition descending="1" ref="D2:D307"/>
      <sortCondition ref="A2:A30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3" max="23" width="19.0"/>
  </cols>
  <sheetData>
    <row r="1">
      <c r="W1" s="112"/>
    </row>
    <row r="2">
      <c r="B2" s="113"/>
      <c r="C2" s="113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75"/>
      <c r="X2" s="59"/>
      <c r="Y2" s="59"/>
      <c r="Z2" s="59"/>
      <c r="AA2" s="59"/>
      <c r="AB2" s="59"/>
    </row>
    <row r="3">
      <c r="B3" s="114" t="s">
        <v>71</v>
      </c>
      <c r="C3" s="115"/>
      <c r="D3" s="116">
        <f>sumif('Sales Data Input'!$D$18:$D$529,D6,'Sales Data Input'!$G$18:$G$529)</f>
        <v>20080</v>
      </c>
      <c r="E3" s="117">
        <f>sumif('Sales Data Input'!$D$18:$D$529,E6,'Sales Data Input'!$G$18:$G$529)</f>
        <v>18778</v>
      </c>
      <c r="F3" s="117">
        <f>sumif('Sales Data Input'!$D$18:$D$529,F6,'Sales Data Input'!$G$18:$G$529)</f>
        <v>21919</v>
      </c>
      <c r="G3" s="117">
        <f>sumif('Sales Data Input'!$D$18:$D$529,G6,'Sales Data Input'!$G$18:$G$529)</f>
        <v>11205</v>
      </c>
      <c r="H3" s="117">
        <f>sumif('Sales Data Input'!$D$18:$D$529,H6,'Sales Data Input'!$G$18:$G$529)</f>
        <v>8480</v>
      </c>
      <c r="I3" s="117">
        <f>sumif('Sales Data Input'!$D$18:$D$529,I6,'Sales Data Input'!$G$18:$G$529)</f>
        <v>2744</v>
      </c>
      <c r="J3" s="117">
        <f>sumif('Sales Data Input'!$D$18:$D$529,J6,'Sales Data Input'!$G$18:$G$529)</f>
        <v>10636</v>
      </c>
      <c r="K3" s="117">
        <f>sumif('Sales Data Input'!$D$18:$D$529,K6,'Sales Data Input'!$G$18:$G$529)</f>
        <v>12883</v>
      </c>
      <c r="L3" s="117">
        <f>sumif('Sales Data Input'!$D$18:$D$529,L6,'Sales Data Input'!$G$18:$G$529)</f>
        <v>6992</v>
      </c>
      <c r="M3" s="117">
        <f>sumif('Sales Data Input'!$D$18:$D$529,M6,'Sales Data Input'!$G$18:$G$529)</f>
        <v>16572</v>
      </c>
      <c r="N3" s="118">
        <f t="shared" ref="N3:N5" si="1">sum(D3:M3)</f>
        <v>130289</v>
      </c>
      <c r="O3" s="59"/>
      <c r="P3" s="59"/>
      <c r="Q3" s="59"/>
      <c r="R3" s="59"/>
      <c r="S3" s="59"/>
      <c r="T3" s="59"/>
      <c r="U3" s="59"/>
      <c r="V3" s="59"/>
      <c r="W3" s="75"/>
      <c r="X3" s="59"/>
      <c r="Y3" s="59"/>
      <c r="Z3" s="59"/>
      <c r="AA3" s="59"/>
      <c r="AB3" s="59"/>
    </row>
    <row r="4">
      <c r="B4" s="114" t="s">
        <v>72</v>
      </c>
      <c r="C4" s="115"/>
      <c r="D4" s="119">
        <f>sumif('Sales Data Input'!$D$18:$D$529,D6,'Sales Data Input'!$E$18:$E$529)</f>
        <v>37470</v>
      </c>
      <c r="E4" s="120">
        <f>sumif('Sales Data Input'!$D$18:$D$529,E6,'Sales Data Input'!$E$18:$E$529)</f>
        <v>43301</v>
      </c>
      <c r="F4" s="120">
        <f>sumif('Sales Data Input'!$D$18:$D$529,F6,'Sales Data Input'!$E$18:$E$529)</f>
        <v>43900</v>
      </c>
      <c r="G4" s="120">
        <f>sumif('Sales Data Input'!$D$18:$D$529,G6,'Sales Data Input'!$E$18:$E$529)</f>
        <v>23697</v>
      </c>
      <c r="H4" s="120">
        <f>sumif('Sales Data Input'!$D$18:$D$529,H6,'Sales Data Input'!$E$18:$E$529)</f>
        <v>20050</v>
      </c>
      <c r="I4" s="120">
        <f>sumif('Sales Data Input'!$D$18:$D$529,I6,'Sales Data Input'!$E$18:$E$529)</f>
        <v>5800</v>
      </c>
      <c r="J4" s="120">
        <f>sumif('Sales Data Input'!$D$18:$D$529,J6,'Sales Data Input'!$E$18:$E$529)</f>
        <v>18150</v>
      </c>
      <c r="K4" s="120">
        <f>sumif('Sales Data Input'!$D$18:$D$529,K6,'Sales Data Input'!$E$18:$E$529)</f>
        <v>24550</v>
      </c>
      <c r="L4" s="120">
        <f>sumif('Sales Data Input'!$D$18:$D$529,L6,'Sales Data Input'!$E$18:$E$529)</f>
        <v>15470</v>
      </c>
      <c r="M4" s="120">
        <f>sumif('Sales Data Input'!$D$18:$D$529,M6,'Sales Data Input'!$E$18:$E$529)</f>
        <v>37295</v>
      </c>
      <c r="N4" s="121">
        <f t="shared" si="1"/>
        <v>269683</v>
      </c>
      <c r="O4" s="59"/>
      <c r="P4" s="59"/>
      <c r="Q4" s="59"/>
      <c r="R4" s="59"/>
      <c r="S4" s="59"/>
      <c r="T4" s="59"/>
      <c r="U4" s="59"/>
      <c r="V4" s="59"/>
      <c r="W4" s="75"/>
      <c r="X4" s="59"/>
      <c r="Y4" s="59"/>
      <c r="Z4" s="59"/>
      <c r="AA4" s="59"/>
      <c r="AB4" s="59"/>
    </row>
    <row r="5">
      <c r="B5" s="114" t="s">
        <v>73</v>
      </c>
      <c r="D5" s="122">
        <f>countif('Sales Data Input'!$D$18:$D$529,D6)</f>
        <v>20</v>
      </c>
      <c r="E5" s="66">
        <f>countif('Sales Data Input'!$D$18:$D$529,E6)</f>
        <v>25</v>
      </c>
      <c r="F5" s="66">
        <f>countif('Sales Data Input'!$D$18:$D$529,F6)</f>
        <v>19</v>
      </c>
      <c r="G5" s="66">
        <f>countif('Sales Data Input'!$D$18:$D$529,G6)</f>
        <v>17</v>
      </c>
      <c r="H5" s="66">
        <f>countif('Sales Data Input'!$D$18:$D$529,H6)</f>
        <v>6</v>
      </c>
      <c r="I5" s="66">
        <f>countif('Sales Data Input'!$D$18:$D$529,I6)</f>
        <v>1</v>
      </c>
      <c r="J5" s="66">
        <f>countif('Sales Data Input'!$D$18:$D$529,J6)</f>
        <v>6</v>
      </c>
      <c r="K5" s="66">
        <f>countif('Sales Data Input'!$D$18:$D$529,K6)</f>
        <v>17</v>
      </c>
      <c r="L5" s="66">
        <f>countif('Sales Data Input'!$D$18:$D$529,L6)</f>
        <v>10</v>
      </c>
      <c r="M5" s="66">
        <f>countif('Sales Data Input'!$D$18:$D$529,M6)</f>
        <v>19</v>
      </c>
      <c r="N5" s="123">
        <f t="shared" si="1"/>
        <v>140</v>
      </c>
      <c r="O5" s="59"/>
      <c r="P5" s="59"/>
      <c r="Q5" s="59"/>
      <c r="R5" s="59"/>
      <c r="S5" s="59"/>
      <c r="T5" s="59"/>
      <c r="U5" s="59"/>
      <c r="V5" s="59"/>
      <c r="W5" s="75"/>
      <c r="X5" s="59"/>
      <c r="Y5" s="59"/>
      <c r="Z5" s="59"/>
      <c r="AA5" s="59"/>
      <c r="AB5" s="59"/>
    </row>
    <row r="6">
      <c r="B6" s="124" t="str">
        <f>'Sales Data Input'!D1</f>
        <v>Product Category</v>
      </c>
      <c r="D6" s="125" t="str">
        <f>'Sales Data Input'!D2</f>
        <v>Full Auto</v>
      </c>
      <c r="E6" s="126" t="str">
        <f>'Sales Data Input'!D3</f>
        <v>Semi Auto</v>
      </c>
      <c r="F6" s="126" t="str">
        <f>'Sales Data Input'!D4</f>
        <v>Double Barrel</v>
      </c>
      <c r="G6" s="126" t="str">
        <f>'Sales Data Input'!D5</f>
        <v>Single Barrel</v>
      </c>
      <c r="H6" s="126" t="str">
        <f>'Sales Data Input'!D6</f>
        <v>Extra Shiny</v>
      </c>
      <c r="I6" s="126" t="str">
        <f>'Sales Data Input'!D7</f>
        <v>Low Sheen</v>
      </c>
      <c r="J6" s="126" t="str">
        <f>'Sales Data Input'!D8</f>
        <v>Wet</v>
      </c>
      <c r="K6" s="126" t="str">
        <f>'Sales Data Input'!D9</f>
        <v>Dry</v>
      </c>
      <c r="L6" s="126" t="str">
        <f>'Sales Data Input'!D10</f>
        <v>Hard</v>
      </c>
      <c r="M6" s="127" t="str">
        <f>'Sales Data Input'!D11</f>
        <v>Soft</v>
      </c>
      <c r="N6" s="128"/>
      <c r="O6" s="59"/>
      <c r="P6" s="59"/>
      <c r="Q6" s="59"/>
      <c r="R6" s="59"/>
      <c r="S6" s="59"/>
      <c r="T6" s="59"/>
      <c r="U6" s="59"/>
      <c r="V6" s="59"/>
      <c r="W6" s="75"/>
      <c r="X6" s="59"/>
      <c r="Y6" s="59"/>
      <c r="Z6" s="59"/>
      <c r="AA6" s="59"/>
      <c r="AB6" s="59"/>
    </row>
    <row r="7">
      <c r="B7" s="129" t="s">
        <v>74</v>
      </c>
      <c r="C7" s="130"/>
      <c r="D7" s="119">
        <f>sumif('Sales Data Input'!$C$18:$C$529,D10,'Sales Data Input'!$G$18:$G$529)</f>
        <v>20337</v>
      </c>
      <c r="E7" s="120">
        <f>sumif('Sales Data Input'!$C$18:$C$529,E10,'Sales Data Input'!$G$18:$G$529)</f>
        <v>13363</v>
      </c>
      <c r="F7" s="120">
        <f>sumif('Sales Data Input'!$C$18:$C$529,F10,'Sales Data Input'!$G$18:$G$529)</f>
        <v>12882</v>
      </c>
      <c r="G7" s="120">
        <f>sumif('Sales Data Input'!$C$18:$C$529,G10,'Sales Data Input'!$G$18:$G$529)</f>
        <v>12634</v>
      </c>
      <c r="H7" s="120">
        <f>sumif('Sales Data Input'!$C$18:$C$529,H10,'Sales Data Input'!$G$18:$G$529)</f>
        <v>11165</v>
      </c>
      <c r="I7" s="120">
        <f>sumif('Sales Data Input'!$C$18:$C$529,I10,'Sales Data Input'!$G$18:$G$529)</f>
        <v>12134</v>
      </c>
      <c r="J7" s="120">
        <f>sumif('Sales Data Input'!$C$18:$C$529,J10,'Sales Data Input'!$G$18:$G$529)</f>
        <v>12512</v>
      </c>
      <c r="K7" s="120">
        <f>sumif('Sales Data Input'!$C$18:$C$529,K10,'Sales Data Input'!$G$18:$G$529)</f>
        <v>11880</v>
      </c>
      <c r="L7" s="120">
        <f>sumif('Sales Data Input'!$C$18:$C$529,L10,'Sales Data Input'!$G$18:$G$529)</f>
        <v>12551</v>
      </c>
      <c r="M7" s="120">
        <f>sumif('Sales Data Input'!$C$18:$C$529,M10,'Sales Data Input'!$G$18:$G$529)</f>
        <v>10831</v>
      </c>
      <c r="N7" s="121">
        <f t="shared" ref="N7:N9" si="2">sum(D7:M7)</f>
        <v>130289</v>
      </c>
      <c r="O7" s="59"/>
      <c r="P7" s="129" t="s">
        <v>75</v>
      </c>
      <c r="Q7" s="130"/>
      <c r="R7" s="116">
        <f>sumif('Sales Data Input'!$J$18:$J$529,R10,'Sales Data Input'!$G$18:$G$529)</f>
        <v>20337</v>
      </c>
      <c r="S7" s="117">
        <f>sumif('Sales Data Input'!$J$18:$J$529,S10,'Sales Data Input'!$G$18:$G$529)</f>
        <v>13363</v>
      </c>
      <c r="T7" s="117">
        <f>sumif('Sales Data Input'!$J$18:$J$529,T10,'Sales Data Input'!$G$18:$G$529)</f>
        <v>12882</v>
      </c>
      <c r="U7" s="117">
        <f>sumif('Sales Data Input'!$J$18:$J$529,U10,'Sales Data Input'!$G$18:$G$529)</f>
        <v>12634</v>
      </c>
      <c r="V7" s="117">
        <f>sumif('Sales Data Input'!$J$18:$J$529,V10,'Sales Data Input'!$G$18:$G$529)</f>
        <v>11165</v>
      </c>
      <c r="W7" s="131">
        <f>sumif('Sales Data Input'!$J$18:$J$529,W10,'Sales Data Input'!$G$18:$G$529)</f>
        <v>12134</v>
      </c>
      <c r="X7" s="117">
        <f>sumif('Sales Data Input'!$J$18:$J$529,X10,'Sales Data Input'!$G$18:$G$529)</f>
        <v>12512</v>
      </c>
      <c r="Y7" s="117">
        <f>sumif('Sales Data Input'!$J$18:$J$529,Y10,'Sales Data Input'!$G$18:$G$529)</f>
        <v>11880</v>
      </c>
      <c r="Z7" s="117">
        <f>sumif('Sales Data Input'!$J$18:$J$529,Z10,'Sales Data Input'!$G$18:$G$529)</f>
        <v>12551</v>
      </c>
      <c r="AA7" s="117">
        <f>sumif('Sales Data Input'!$J$18:$J$529,AA10,'Sales Data Input'!$G$18:$G$529)</f>
        <v>10831</v>
      </c>
      <c r="AB7" s="118">
        <f t="shared" ref="AB7:AB9" si="3">sum(R7:AA7)</f>
        <v>130289</v>
      </c>
    </row>
    <row r="8">
      <c r="B8" s="132" t="s">
        <v>76</v>
      </c>
      <c r="C8" s="133"/>
      <c r="D8" s="119">
        <f>sumif('Sales Data Input'!$C$18:$C$529,D10,'Sales Data Input'!$E$18:$E$529)</f>
        <v>38185</v>
      </c>
      <c r="E8" s="120">
        <f>sumif('Sales Data Input'!$C$18:$C$529,E10,'Sales Data Input'!$E$18:$E$529)</f>
        <v>29485</v>
      </c>
      <c r="F8" s="120">
        <f>sumif('Sales Data Input'!$C$18:$C$529,F10,'Sales Data Input'!$E$18:$E$529)</f>
        <v>28535</v>
      </c>
      <c r="G8" s="120">
        <f>sumif('Sales Data Input'!$C$18:$C$529,G10,'Sales Data Input'!$E$18:$E$529)</f>
        <v>27130</v>
      </c>
      <c r="H8" s="120">
        <f>sumif('Sales Data Input'!$C$18:$C$529,H10,'Sales Data Input'!$E$18:$E$529)</f>
        <v>26060</v>
      </c>
      <c r="I8" s="120">
        <f>sumif('Sales Data Input'!$C$18:$C$529,I10,'Sales Data Input'!$E$18:$E$529)</f>
        <v>25267</v>
      </c>
      <c r="J8" s="120">
        <f>sumif('Sales Data Input'!$C$18:$C$529,J10,'Sales Data Input'!$E$18:$E$529)</f>
        <v>24192</v>
      </c>
      <c r="K8" s="120">
        <f>sumif('Sales Data Input'!$C$18:$C$529,K10,'Sales Data Input'!$E$18:$E$529)</f>
        <v>23793</v>
      </c>
      <c r="L8" s="120">
        <f>sumif('Sales Data Input'!$C$18:$C$529,L10,'Sales Data Input'!$E$18:$E$529)</f>
        <v>23793</v>
      </c>
      <c r="M8" s="120">
        <f>sumif('Sales Data Input'!$C$18:$C$529,M10,'Sales Data Input'!$E$18:$E$529)</f>
        <v>23243</v>
      </c>
      <c r="N8" s="121">
        <f t="shared" si="2"/>
        <v>269683</v>
      </c>
      <c r="O8" s="59"/>
      <c r="P8" s="132" t="s">
        <v>77</v>
      </c>
      <c r="Q8" s="133"/>
      <c r="R8" s="119">
        <f>sumif('Sales Data Input'!$J$18:$J$529,R10,'Sales Data Input'!$E$18:$E$529)</f>
        <v>38185</v>
      </c>
      <c r="S8" s="120">
        <f>sumif('Sales Data Input'!$J$18:$J$529,S10,'Sales Data Input'!$E$18:$E$529)</f>
        <v>29485</v>
      </c>
      <c r="T8" s="120">
        <f>sumif('Sales Data Input'!$J$18:$J$529,T10,'Sales Data Input'!$E$18:$E$529)</f>
        <v>28535</v>
      </c>
      <c r="U8" s="120">
        <f>sumif('Sales Data Input'!$J$18:$J$529,U10,'Sales Data Input'!$E$18:$E$529)</f>
        <v>27130</v>
      </c>
      <c r="V8" s="120">
        <f>sumif('Sales Data Input'!$J$18:$J$529,V10,'Sales Data Input'!$E$18:$E$529)</f>
        <v>26060</v>
      </c>
      <c r="W8" s="134">
        <f>sumif('Sales Data Input'!$J$18:$J$529,W10,'Sales Data Input'!$E$18:$E$529)</f>
        <v>25267</v>
      </c>
      <c r="X8" s="120">
        <f>sumif('Sales Data Input'!$J$18:$J$529,X10,'Sales Data Input'!$E$18:$E$529)</f>
        <v>24192</v>
      </c>
      <c r="Y8" s="120">
        <f>sumif('Sales Data Input'!$J$18:$J$529,Y10,'Sales Data Input'!$E$18:$E$529)</f>
        <v>23793</v>
      </c>
      <c r="Z8" s="120">
        <f>sumif('Sales Data Input'!$J$18:$J$529,Z10,'Sales Data Input'!$E$18:$E$529)</f>
        <v>23793</v>
      </c>
      <c r="AA8" s="120">
        <f>sumif('Sales Data Input'!$J$18:$J$529,AA10,'Sales Data Input'!$E$18:$E$529)</f>
        <v>23243</v>
      </c>
      <c r="AB8" s="121">
        <f t="shared" si="3"/>
        <v>269683</v>
      </c>
    </row>
    <row r="9">
      <c r="B9" s="135" t="s">
        <v>78</v>
      </c>
      <c r="C9" s="136"/>
      <c r="D9" s="122">
        <f>countif('Sales Data Input'!$C$18:$C$529,D10)</f>
        <v>14</v>
      </c>
      <c r="E9" s="66">
        <f>countif('Sales Data Input'!$C$18:$C$529,E10)</f>
        <v>14</v>
      </c>
      <c r="F9" s="66">
        <f>countif('Sales Data Input'!$C$18:$C$529,F10)</f>
        <v>14</v>
      </c>
      <c r="G9" s="66">
        <f>countif('Sales Data Input'!$C$18:$C$529,G10)</f>
        <v>14</v>
      </c>
      <c r="H9" s="66">
        <f>countif('Sales Data Input'!$C$18:$C$529,H10)</f>
        <v>14</v>
      </c>
      <c r="I9" s="66">
        <f>countif('Sales Data Input'!$C$18:$C$529,I10)</f>
        <v>14</v>
      </c>
      <c r="J9" s="66">
        <f>countif('Sales Data Input'!$C$18:$C$529,J10)</f>
        <v>14</v>
      </c>
      <c r="K9" s="66">
        <f>countif('Sales Data Input'!$C$18:$C$529,K10)</f>
        <v>14</v>
      </c>
      <c r="L9" s="66">
        <f>countif('Sales Data Input'!$C$18:$C$529,L10)</f>
        <v>14</v>
      </c>
      <c r="M9" s="66">
        <f>countif('Sales Data Input'!$C$18:$C$529,M10)</f>
        <v>14</v>
      </c>
      <c r="N9" s="123">
        <f t="shared" si="2"/>
        <v>140</v>
      </c>
      <c r="O9" s="59"/>
      <c r="P9" s="135" t="s">
        <v>79</v>
      </c>
      <c r="Q9" s="136"/>
      <c r="R9" s="122">
        <f>countif('Sales Data Input'!$J$18:$J$529,R10)</f>
        <v>14</v>
      </c>
      <c r="S9" s="66">
        <f>countif('Sales Data Input'!$J$18:$J$529,S10)</f>
        <v>14</v>
      </c>
      <c r="T9" s="66">
        <f>countif('Sales Data Input'!$J$18:$J$529,T10)</f>
        <v>14</v>
      </c>
      <c r="U9" s="66">
        <f>countif('Sales Data Input'!$J$18:$J$529,U10)</f>
        <v>14</v>
      </c>
      <c r="V9" s="66">
        <f>countif('Sales Data Input'!$J$18:$J$529,V10)</f>
        <v>14</v>
      </c>
      <c r="W9" s="75">
        <f>countif('Sales Data Input'!$J$18:$J$529,W10)</f>
        <v>14</v>
      </c>
      <c r="X9" s="66">
        <f>countif('Sales Data Input'!$J$18:$J$529,X10)</f>
        <v>14</v>
      </c>
      <c r="Y9" s="66">
        <f>countif('Sales Data Input'!$J$18:$J$529,Y10)</f>
        <v>14</v>
      </c>
      <c r="Z9" s="66">
        <f>countif('Sales Data Input'!$J$18:$J$529,Z10)</f>
        <v>14</v>
      </c>
      <c r="AA9" s="66">
        <f>countif('Sales Data Input'!$J$18:$J$529,AA10)</f>
        <v>14</v>
      </c>
      <c r="AB9" s="123">
        <f t="shared" si="3"/>
        <v>140</v>
      </c>
    </row>
    <row r="10">
      <c r="B10" s="137" t="str">
        <f>'Sales Data Input'!C1</f>
        <v>Products</v>
      </c>
      <c r="C10" s="138"/>
      <c r="D10" s="139" t="str">
        <f>'Sales Data Input'!C2</f>
        <v>Coco</v>
      </c>
      <c r="E10" s="140" t="str">
        <f>'Sales Data Input'!C3</f>
        <v>Zoco</v>
      </c>
      <c r="F10" s="140" t="str">
        <f>'Sales Data Input'!C4</f>
        <v>Mofo</v>
      </c>
      <c r="G10" s="140" t="str">
        <f>'Sales Data Input'!C5</f>
        <v>Bojo</v>
      </c>
      <c r="H10" s="140" t="str">
        <f>'Sales Data Input'!C6</f>
        <v>Lodo</v>
      </c>
      <c r="I10" s="140" t="str">
        <f>'Sales Data Input'!C7</f>
        <v>Rodo</v>
      </c>
      <c r="J10" s="140" t="str">
        <f>'Sales Data Input'!C8</f>
        <v>Podo</v>
      </c>
      <c r="K10" s="140" t="str">
        <f>'Sales Data Input'!C9</f>
        <v>Hodo</v>
      </c>
      <c r="L10" s="140" t="str">
        <f>'Sales Data Input'!C10</f>
        <v>Dodo</v>
      </c>
      <c r="M10" s="140" t="str">
        <f>'Sales Data Input'!C11</f>
        <v>Sodo</v>
      </c>
      <c r="N10" s="141"/>
      <c r="O10" s="59"/>
      <c r="P10" s="137" t="str">
        <f>'Sales Data Input'!J1</f>
        <v>Sales Person</v>
      </c>
      <c r="Q10" s="138"/>
      <c r="R10" s="142" t="str">
        <f>'Sales Data Input'!J2</f>
        <v>Billy</v>
      </c>
      <c r="S10" s="127" t="str">
        <f>'Sales Data Input'!J3</f>
        <v>Bobby</v>
      </c>
      <c r="T10" s="127" t="str">
        <f>'Sales Data Input'!J4</f>
        <v>Betty</v>
      </c>
      <c r="U10" s="127" t="str">
        <f>'Sales Data Input'!J5</f>
        <v>Barry</v>
      </c>
      <c r="V10" s="127" t="str">
        <f>'Sales Data Input'!J6</f>
        <v>Mary</v>
      </c>
      <c r="W10" s="143" t="str">
        <f>'Sales Data Input'!J7</f>
        <v>Marg</v>
      </c>
      <c r="X10" s="127" t="str">
        <f>'Sales Data Input'!J8</f>
        <v>Mavis</v>
      </c>
      <c r="Y10" s="127" t="str">
        <f>'Sales Data Input'!J9</f>
        <v>Steve</v>
      </c>
      <c r="Z10" s="127" t="str">
        <f>'Sales Data Input'!J10</f>
        <v>Sue</v>
      </c>
      <c r="AA10" s="127" t="str">
        <f>'Sales Data Input'!J11</f>
        <v>Shaun</v>
      </c>
      <c r="AB10" s="141"/>
    </row>
    <row r="11">
      <c r="B11" s="129" t="s">
        <v>80</v>
      </c>
      <c r="C11" s="130"/>
      <c r="D11" s="116">
        <f>sumif('Sales Data Input'!$B$18:$B$529,D14,'Sales Data Input'!$G$18:$G$529)</f>
        <v>26570</v>
      </c>
      <c r="E11" s="117">
        <f>sumif('Sales Data Input'!$B$18:$B$529,E14,'Sales Data Input'!$G$18:$G$529)</f>
        <v>8673</v>
      </c>
      <c r="F11" s="117">
        <f>sumif('Sales Data Input'!$B$18:$B$529,F14,'Sales Data Input'!$G$18:$G$529)</f>
        <v>9509</v>
      </c>
      <c r="G11" s="117">
        <f>sumif('Sales Data Input'!$B$18:$B$529,G14,'Sales Data Input'!$G$18:$G$529)</f>
        <v>11369</v>
      </c>
      <c r="H11" s="117">
        <f>sumif('Sales Data Input'!$B$18:$B$529,H14,'Sales Data Input'!$G$18:$G$529)</f>
        <v>12437</v>
      </c>
      <c r="I11" s="117">
        <f>sumif('Sales Data Input'!$B$18:$B$529,I14,'Sales Data Input'!$G$18:$G$529)</f>
        <v>10800</v>
      </c>
      <c r="J11" s="117">
        <f>sumif('Sales Data Input'!$B$18:$B$529,J14,'Sales Data Input'!$G$18:$G$529)</f>
        <v>6863</v>
      </c>
      <c r="K11" s="117">
        <f>sumif('Sales Data Input'!$B$18:$B$529,K14,'Sales Data Input'!$G$18:$G$529)</f>
        <v>3452</v>
      </c>
      <c r="L11" s="117">
        <f>sumif('Sales Data Input'!$B$18:$B$529,L14,'Sales Data Input'!$G$18:$G$529)</f>
        <v>12619</v>
      </c>
      <c r="M11" s="117">
        <f>sumif('Sales Data Input'!$B$18:$B$529,M14,'Sales Data Input'!$G$18:$G$529)</f>
        <v>27997</v>
      </c>
      <c r="N11" s="118">
        <f t="shared" ref="N11:N13" si="4">sum(D11:M11)</f>
        <v>130289</v>
      </c>
      <c r="O11" s="59"/>
      <c r="P11" s="129" t="s">
        <v>81</v>
      </c>
      <c r="Q11" s="130"/>
      <c r="R11" s="116">
        <f>sumif('Sales Data Input'!$I$18:$I$529,R14,'Sales Data Input'!$G$18:$G$529)</f>
        <v>29390</v>
      </c>
      <c r="S11" s="117">
        <f>sumif('Sales Data Input'!$I$18:$I$529,S14,'Sales Data Input'!$G$18:$G$529)</f>
        <v>10278</v>
      </c>
      <c r="T11" s="117">
        <f>sumif('Sales Data Input'!$I$18:$I$529,T14,'Sales Data Input'!$G$18:$G$529)</f>
        <v>14178</v>
      </c>
      <c r="U11" s="117">
        <f>sumif('Sales Data Input'!$I$18:$I$529,U14,'Sales Data Input'!$G$18:$G$529)</f>
        <v>10672</v>
      </c>
      <c r="V11" s="117">
        <f>sumif('Sales Data Input'!$I$18:$I$529,V14,'Sales Data Input'!$G$18:$G$529)</f>
        <v>14837</v>
      </c>
      <c r="W11" s="131">
        <f>sumif('Sales Data Input'!$I$18:$I$529,W14,'Sales Data Input'!$G$18:$G$529)</f>
        <v>16132</v>
      </c>
      <c r="X11" s="117">
        <f>sumif('Sales Data Input'!$I$18:$I$529,X14,'Sales Data Input'!$G$18:$G$529)</f>
        <v>6715</v>
      </c>
      <c r="Y11" s="117">
        <f>sumif('Sales Data Input'!$I$18:$I$529,Y14,'Sales Data Input'!$G$18:$G$529)</f>
        <v>16083</v>
      </c>
      <c r="Z11" s="117">
        <f>sumif('Sales Data Input'!$I$18:$I$529,Z14,'Sales Data Input'!$G$18:$G$529)</f>
        <v>6412</v>
      </c>
      <c r="AA11" s="117">
        <f>sumif('Sales Data Input'!$I$18:$I$529,AA14,'Sales Data Input'!$G$18:$G$529)</f>
        <v>5592</v>
      </c>
      <c r="AB11" s="118">
        <f t="shared" ref="AB11:AB13" si="5">sum(R11:AA11)</f>
        <v>130289</v>
      </c>
    </row>
    <row r="12">
      <c r="B12" s="132" t="s">
        <v>82</v>
      </c>
      <c r="C12" s="133"/>
      <c r="D12" s="119">
        <f>sumif('Sales Data Input'!$B$18:$B$529,D14,'Sales Data Input'!$E$18:$E$529)</f>
        <v>59500</v>
      </c>
      <c r="E12" s="120">
        <f>sumif('Sales Data Input'!$B$18:$B$529,E14,'Sales Data Input'!$E$18:$E$529)</f>
        <v>21900</v>
      </c>
      <c r="F12" s="120">
        <f>sumif('Sales Data Input'!$B$18:$B$529,F14,'Sales Data Input'!$E$18:$E$529)</f>
        <v>20300</v>
      </c>
      <c r="G12" s="120">
        <f>sumif('Sales Data Input'!$B$18:$B$529,G14,'Sales Data Input'!$E$18:$E$529)</f>
        <v>23500</v>
      </c>
      <c r="H12" s="120">
        <f>sumif('Sales Data Input'!$B$18:$B$529,H14,'Sales Data Input'!$E$18:$E$529)</f>
        <v>21000</v>
      </c>
      <c r="I12" s="120">
        <f>sumif('Sales Data Input'!$B$18:$B$529,I14,'Sales Data Input'!$E$18:$E$529)</f>
        <v>21600</v>
      </c>
      <c r="J12" s="120">
        <f>sumif('Sales Data Input'!$B$18:$B$529,J14,'Sales Data Input'!$E$18:$E$529)</f>
        <v>13850</v>
      </c>
      <c r="K12" s="120">
        <f>sumif('Sales Data Input'!$B$18:$B$529,K14,'Sales Data Input'!$E$18:$E$529)</f>
        <v>7400</v>
      </c>
      <c r="L12" s="120">
        <f>sumif('Sales Data Input'!$B$18:$B$529,L14,'Sales Data Input'!$E$18:$E$529)</f>
        <v>25450</v>
      </c>
      <c r="M12" s="120">
        <f>sumif('Sales Data Input'!$B$18:$B$529,M14,'Sales Data Input'!$E$18:$E$529)</f>
        <v>55183</v>
      </c>
      <c r="N12" s="121">
        <f t="shared" si="4"/>
        <v>269683</v>
      </c>
      <c r="O12" s="59"/>
      <c r="P12" s="132" t="s">
        <v>83</v>
      </c>
      <c r="Q12" s="133"/>
      <c r="R12" s="119">
        <f>sumif('Sales Data Input'!$I$18:$I$529,R14,'Sales Data Input'!$E$18:$E$529)</f>
        <v>64275</v>
      </c>
      <c r="S12" s="120">
        <f>sumif('Sales Data Input'!$I$18:$I$529,S14,'Sales Data Input'!$E$18:$E$529)</f>
        <v>25650</v>
      </c>
      <c r="T12" s="120">
        <f>sumif('Sales Data Input'!$I$18:$I$529,T14,'Sales Data Input'!$E$18:$E$529)</f>
        <v>28715</v>
      </c>
      <c r="U12" s="120">
        <f>sumif('Sales Data Input'!$I$18:$I$529,U14,'Sales Data Input'!$E$18:$E$529)</f>
        <v>21160</v>
      </c>
      <c r="V12" s="120">
        <f>sumif('Sales Data Input'!$I$18:$I$529,V14,'Sales Data Input'!$E$18:$E$529)</f>
        <v>25800</v>
      </c>
      <c r="W12" s="134">
        <f>sumif('Sales Data Input'!$I$18:$I$529,W14,'Sales Data Input'!$E$18:$E$529)</f>
        <v>32270</v>
      </c>
      <c r="X12" s="120">
        <f>sumif('Sales Data Input'!$I$18:$I$529,X14,'Sales Data Input'!$E$18:$E$529)</f>
        <v>14050</v>
      </c>
      <c r="Y12" s="120">
        <f>sumif('Sales Data Input'!$I$18:$I$529,Y14,'Sales Data Input'!$E$18:$E$529)</f>
        <v>31393</v>
      </c>
      <c r="Z12" s="120">
        <f>sumif('Sales Data Input'!$I$18:$I$529,Z14,'Sales Data Input'!$E$18:$E$529)</f>
        <v>13500</v>
      </c>
      <c r="AA12" s="120">
        <f>sumif('Sales Data Input'!$I$18:$I$529,AA14,'Sales Data Input'!$E$18:$E$529)</f>
        <v>12870</v>
      </c>
      <c r="AB12" s="121">
        <f t="shared" si="5"/>
        <v>269683</v>
      </c>
    </row>
    <row r="13">
      <c r="B13" s="135" t="s">
        <v>84</v>
      </c>
      <c r="C13" s="136"/>
      <c r="D13" s="122">
        <f>countif('Sales Data Input'!$B$18:$B$529,D14)</f>
        <v>8</v>
      </c>
      <c r="E13" s="66">
        <f>countif('Sales Data Input'!$B$18:$B$529,E14)</f>
        <v>5</v>
      </c>
      <c r="F13" s="66">
        <f>countif('Sales Data Input'!$B$18:$B$529,F14)</f>
        <v>6</v>
      </c>
      <c r="G13" s="66">
        <f>countif('Sales Data Input'!$B$18:$B$529,G14)</f>
        <v>8</v>
      </c>
      <c r="H13" s="66">
        <f>countif('Sales Data Input'!$B$18:$B$529,H14)</f>
        <v>8</v>
      </c>
      <c r="I13" s="66">
        <f>countif('Sales Data Input'!$B$18:$B$529,I14)</f>
        <v>9</v>
      </c>
      <c r="J13" s="66">
        <f>countif('Sales Data Input'!$B$18:$B$529,J14)</f>
        <v>6</v>
      </c>
      <c r="K13" s="66">
        <f>countif('Sales Data Input'!$B$18:$B$529,K14)</f>
        <v>4</v>
      </c>
      <c r="L13" s="66">
        <f>countif('Sales Data Input'!$B$18:$B$529,L14)</f>
        <v>14</v>
      </c>
      <c r="M13" s="66">
        <f>countif('Sales Data Input'!$B$18:$B$529,M14)</f>
        <v>72</v>
      </c>
      <c r="N13" s="123">
        <f t="shared" si="4"/>
        <v>140</v>
      </c>
      <c r="O13" s="59"/>
      <c r="P13" s="135" t="s">
        <v>85</v>
      </c>
      <c r="Q13" s="136"/>
      <c r="R13" s="122">
        <f>countif('Sales Data Input'!$I$18:$I$529,R14)</f>
        <v>15</v>
      </c>
      <c r="S13" s="66">
        <f>countif('Sales Data Input'!$I$18:$I$529,S14)</f>
        <v>6</v>
      </c>
      <c r="T13" s="66">
        <f>countif('Sales Data Input'!$I$18:$I$529,T14)</f>
        <v>17</v>
      </c>
      <c r="U13" s="66">
        <f>countif('Sales Data Input'!$I$18:$I$529,U14)</f>
        <v>20</v>
      </c>
      <c r="V13" s="66">
        <f>countif('Sales Data Input'!$I$18:$I$529,V14)</f>
        <v>10</v>
      </c>
      <c r="W13" s="75">
        <f>countif('Sales Data Input'!$I$18:$I$529,W14)</f>
        <v>20</v>
      </c>
      <c r="X13" s="66">
        <f>countif('Sales Data Input'!$I$18:$I$529,X14)</f>
        <v>7</v>
      </c>
      <c r="Y13" s="66">
        <f>countif('Sales Data Input'!$I$18:$I$529,Y14)</f>
        <v>23</v>
      </c>
      <c r="Z13" s="66">
        <f>countif('Sales Data Input'!$I$18:$I$529,Z14)</f>
        <v>10</v>
      </c>
      <c r="AA13" s="66">
        <f>countif('Sales Data Input'!$I$18:$I$529,AA14)</f>
        <v>12</v>
      </c>
      <c r="AB13" s="123">
        <f t="shared" si="5"/>
        <v>140</v>
      </c>
    </row>
    <row r="14">
      <c r="B14" s="144" t="str">
        <f>'Sales Data Input'!B1</f>
        <v>Brands</v>
      </c>
      <c r="C14" s="145"/>
      <c r="D14" s="139" t="str">
        <f>'Sales Data Input'!B2</f>
        <v>Smith</v>
      </c>
      <c r="E14" s="140" t="str">
        <f>'Sales Data Input'!B3</f>
        <v>Jones</v>
      </c>
      <c r="F14" s="140" t="str">
        <f>'Sales Data Input'!B4</f>
        <v>Wessen</v>
      </c>
      <c r="G14" s="140" t="str">
        <f>'Sales Data Input'!B5</f>
        <v>Apple</v>
      </c>
      <c r="H14" s="140" t="str">
        <f>'Sales Data Input'!B6</f>
        <v>Honda</v>
      </c>
      <c r="I14" s="140" t="str">
        <f>'Sales Data Input'!B7</f>
        <v>Seiko</v>
      </c>
      <c r="J14" s="140" t="str">
        <f>'Sales Data Input'!B8</f>
        <v>Shimano</v>
      </c>
      <c r="K14" s="140" t="str">
        <f>'Sales Data Input'!B9</f>
        <v>Samsung</v>
      </c>
      <c r="L14" s="140" t="str">
        <f>'Sales Data Input'!B10</f>
        <v>Dulux</v>
      </c>
      <c r="M14" s="140" t="str">
        <f>'Sales Data Input'!B11</f>
        <v>Toyota</v>
      </c>
      <c r="N14" s="141"/>
      <c r="O14" s="59"/>
      <c r="P14" s="144" t="str">
        <f>'Sales Data Input'!I1</f>
        <v>Region</v>
      </c>
      <c r="Q14" s="145"/>
      <c r="R14" s="142" t="str">
        <f>'Sales Data Input'!I2</f>
        <v>Auckland</v>
      </c>
      <c r="S14" s="127" t="str">
        <f>'Sales Data Input'!I3</f>
        <v>Christchurch</v>
      </c>
      <c r="T14" s="127" t="str">
        <f>'Sales Data Input'!I4</f>
        <v>Wellington</v>
      </c>
      <c r="U14" s="127" t="str">
        <f>'Sales Data Input'!I5</f>
        <v>Hamilton</v>
      </c>
      <c r="V14" s="127" t="str">
        <f>'Sales Data Input'!I6</f>
        <v>Tauranga</v>
      </c>
      <c r="W14" s="143" t="str">
        <f>'Sales Data Input'!I7</f>
        <v>Rotorua</v>
      </c>
      <c r="X14" s="127" t="str">
        <f>'Sales Data Input'!I8</f>
        <v>Nelson</v>
      </c>
      <c r="Y14" s="127" t="str">
        <f>'Sales Data Input'!I9</f>
        <v>Dunedin</v>
      </c>
      <c r="Z14" s="127" t="str">
        <f>'Sales Data Input'!I10</f>
        <v>Invercargill</v>
      </c>
      <c r="AA14" s="127" t="str">
        <f>'Sales Data Input'!I11</f>
        <v>Kaitaia</v>
      </c>
      <c r="AB14" s="141"/>
    </row>
    <row r="15">
      <c r="B15" s="146"/>
      <c r="C15" s="146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65"/>
      <c r="P15" s="65"/>
      <c r="Q15" s="65"/>
      <c r="R15" s="147"/>
      <c r="S15" s="147"/>
      <c r="T15" s="147"/>
      <c r="U15" s="147"/>
      <c r="V15" s="147"/>
      <c r="W15" s="148"/>
      <c r="X15" s="59"/>
      <c r="Y15" s="149"/>
      <c r="Z15" s="59"/>
      <c r="AA15" s="59"/>
      <c r="AB15" s="59"/>
    </row>
    <row r="16">
      <c r="B16" s="150" t="s">
        <v>86</v>
      </c>
      <c r="C16" s="150" t="s">
        <v>87</v>
      </c>
      <c r="D16" s="151">
        <f>SUMIFS('Sales Data Input'!$G18:$G535,'Sales Data Input'!$E18:$E535,"&gt;="&amp;D19,'Sales Data Input'!$E18:$E535,"&lt;="&amp;E19)</f>
        <v>1129</v>
      </c>
      <c r="E16" s="152">
        <f>SUMIFS('Sales Data Input'!$E18:$E535,'Sales Data Input'!$E18:$E535,"&gt;="&amp;D19,'Sales Data Input'!$E18:$E535,"&lt;="&amp;E19)</f>
        <v>2369</v>
      </c>
      <c r="F16" s="153">
        <f>SUMIFS('Sales Data Input'!$G18:$G535,'Sales Data Input'!$E18:$E535,"&gt;="&amp;F19,'Sales Data Input'!$E18:$E535,"&lt;="&amp;G19)</f>
        <v>1309</v>
      </c>
      <c r="G16" s="152">
        <f>SUMIFS('Sales Data Input'!$E18:$E535,'Sales Data Input'!$E18:$E535,"&gt;="&amp;F19,'Sales Data Input'!$E18:$E535,"&lt;="&amp;G19)</f>
        <v>2534</v>
      </c>
      <c r="H16" s="153">
        <f>SUMIFS('Sales Data Input'!$G18:$G535,'Sales Data Input'!$E18:$E535,"&gt;="&amp;H19,'Sales Data Input'!$E18:$E535,"&lt;="&amp;I19)</f>
        <v>14326</v>
      </c>
      <c r="I16" s="152">
        <f>SUMIFS('Sales Data Input'!$E18:$E535,'Sales Data Input'!$E18:$E535,"&gt;="&amp;H19,'Sales Data Input'!$E18:$E535,"&lt;="&amp;I19)</f>
        <v>27630</v>
      </c>
      <c r="J16" s="153">
        <f>SUMIFS('Sales Data Input'!$G18:$G535,'Sales Data Input'!$E18:$E535,"&gt;="&amp;J19,'Sales Data Input'!$E18:$E535,"&lt;="&amp;K19)</f>
        <v>8107</v>
      </c>
      <c r="K16" s="152">
        <f>SUMIFS('Sales Data Input'!$E18:$E535,'Sales Data Input'!$E18:$E535,"&gt;="&amp;J19,'Sales Data Input'!$E18:$E535,"&lt;="&amp;K19)</f>
        <v>17550</v>
      </c>
      <c r="L16" s="153">
        <f>SUMIFS('Sales Data Input'!$G18:$G535,'Sales Data Input'!$E18:$E535,"&gt;="&amp;L19,'Sales Data Input'!$E18:$E535,"&lt;="&amp;M19)</f>
        <v>42305</v>
      </c>
      <c r="M16" s="152">
        <f>SUMIFS('Sales Data Input'!$E18:$E535,'Sales Data Input'!$E18:$E535,"&gt;="&amp;L19,'Sales Data Input'!$E18:$E535,"&lt;="&amp;M19)</f>
        <v>83000</v>
      </c>
      <c r="N16" s="153">
        <f>SUMIFS('Sales Data Input'!$G18:$G535,'Sales Data Input'!$E18:$E535,"&gt;="&amp;N19,'Sales Data Input'!$E18:$E535,"&lt;="&amp;O19)</f>
        <v>41007</v>
      </c>
      <c r="O16" s="152">
        <f>SUMIFS('Sales Data Input'!$E18:$E535,'Sales Data Input'!$E18:$E535,"&gt;="&amp;N19,'Sales Data Input'!$E18:$E535,"&lt;="&amp;O19)</f>
        <v>86700</v>
      </c>
      <c r="P16" s="153">
        <f>SUMIFS('Sales Data Input'!$G18:$G535,'Sales Data Input'!$E18:$E535,"&gt;="&amp;P19,'Sales Data Input'!$E18:$E535,"&lt;="&amp;Q19)</f>
        <v>7223</v>
      </c>
      <c r="Q16" s="152">
        <f>SUMIFS('Sales Data Input'!$E18:$E535,'Sales Data Input'!$E18:$E535,"&gt;="&amp;P19,'Sales Data Input'!$E18:$E535,"&lt;="&amp;Q19)</f>
        <v>18100</v>
      </c>
      <c r="R16" s="153">
        <f>SUMIFS('Sales Data Input'!$G18:$G535,'Sales Data Input'!$E18:$E535,"&gt;="&amp;R19,'Sales Data Input'!$E18:$E535,"&lt;="&amp;S19)</f>
        <v>6483</v>
      </c>
      <c r="S16" s="152">
        <f>SUMIFS('Sales Data Input'!$E18:$E535,'Sales Data Input'!$E18:$E535,"&gt;="&amp;R19,'Sales Data Input'!$E18:$E535,"&lt;="&amp;S19)</f>
        <v>16550</v>
      </c>
      <c r="T16" s="153">
        <f>SUMIFS('Sales Data Input'!$G18:$G535,'Sales Data Input'!$E18:$E535,"&gt;="&amp;T19,'Sales Data Input'!$E18:$E535,"&lt;="&amp;U19)</f>
        <v>0</v>
      </c>
      <c r="U16" s="152">
        <f>SUMIFS('Sales Data Input'!$E18:$E535,'Sales Data Input'!$E18:$E535,"&gt;="&amp;T19,'Sales Data Input'!$E18:$E535,"&lt;="&amp;U19)</f>
        <v>0</v>
      </c>
      <c r="V16" s="153">
        <f>SUMIF('Sales Data Input'!$E18:$E535,"&gt;="&amp;V19,'Sales Data Input'!$G18:FE535)</f>
        <v>8400</v>
      </c>
      <c r="W16" s="154">
        <f>SUMIF('Sales Data Input'!$E18:$E535,"&gt;="&amp;V19,'Sales Data Input'!$E18:$E535)</f>
        <v>15250</v>
      </c>
      <c r="X16" s="155">
        <f>V16+T16+R16+P16+N16+L16+J16+H16+F16+D16</f>
        <v>130289</v>
      </c>
      <c r="Z16" s="59"/>
      <c r="AA16" s="59"/>
      <c r="AB16" s="59"/>
    </row>
    <row r="17">
      <c r="B17" s="156" t="s">
        <v>88</v>
      </c>
      <c r="C17" s="157"/>
      <c r="D17" s="158">
        <f>COUNTIFS('Sales Data Input'!E18:E537,"&gt;="&amp;D19,'Sales Data Input'!E18:E537,"&lt;="&amp;E19)</f>
        <v>13</v>
      </c>
      <c r="E17" s="159"/>
      <c r="F17" s="160">
        <f>COUNTIFS('Sales Data Input'!E18:E537,"&gt;="&amp;F19,'Sales Data Input'!E18:E537,"&lt;="&amp;G19)</f>
        <v>7</v>
      </c>
      <c r="G17" s="159"/>
      <c r="H17" s="161">
        <f>COUNTIFS('Sales Data Input'!E18:E537,"&gt;="&amp;H19,'Sales Data Input'!E18:E537,"&lt;="&amp;I19)</f>
        <v>36</v>
      </c>
      <c r="I17" s="159"/>
      <c r="J17" s="160">
        <f>COUNTIFS('Sales Data Input'!E18:E537,"&gt;="&amp;J19,'Sales Data Input'!E18:E537,"&lt;="&amp;K19)</f>
        <v>13</v>
      </c>
      <c r="K17" s="159"/>
      <c r="L17" s="160">
        <f>COUNTIFS('Sales Data Input'!E18:E537,"&gt;="&amp;L19,'Sales Data Input'!E18:E537,"&lt;"&amp;M19)</f>
        <v>40</v>
      </c>
      <c r="M17" s="159"/>
      <c r="N17" s="160">
        <f>COUNTIFS('Sales Data Input'!E18:E537,"&gt;"&amp;N19,'Sales Data Input'!E18:E537,"&lt;"&amp;O19)</f>
        <v>25</v>
      </c>
      <c r="O17" s="159"/>
      <c r="P17" s="160">
        <f>COUNTIFS('Sales Data Input'!E18:E537,"&gt;="&amp;P19,'Sales Data Input'!E18:E537,"&lt;="&amp;Q19)</f>
        <v>3</v>
      </c>
      <c r="Q17" s="159"/>
      <c r="R17" s="160">
        <f>COUNTIFS('Sales Data Input'!E18:E537,"&gt;="&amp;R19,'Sales Data Input'!E18:E537,"&lt;="&amp;S19)</f>
        <v>2</v>
      </c>
      <c r="S17" s="159"/>
      <c r="T17" s="160">
        <f>COUNTIFS('Sales Data Input'!E18:E537,"&gt;="&amp;T19,'Sales Data Input'!E18:E537,"&lt;="&amp;U19)</f>
        <v>0</v>
      </c>
      <c r="U17" s="159"/>
      <c r="V17" s="162">
        <f>COUNTIF('Sales Data Input'!E18:E537,"&gt;="&amp;V19)</f>
        <v>1</v>
      </c>
      <c r="W17" s="75"/>
      <c r="X17" s="163">
        <f>W16+U16+S16+Q16+O16+M16+K16+I16+G16+E16</f>
        <v>269683</v>
      </c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</row>
    <row r="18">
      <c r="B18" s="164"/>
      <c r="C18" s="165"/>
      <c r="D18" s="166" t="s">
        <v>89</v>
      </c>
      <c r="E18" s="159"/>
      <c r="F18" s="167" t="s">
        <v>89</v>
      </c>
      <c r="G18" s="159"/>
      <c r="H18" s="167" t="s">
        <v>89</v>
      </c>
      <c r="I18" s="159"/>
      <c r="J18" s="167" t="s">
        <v>89</v>
      </c>
      <c r="K18" s="159"/>
      <c r="L18" s="167" t="s">
        <v>89</v>
      </c>
      <c r="M18" s="159"/>
      <c r="N18" s="167" t="s">
        <v>89</v>
      </c>
      <c r="O18" s="159"/>
      <c r="P18" s="167" t="s">
        <v>89</v>
      </c>
      <c r="Q18" s="159"/>
      <c r="R18" s="167" t="s">
        <v>89</v>
      </c>
      <c r="S18" s="159"/>
      <c r="T18" s="167" t="s">
        <v>89</v>
      </c>
      <c r="U18" s="159"/>
      <c r="V18" s="168" t="s">
        <v>5</v>
      </c>
      <c r="W18" s="75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</row>
    <row r="19">
      <c r="B19" s="135" t="s">
        <v>90</v>
      </c>
      <c r="C19" s="136"/>
      <c r="D19" s="169">
        <f>Report!F6</f>
        <v>1</v>
      </c>
      <c r="E19" s="170">
        <f>Report!H6</f>
        <v>250</v>
      </c>
      <c r="F19" s="170">
        <f>Report!F7</f>
        <v>251</v>
      </c>
      <c r="G19" s="170">
        <f>Report!H7</f>
        <v>500</v>
      </c>
      <c r="H19" s="170">
        <f>Report!F8</f>
        <v>501</v>
      </c>
      <c r="I19" s="170">
        <f>Report!H8</f>
        <v>1000</v>
      </c>
      <c r="J19" s="170">
        <f>Report!F9</f>
        <v>1001</v>
      </c>
      <c r="K19" s="170">
        <f>Report!H9</f>
        <v>1500</v>
      </c>
      <c r="L19" s="170">
        <f>Report!F10</f>
        <v>1501</v>
      </c>
      <c r="M19" s="170">
        <f>Report!H10</f>
        <v>2500</v>
      </c>
      <c r="N19" s="170">
        <f>Report!F11</f>
        <v>2501</v>
      </c>
      <c r="O19" s="170">
        <f>Report!H11</f>
        <v>5000</v>
      </c>
      <c r="P19" s="170">
        <f>Report!F12</f>
        <v>5001</v>
      </c>
      <c r="Q19" s="170">
        <f>Report!H12</f>
        <v>7500</v>
      </c>
      <c r="R19" s="170">
        <f>Report!F13</f>
        <v>7501</v>
      </c>
      <c r="S19" s="170">
        <f>Report!H13</f>
        <v>10000</v>
      </c>
      <c r="T19" s="170">
        <f>Report!F14</f>
        <v>10001</v>
      </c>
      <c r="U19" s="170">
        <f>Report!H14</f>
        <v>15000</v>
      </c>
      <c r="V19" s="170">
        <f>Report!H15</f>
        <v>15001</v>
      </c>
      <c r="W19" s="106"/>
      <c r="X19" s="87"/>
      <c r="Y19" s="87"/>
      <c r="Z19" s="87"/>
      <c r="AA19" s="87"/>
      <c r="AB19" s="87"/>
      <c r="AC19" s="171"/>
      <c r="AD19" s="171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172"/>
      <c r="AS19" s="59"/>
      <c r="AT19" s="86"/>
      <c r="AU19" s="86"/>
      <c r="AV19" s="86"/>
      <c r="AW19" s="86"/>
      <c r="AX19" s="86"/>
      <c r="AY19" s="86"/>
      <c r="AZ19" s="86"/>
      <c r="BA19" s="86"/>
      <c r="BB19" s="86"/>
    </row>
    <row r="20">
      <c r="B20" s="147"/>
      <c r="C20" s="147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75"/>
      <c r="X20" s="59"/>
      <c r="Y20" s="59"/>
      <c r="Z20" s="59"/>
      <c r="AA20" s="59"/>
      <c r="AB20" s="59"/>
      <c r="AC20" s="66"/>
      <c r="AD20" s="66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>
      <c r="W21" s="112"/>
    </row>
    <row r="22">
      <c r="W22" s="112"/>
    </row>
    <row r="23">
      <c r="W23" s="112"/>
    </row>
    <row r="24">
      <c r="W24" s="112"/>
    </row>
    <row r="25">
      <c r="B25" s="173"/>
      <c r="C25" s="174" t="str">
        <f>'Sales Data Input'!B1</f>
        <v>Brands</v>
      </c>
      <c r="D25" s="175" t="s">
        <v>2</v>
      </c>
      <c r="E25" s="175" t="s">
        <v>3</v>
      </c>
      <c r="F25" s="176" t="s">
        <v>4</v>
      </c>
      <c r="G25" s="177"/>
      <c r="H25" s="174" t="str">
        <f>'Sales Data Input'!C1</f>
        <v>Products</v>
      </c>
      <c r="I25" s="175" t="s">
        <v>2</v>
      </c>
      <c r="J25" s="175" t="s">
        <v>3</v>
      </c>
      <c r="K25" s="176" t="s">
        <v>4</v>
      </c>
      <c r="L25" s="113"/>
      <c r="M25" s="178" t="s">
        <v>12</v>
      </c>
      <c r="N25" s="179" t="str">
        <f t="shared" ref="N25:P25" si="6">I25</f>
        <v>Transactions</v>
      </c>
      <c r="O25" s="179" t="str">
        <f t="shared" si="6"/>
        <v>Sales Value</v>
      </c>
      <c r="P25" s="179" t="str">
        <f t="shared" si="6"/>
        <v>Sales Margin</v>
      </c>
      <c r="Q25" s="113"/>
      <c r="R25" s="174" t="str">
        <f>'Sales Data Input'!J1</f>
        <v>Sales Person</v>
      </c>
      <c r="S25" s="179" t="str">
        <f t="shared" ref="S25:U25" si="7">N25</f>
        <v>Transactions</v>
      </c>
      <c r="T25" s="179" t="str">
        <f t="shared" si="7"/>
        <v>Sales Value</v>
      </c>
      <c r="U25" s="179" t="str">
        <f t="shared" si="7"/>
        <v>Sales Margin</v>
      </c>
      <c r="V25" s="177"/>
      <c r="W25" s="180" t="str">
        <f>'Sales Data Input'!D1</f>
        <v>Product Category</v>
      </c>
      <c r="X25" s="173" t="str">
        <f t="shared" ref="X25:Z25" si="8">S25</f>
        <v>Transactions</v>
      </c>
      <c r="Y25" s="173" t="str">
        <f t="shared" si="8"/>
        <v>Sales Value</v>
      </c>
      <c r="Z25" s="173" t="str">
        <f t="shared" si="8"/>
        <v>Sales Margin</v>
      </c>
      <c r="AA25" s="66"/>
    </row>
    <row r="26">
      <c r="B26" s="173"/>
      <c r="C26" s="181" t="str">
        <f>'Sales Data Input'!B2</f>
        <v>Smith</v>
      </c>
      <c r="D26" s="173">
        <f>D13</f>
        <v>8</v>
      </c>
      <c r="E26" s="182">
        <f>D12</f>
        <v>59500</v>
      </c>
      <c r="F26" s="182">
        <f>D11</f>
        <v>26570</v>
      </c>
      <c r="G26" s="177"/>
      <c r="H26" s="181" t="str">
        <f>'Sales Data Input'!C2</f>
        <v>Coco</v>
      </c>
      <c r="I26" s="183">
        <f>D9</f>
        <v>14</v>
      </c>
      <c r="J26" s="184">
        <f>D8</f>
        <v>38185</v>
      </c>
      <c r="K26" s="182">
        <f>D7</f>
        <v>20337</v>
      </c>
      <c r="L26" s="113"/>
      <c r="M26" s="181" t="str">
        <f>'Sales Data Input'!I2</f>
        <v>Auckland</v>
      </c>
      <c r="N26" s="173">
        <f>R13</f>
        <v>15</v>
      </c>
      <c r="O26" s="182">
        <f>R12</f>
        <v>64275</v>
      </c>
      <c r="P26" s="182">
        <f>R11</f>
        <v>29390</v>
      </c>
      <c r="Q26" s="113"/>
      <c r="R26" s="181" t="str">
        <f>'Sales Data Input'!J2</f>
        <v>Billy</v>
      </c>
      <c r="S26" s="173">
        <f>R9</f>
        <v>14</v>
      </c>
      <c r="T26" s="182">
        <f>R8</f>
        <v>38185</v>
      </c>
      <c r="U26" s="182">
        <f>R7</f>
        <v>20337</v>
      </c>
      <c r="V26" s="177"/>
      <c r="W26" s="185" t="str">
        <f>'Sales Data Input'!D2</f>
        <v>Full Auto</v>
      </c>
      <c r="X26" s="173">
        <f>D5</f>
        <v>20</v>
      </c>
      <c r="Y26" s="182">
        <f>D4</f>
        <v>37470</v>
      </c>
      <c r="Z26" s="182">
        <f>D3</f>
        <v>20080</v>
      </c>
      <c r="AA26" s="66"/>
    </row>
    <row r="27">
      <c r="B27" s="173"/>
      <c r="C27" s="181" t="str">
        <f>'Sales Data Input'!B3</f>
        <v>Jones</v>
      </c>
      <c r="D27" s="173">
        <f>E13</f>
        <v>5</v>
      </c>
      <c r="E27" s="182">
        <f>E12</f>
        <v>21900</v>
      </c>
      <c r="F27" s="182">
        <f>E11</f>
        <v>8673</v>
      </c>
      <c r="G27" s="177"/>
      <c r="H27" s="181" t="str">
        <f>'Sales Data Input'!C3</f>
        <v>Zoco</v>
      </c>
      <c r="I27" s="183">
        <f>E9</f>
        <v>14</v>
      </c>
      <c r="J27" s="184">
        <f>E8</f>
        <v>29485</v>
      </c>
      <c r="K27" s="182">
        <f>E7</f>
        <v>13363</v>
      </c>
      <c r="L27" s="113"/>
      <c r="M27" s="181" t="str">
        <f>'Sales Data Input'!I3</f>
        <v>Christchurch</v>
      </c>
      <c r="N27" s="173">
        <f>S13</f>
        <v>6</v>
      </c>
      <c r="O27" s="182">
        <f>S12</f>
        <v>25650</v>
      </c>
      <c r="P27" s="182">
        <f>S11</f>
        <v>10278</v>
      </c>
      <c r="Q27" s="113"/>
      <c r="R27" s="181" t="str">
        <f>'Sales Data Input'!J3</f>
        <v>Bobby</v>
      </c>
      <c r="S27" s="173">
        <f>S9</f>
        <v>14</v>
      </c>
      <c r="T27" s="182">
        <f>S8</f>
        <v>29485</v>
      </c>
      <c r="U27" s="182">
        <f>S7</f>
        <v>13363</v>
      </c>
      <c r="V27" s="177"/>
      <c r="W27" s="185" t="str">
        <f>'Sales Data Input'!D3</f>
        <v>Semi Auto</v>
      </c>
      <c r="X27" s="173">
        <f>E5</f>
        <v>25</v>
      </c>
      <c r="Y27" s="182">
        <f>E4</f>
        <v>43301</v>
      </c>
      <c r="Z27" s="182">
        <f>E3</f>
        <v>18778</v>
      </c>
      <c r="AA27" s="66"/>
    </row>
    <row r="28">
      <c r="B28" s="173"/>
      <c r="C28" s="181" t="str">
        <f>'Sales Data Input'!B4</f>
        <v>Wessen</v>
      </c>
      <c r="D28" s="173">
        <f>F13</f>
        <v>6</v>
      </c>
      <c r="E28" s="182">
        <f>F12</f>
        <v>20300</v>
      </c>
      <c r="F28" s="182">
        <f>F11</f>
        <v>9509</v>
      </c>
      <c r="G28" s="177"/>
      <c r="H28" s="181" t="str">
        <f>'Sales Data Input'!C4</f>
        <v>Mofo</v>
      </c>
      <c r="I28" s="183">
        <f>F9</f>
        <v>14</v>
      </c>
      <c r="J28" s="184">
        <f>F8</f>
        <v>28535</v>
      </c>
      <c r="K28" s="182">
        <f>F7</f>
        <v>12882</v>
      </c>
      <c r="L28" s="113"/>
      <c r="M28" s="181" t="str">
        <f>'Sales Data Input'!I4</f>
        <v>Wellington</v>
      </c>
      <c r="N28" s="173">
        <f>T13</f>
        <v>17</v>
      </c>
      <c r="O28" s="182">
        <f>T12</f>
        <v>28715</v>
      </c>
      <c r="P28" s="182">
        <f>T11</f>
        <v>14178</v>
      </c>
      <c r="Q28" s="113"/>
      <c r="R28" s="181" t="str">
        <f>'Sales Data Input'!J4</f>
        <v>Betty</v>
      </c>
      <c r="S28" s="173">
        <f>T9</f>
        <v>14</v>
      </c>
      <c r="T28" s="182">
        <f>T8</f>
        <v>28535</v>
      </c>
      <c r="U28" s="182">
        <f>T7</f>
        <v>12882</v>
      </c>
      <c r="V28" s="177"/>
      <c r="W28" s="185" t="str">
        <f>'Sales Data Input'!D4</f>
        <v>Double Barrel</v>
      </c>
      <c r="X28" s="173">
        <f>F5</f>
        <v>19</v>
      </c>
      <c r="Y28" s="182">
        <f>F4</f>
        <v>43900</v>
      </c>
      <c r="Z28" s="182">
        <f>F3</f>
        <v>21919</v>
      </c>
      <c r="AA28" s="66"/>
    </row>
    <row r="29">
      <c r="B29" s="173"/>
      <c r="C29" s="181" t="str">
        <f>'Sales Data Input'!B5</f>
        <v>Apple</v>
      </c>
      <c r="D29" s="173">
        <f>G13</f>
        <v>8</v>
      </c>
      <c r="E29" s="182">
        <f>G12</f>
        <v>23500</v>
      </c>
      <c r="F29" s="182">
        <f>G11</f>
        <v>11369</v>
      </c>
      <c r="G29" s="177"/>
      <c r="H29" s="181" t="str">
        <f>'Sales Data Input'!C5</f>
        <v>Bojo</v>
      </c>
      <c r="I29" s="183">
        <f>G9</f>
        <v>14</v>
      </c>
      <c r="J29" s="184">
        <f>G8</f>
        <v>27130</v>
      </c>
      <c r="K29" s="182">
        <f>G7</f>
        <v>12634</v>
      </c>
      <c r="L29" s="113"/>
      <c r="M29" s="181" t="str">
        <f>'Sales Data Input'!I5</f>
        <v>Hamilton</v>
      </c>
      <c r="N29" s="173">
        <f>U13</f>
        <v>20</v>
      </c>
      <c r="O29" s="182">
        <f>U12</f>
        <v>21160</v>
      </c>
      <c r="P29" s="182">
        <f>U11</f>
        <v>10672</v>
      </c>
      <c r="Q29" s="113"/>
      <c r="R29" s="181" t="str">
        <f>'Sales Data Input'!J5</f>
        <v>Barry</v>
      </c>
      <c r="S29" s="173">
        <f>U9</f>
        <v>14</v>
      </c>
      <c r="T29" s="182">
        <f>U8</f>
        <v>27130</v>
      </c>
      <c r="U29" s="182">
        <f>U7</f>
        <v>12634</v>
      </c>
      <c r="V29" s="177"/>
      <c r="W29" s="185" t="str">
        <f>'Sales Data Input'!D5</f>
        <v>Single Barrel</v>
      </c>
      <c r="X29" s="173">
        <f>G5</f>
        <v>17</v>
      </c>
      <c r="Y29" s="182">
        <f>G4</f>
        <v>23697</v>
      </c>
      <c r="Z29" s="182">
        <f>G3</f>
        <v>11205</v>
      </c>
      <c r="AA29" s="66"/>
    </row>
    <row r="30">
      <c r="B30" s="173"/>
      <c r="C30" s="181" t="str">
        <f>'Sales Data Input'!B6</f>
        <v>Honda</v>
      </c>
      <c r="D30" s="173">
        <f>H13</f>
        <v>8</v>
      </c>
      <c r="E30" s="182">
        <f>H12</f>
        <v>21000</v>
      </c>
      <c r="F30" s="182">
        <f>H11</f>
        <v>12437</v>
      </c>
      <c r="G30" s="177"/>
      <c r="H30" s="181" t="str">
        <f>'Sales Data Input'!C6</f>
        <v>Lodo</v>
      </c>
      <c r="I30" s="183">
        <f>H9</f>
        <v>14</v>
      </c>
      <c r="J30" s="184">
        <f>H8</f>
        <v>26060</v>
      </c>
      <c r="K30" s="182">
        <f>H7</f>
        <v>11165</v>
      </c>
      <c r="L30" s="113"/>
      <c r="M30" s="181" t="str">
        <f>'Sales Data Input'!I6</f>
        <v>Tauranga</v>
      </c>
      <c r="N30" s="173">
        <f>V13</f>
        <v>10</v>
      </c>
      <c r="O30" s="182">
        <f>V12</f>
        <v>25800</v>
      </c>
      <c r="P30" s="182">
        <f>V11</f>
        <v>14837</v>
      </c>
      <c r="Q30" s="113"/>
      <c r="R30" s="181" t="str">
        <f>'Sales Data Input'!J6</f>
        <v>Mary</v>
      </c>
      <c r="S30" s="173">
        <f>V9</f>
        <v>14</v>
      </c>
      <c r="T30" s="182">
        <f>V8</f>
        <v>26060</v>
      </c>
      <c r="U30" s="182">
        <f>V7</f>
        <v>11165</v>
      </c>
      <c r="V30" s="177"/>
      <c r="W30" s="185" t="str">
        <f>'Sales Data Input'!D6</f>
        <v>Extra Shiny</v>
      </c>
      <c r="X30" s="173">
        <f>H5</f>
        <v>6</v>
      </c>
      <c r="Y30" s="182">
        <f>H4</f>
        <v>20050</v>
      </c>
      <c r="Z30" s="182">
        <f>H3</f>
        <v>8480</v>
      </c>
      <c r="AA30" s="66"/>
    </row>
    <row r="31">
      <c r="B31" s="173"/>
      <c r="C31" s="181" t="str">
        <f>'Sales Data Input'!B7</f>
        <v>Seiko</v>
      </c>
      <c r="D31" s="173">
        <f>I13</f>
        <v>9</v>
      </c>
      <c r="E31" s="182">
        <f>I12</f>
        <v>21600</v>
      </c>
      <c r="F31" s="182">
        <f>I11</f>
        <v>10800</v>
      </c>
      <c r="G31" s="177"/>
      <c r="H31" s="181" t="str">
        <f>'Sales Data Input'!C7</f>
        <v>Rodo</v>
      </c>
      <c r="I31" s="183">
        <f>I9</f>
        <v>14</v>
      </c>
      <c r="J31" s="184">
        <f>I8</f>
        <v>25267</v>
      </c>
      <c r="K31" s="182">
        <f>I7</f>
        <v>12134</v>
      </c>
      <c r="L31" s="113"/>
      <c r="M31" s="181" t="str">
        <f>'Sales Data Input'!I7</f>
        <v>Rotorua</v>
      </c>
      <c r="N31" s="173">
        <f>W13</f>
        <v>20</v>
      </c>
      <c r="O31" s="182">
        <f>W12</f>
        <v>32270</v>
      </c>
      <c r="P31" s="182">
        <f>W11</f>
        <v>16132</v>
      </c>
      <c r="Q31" s="113"/>
      <c r="R31" s="181" t="str">
        <f>'Sales Data Input'!J7</f>
        <v>Marg</v>
      </c>
      <c r="S31" s="173">
        <f>W9</f>
        <v>14</v>
      </c>
      <c r="T31" s="182">
        <f>W8</f>
        <v>25267</v>
      </c>
      <c r="U31" s="182">
        <f>W7</f>
        <v>12134</v>
      </c>
      <c r="V31" s="177"/>
      <c r="W31" s="185" t="str">
        <f>'Sales Data Input'!D7</f>
        <v>Low Sheen</v>
      </c>
      <c r="X31" s="173">
        <f>I5</f>
        <v>1</v>
      </c>
      <c r="Y31" s="182">
        <f>I4</f>
        <v>5800</v>
      </c>
      <c r="Z31" s="182">
        <f>I3</f>
        <v>2744</v>
      </c>
      <c r="AA31" s="66"/>
    </row>
    <row r="32">
      <c r="B32" s="173"/>
      <c r="C32" s="181" t="str">
        <f>'Sales Data Input'!B8</f>
        <v>Shimano</v>
      </c>
      <c r="D32" s="173">
        <f>J13</f>
        <v>6</v>
      </c>
      <c r="E32" s="182">
        <f>J12</f>
        <v>13850</v>
      </c>
      <c r="F32" s="182">
        <f>J11</f>
        <v>6863</v>
      </c>
      <c r="G32" s="177"/>
      <c r="H32" s="181" t="str">
        <f>'Sales Data Input'!C8</f>
        <v>Podo</v>
      </c>
      <c r="I32" s="183">
        <f>J9</f>
        <v>14</v>
      </c>
      <c r="J32" s="184">
        <f>J8</f>
        <v>24192</v>
      </c>
      <c r="K32" s="182">
        <f>J7</f>
        <v>12512</v>
      </c>
      <c r="L32" s="113"/>
      <c r="M32" s="181" t="str">
        <f>'Sales Data Input'!I8</f>
        <v>Nelson</v>
      </c>
      <c r="N32" s="173">
        <f>X13</f>
        <v>7</v>
      </c>
      <c r="O32" s="182">
        <f>X12</f>
        <v>14050</v>
      </c>
      <c r="P32" s="182">
        <f>X11</f>
        <v>6715</v>
      </c>
      <c r="Q32" s="113"/>
      <c r="R32" s="181" t="str">
        <f>'Sales Data Input'!J8</f>
        <v>Mavis</v>
      </c>
      <c r="S32" s="173">
        <f>X9</f>
        <v>14</v>
      </c>
      <c r="T32" s="182">
        <f>X8</f>
        <v>24192</v>
      </c>
      <c r="U32" s="182">
        <f>X7</f>
        <v>12512</v>
      </c>
      <c r="V32" s="177"/>
      <c r="W32" s="185" t="str">
        <f>'Sales Data Input'!D8</f>
        <v>Wet</v>
      </c>
      <c r="X32" s="173">
        <f>J5</f>
        <v>6</v>
      </c>
      <c r="Y32" s="182">
        <f>J4</f>
        <v>18150</v>
      </c>
      <c r="Z32" s="182">
        <f>J3</f>
        <v>10636</v>
      </c>
      <c r="AA32" s="66"/>
    </row>
    <row r="33">
      <c r="B33" s="173"/>
      <c r="C33" s="181" t="str">
        <f>'Sales Data Input'!B9</f>
        <v>Samsung</v>
      </c>
      <c r="D33" s="173">
        <f>K13</f>
        <v>4</v>
      </c>
      <c r="E33" s="182">
        <f>K12</f>
        <v>7400</v>
      </c>
      <c r="F33" s="182">
        <f>K11</f>
        <v>3452</v>
      </c>
      <c r="G33" s="177"/>
      <c r="H33" s="181" t="str">
        <f>'Sales Data Input'!C9</f>
        <v>Hodo</v>
      </c>
      <c r="I33" s="183">
        <f>K9</f>
        <v>14</v>
      </c>
      <c r="J33" s="184">
        <f>K8</f>
        <v>23793</v>
      </c>
      <c r="K33" s="182">
        <f>K7</f>
        <v>11880</v>
      </c>
      <c r="L33" s="113"/>
      <c r="M33" s="181" t="str">
        <f>'Sales Data Input'!I9</f>
        <v>Dunedin</v>
      </c>
      <c r="N33" s="173">
        <f>Y13</f>
        <v>23</v>
      </c>
      <c r="O33" s="182">
        <f>Y12</f>
        <v>31393</v>
      </c>
      <c r="P33" s="182">
        <f>Y11</f>
        <v>16083</v>
      </c>
      <c r="Q33" s="113"/>
      <c r="R33" s="181" t="str">
        <f>'Sales Data Input'!J9</f>
        <v>Steve</v>
      </c>
      <c r="S33" s="173">
        <f>Y9</f>
        <v>14</v>
      </c>
      <c r="T33" s="182">
        <f>Y8</f>
        <v>23793</v>
      </c>
      <c r="U33" s="182">
        <f>Y7</f>
        <v>11880</v>
      </c>
      <c r="V33" s="177"/>
      <c r="W33" s="185" t="str">
        <f>'Sales Data Input'!D9</f>
        <v>Dry</v>
      </c>
      <c r="X33" s="173">
        <f>K5</f>
        <v>17</v>
      </c>
      <c r="Y33" s="182">
        <f>K4</f>
        <v>24550</v>
      </c>
      <c r="Z33" s="182">
        <f>K3</f>
        <v>12883</v>
      </c>
      <c r="AA33" s="66"/>
    </row>
    <row r="34">
      <c r="B34" s="173"/>
      <c r="C34" s="181" t="str">
        <f>'Sales Data Input'!B10</f>
        <v>Dulux</v>
      </c>
      <c r="D34" s="173">
        <f>L13</f>
        <v>14</v>
      </c>
      <c r="E34" s="182">
        <f>L12</f>
        <v>25450</v>
      </c>
      <c r="F34" s="182">
        <f>L11</f>
        <v>12619</v>
      </c>
      <c r="G34" s="177"/>
      <c r="H34" s="181" t="str">
        <f>'Sales Data Input'!C10</f>
        <v>Dodo</v>
      </c>
      <c r="I34" s="183">
        <f>L9</f>
        <v>14</v>
      </c>
      <c r="J34" s="184">
        <f>L8</f>
        <v>23793</v>
      </c>
      <c r="K34" s="182">
        <f>L7</f>
        <v>12551</v>
      </c>
      <c r="L34" s="113"/>
      <c r="M34" s="181" t="str">
        <f>'Sales Data Input'!I10</f>
        <v>Invercargill</v>
      </c>
      <c r="N34" s="173">
        <f>Z13</f>
        <v>10</v>
      </c>
      <c r="O34" s="182">
        <f>Z12</f>
        <v>13500</v>
      </c>
      <c r="P34" s="182">
        <f>Z11</f>
        <v>6412</v>
      </c>
      <c r="Q34" s="113"/>
      <c r="R34" s="181" t="str">
        <f>'Sales Data Input'!J10</f>
        <v>Sue</v>
      </c>
      <c r="S34" s="173">
        <f>Z9</f>
        <v>14</v>
      </c>
      <c r="T34" s="182">
        <f>Z8</f>
        <v>23793</v>
      </c>
      <c r="U34" s="182">
        <f>Z7</f>
        <v>12551</v>
      </c>
      <c r="V34" s="177"/>
      <c r="W34" s="185" t="str">
        <f>'Sales Data Input'!D10</f>
        <v>Hard</v>
      </c>
      <c r="X34" s="173">
        <f>L5</f>
        <v>10</v>
      </c>
      <c r="Y34" s="182">
        <f>L4</f>
        <v>15470</v>
      </c>
      <c r="Z34" s="182">
        <f>L3</f>
        <v>6992</v>
      </c>
      <c r="AA34" s="66"/>
    </row>
    <row r="35">
      <c r="B35" s="59"/>
      <c r="C35" s="181" t="str">
        <f>'Sales Data Input'!B11</f>
        <v>Toyota</v>
      </c>
      <c r="D35" s="173">
        <f>M13</f>
        <v>72</v>
      </c>
      <c r="E35" s="182">
        <f>M12</f>
        <v>55183</v>
      </c>
      <c r="F35" s="182">
        <f>M11</f>
        <v>27997</v>
      </c>
      <c r="G35" s="113"/>
      <c r="H35" s="181" t="str">
        <f>'Sales Data Input'!C11</f>
        <v>Sodo</v>
      </c>
      <c r="I35" s="183">
        <f>M9</f>
        <v>14</v>
      </c>
      <c r="J35" s="184">
        <f>M8</f>
        <v>23243</v>
      </c>
      <c r="K35" s="182">
        <f>M7</f>
        <v>10831</v>
      </c>
      <c r="L35" s="113"/>
      <c r="M35" s="181" t="str">
        <f>'Sales Data Input'!I11</f>
        <v>Kaitaia</v>
      </c>
      <c r="N35" s="173">
        <f>AA13</f>
        <v>12</v>
      </c>
      <c r="O35" s="182">
        <f>AA12</f>
        <v>12870</v>
      </c>
      <c r="P35" s="182">
        <f>AA11</f>
        <v>5592</v>
      </c>
      <c r="Q35" s="113"/>
      <c r="R35" s="181" t="str">
        <f>'Sales Data Input'!J11</f>
        <v>Shaun</v>
      </c>
      <c r="S35" s="173">
        <f>Z9</f>
        <v>14</v>
      </c>
      <c r="T35" s="182">
        <f>AA8</f>
        <v>23243</v>
      </c>
      <c r="U35" s="182">
        <f>AA7</f>
        <v>10831</v>
      </c>
      <c r="V35" s="177"/>
      <c r="W35" s="186" t="str">
        <f>'Sales Data Input'!D11</f>
        <v>Soft</v>
      </c>
      <c r="X35" s="173">
        <f>M5</f>
        <v>19</v>
      </c>
      <c r="Y35" s="182">
        <f>M4</f>
        <v>37295</v>
      </c>
      <c r="Z35" s="182">
        <f>M3</f>
        <v>16572</v>
      </c>
      <c r="AA35" s="59"/>
    </row>
    <row r="36">
      <c r="B36" s="59"/>
      <c r="C36" s="181"/>
      <c r="D36" s="59"/>
      <c r="E36" s="59"/>
      <c r="F36" s="59"/>
      <c r="G36" s="113"/>
      <c r="H36" s="181"/>
      <c r="I36" s="59"/>
      <c r="J36" s="59"/>
      <c r="K36" s="59"/>
      <c r="L36" s="113"/>
      <c r="M36" s="187"/>
      <c r="N36" s="59"/>
      <c r="O36" s="59"/>
      <c r="P36" s="59"/>
      <c r="Q36" s="113"/>
      <c r="R36" s="188"/>
      <c r="S36" s="59"/>
      <c r="T36" s="59"/>
      <c r="U36" s="59"/>
      <c r="V36" s="177"/>
      <c r="W36" s="75"/>
      <c r="X36" s="59"/>
      <c r="Y36" s="59"/>
      <c r="Z36" s="59"/>
      <c r="AA36" s="59"/>
    </row>
    <row r="37">
      <c r="B37" s="59"/>
      <c r="C37" s="188"/>
      <c r="D37" s="173">
        <f t="shared" ref="D37:F37" si="9">sum(D26:D35)</f>
        <v>140</v>
      </c>
      <c r="E37" s="182">
        <f t="shared" si="9"/>
        <v>269683</v>
      </c>
      <c r="F37" s="182">
        <f t="shared" si="9"/>
        <v>130289</v>
      </c>
      <c r="G37" s="113"/>
      <c r="H37" s="188"/>
      <c r="I37" s="173">
        <f t="shared" ref="I37:K37" si="10">sum(I26:I35)</f>
        <v>140</v>
      </c>
      <c r="J37" s="182">
        <f t="shared" si="10"/>
        <v>269683</v>
      </c>
      <c r="K37" s="182">
        <f t="shared" si="10"/>
        <v>130289</v>
      </c>
      <c r="L37" s="113"/>
      <c r="M37" s="189"/>
      <c r="N37" s="173">
        <f t="shared" ref="N37:P37" si="11">sum(N26:N35)</f>
        <v>140</v>
      </c>
      <c r="O37" s="182">
        <f t="shared" si="11"/>
        <v>269683</v>
      </c>
      <c r="P37" s="182">
        <f t="shared" si="11"/>
        <v>130289</v>
      </c>
      <c r="Q37" s="113"/>
      <c r="R37" s="173"/>
      <c r="S37" s="173">
        <f t="shared" ref="S37:U37" si="12">sum(S26:S35)</f>
        <v>140</v>
      </c>
      <c r="T37" s="182">
        <f t="shared" si="12"/>
        <v>269683</v>
      </c>
      <c r="U37" s="182">
        <f t="shared" si="12"/>
        <v>130289</v>
      </c>
      <c r="V37" s="177"/>
      <c r="W37" s="186"/>
      <c r="X37" s="173">
        <f t="shared" ref="X37:Z37" si="13">sum(X26:X35)</f>
        <v>140</v>
      </c>
      <c r="Y37" s="182">
        <f t="shared" si="13"/>
        <v>269683</v>
      </c>
      <c r="Z37" s="182">
        <f t="shared" si="13"/>
        <v>130289</v>
      </c>
      <c r="AA37" s="59"/>
    </row>
    <row r="38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75"/>
      <c r="X38" s="59"/>
      <c r="Y38" s="59"/>
      <c r="Z38" s="59"/>
      <c r="AA38" s="59"/>
    </row>
    <row r="39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75"/>
      <c r="X39" s="59"/>
      <c r="Y39" s="59"/>
      <c r="Z39" s="59"/>
      <c r="AA39" s="59"/>
    </row>
    <row r="40">
      <c r="C40" s="190" t="str">
        <f t="shared" ref="C40:C52" si="14">C25</f>
        <v>Brands</v>
      </c>
      <c r="D40" s="190" t="str">
        <f t="shared" ref="D40:D50" si="15">E25</f>
        <v>Sales Value</v>
      </c>
      <c r="H40" s="190" t="str">
        <f t="shared" ref="H40:H52" si="16">H25</f>
        <v>Products</v>
      </c>
      <c r="I40" s="190" t="str">
        <f t="shared" ref="I40:I50" si="17">J25</f>
        <v>Sales Value</v>
      </c>
      <c r="M40" s="190" t="str">
        <f t="shared" ref="M40:M52" si="18">M25</f>
        <v>Region</v>
      </c>
      <c r="N40" s="190" t="str">
        <f t="shared" ref="N40:N50" si="19">O25</f>
        <v>Sales Value</v>
      </c>
      <c r="R40" s="190" t="str">
        <f t="shared" ref="R40:R52" si="20">R25</f>
        <v>Sales Person</v>
      </c>
      <c r="S40" s="190" t="str">
        <f t="shared" ref="S40:S50" si="21">T25</f>
        <v>Sales Value</v>
      </c>
      <c r="W40" s="191" t="str">
        <f t="shared" ref="W40:W52" si="22">W25</f>
        <v>Product Category</v>
      </c>
      <c r="X40" s="190" t="str">
        <f t="shared" ref="X40:X50" si="23">Y25</f>
        <v>Sales Value</v>
      </c>
    </row>
    <row r="41">
      <c r="C41" s="190" t="str">
        <f t="shared" si="14"/>
        <v>Smith</v>
      </c>
      <c r="D41" s="192">
        <f t="shared" si="15"/>
        <v>59500</v>
      </c>
      <c r="H41" s="190" t="str">
        <f t="shared" si="16"/>
        <v>Coco</v>
      </c>
      <c r="I41" s="192">
        <f t="shared" si="17"/>
        <v>38185</v>
      </c>
      <c r="M41" s="190" t="str">
        <f t="shared" si="18"/>
        <v>Auckland</v>
      </c>
      <c r="N41" s="192">
        <f t="shared" si="19"/>
        <v>64275</v>
      </c>
      <c r="R41" s="190" t="str">
        <f t="shared" si="20"/>
        <v>Billy</v>
      </c>
      <c r="S41" s="192">
        <f t="shared" si="21"/>
        <v>38185</v>
      </c>
      <c r="W41" s="191" t="str">
        <f t="shared" si="22"/>
        <v>Full Auto</v>
      </c>
      <c r="X41" s="192">
        <f t="shared" si="23"/>
        <v>37470</v>
      </c>
    </row>
    <row r="42">
      <c r="C42" s="190" t="str">
        <f t="shared" si="14"/>
        <v>Jones</v>
      </c>
      <c r="D42" s="192">
        <f t="shared" si="15"/>
        <v>21900</v>
      </c>
      <c r="H42" s="190" t="str">
        <f t="shared" si="16"/>
        <v>Zoco</v>
      </c>
      <c r="I42" s="192">
        <f t="shared" si="17"/>
        <v>29485</v>
      </c>
      <c r="M42" s="190" t="str">
        <f t="shared" si="18"/>
        <v>Christchurch</v>
      </c>
      <c r="N42" s="192">
        <f t="shared" si="19"/>
        <v>25650</v>
      </c>
      <c r="R42" s="190" t="str">
        <f t="shared" si="20"/>
        <v>Bobby</v>
      </c>
      <c r="S42" s="192">
        <f t="shared" si="21"/>
        <v>29485</v>
      </c>
      <c r="W42" s="191" t="str">
        <f t="shared" si="22"/>
        <v>Semi Auto</v>
      </c>
      <c r="X42" s="192">
        <f t="shared" si="23"/>
        <v>43301</v>
      </c>
    </row>
    <row r="43">
      <c r="C43" s="190" t="str">
        <f t="shared" si="14"/>
        <v>Wessen</v>
      </c>
      <c r="D43" s="192">
        <f t="shared" si="15"/>
        <v>20300</v>
      </c>
      <c r="H43" s="190" t="str">
        <f t="shared" si="16"/>
        <v>Mofo</v>
      </c>
      <c r="I43" s="192">
        <f t="shared" si="17"/>
        <v>28535</v>
      </c>
      <c r="M43" s="190" t="str">
        <f t="shared" si="18"/>
        <v>Wellington</v>
      </c>
      <c r="N43" s="192">
        <f t="shared" si="19"/>
        <v>28715</v>
      </c>
      <c r="R43" s="190" t="str">
        <f t="shared" si="20"/>
        <v>Betty</v>
      </c>
      <c r="S43" s="192">
        <f t="shared" si="21"/>
        <v>28535</v>
      </c>
      <c r="W43" s="191" t="str">
        <f t="shared" si="22"/>
        <v>Double Barrel</v>
      </c>
      <c r="X43" s="192">
        <f t="shared" si="23"/>
        <v>43900</v>
      </c>
    </row>
    <row r="44">
      <c r="C44" s="190" t="str">
        <f t="shared" si="14"/>
        <v>Apple</v>
      </c>
      <c r="D44" s="192">
        <f t="shared" si="15"/>
        <v>23500</v>
      </c>
      <c r="H44" s="190" t="str">
        <f t="shared" si="16"/>
        <v>Bojo</v>
      </c>
      <c r="I44" s="192">
        <f t="shared" si="17"/>
        <v>27130</v>
      </c>
      <c r="M44" s="190" t="str">
        <f t="shared" si="18"/>
        <v>Hamilton</v>
      </c>
      <c r="N44" s="192">
        <f t="shared" si="19"/>
        <v>21160</v>
      </c>
      <c r="R44" s="190" t="str">
        <f t="shared" si="20"/>
        <v>Barry</v>
      </c>
      <c r="S44" s="192">
        <f t="shared" si="21"/>
        <v>27130</v>
      </c>
      <c r="W44" s="191" t="str">
        <f t="shared" si="22"/>
        <v>Single Barrel</v>
      </c>
      <c r="X44" s="192">
        <f t="shared" si="23"/>
        <v>23697</v>
      </c>
    </row>
    <row r="45">
      <c r="C45" s="190" t="str">
        <f t="shared" si="14"/>
        <v>Honda</v>
      </c>
      <c r="D45" s="192">
        <f t="shared" si="15"/>
        <v>21000</v>
      </c>
      <c r="H45" s="190" t="str">
        <f t="shared" si="16"/>
        <v>Lodo</v>
      </c>
      <c r="I45" s="192">
        <f t="shared" si="17"/>
        <v>26060</v>
      </c>
      <c r="M45" s="190" t="str">
        <f t="shared" si="18"/>
        <v>Tauranga</v>
      </c>
      <c r="N45" s="192">
        <f t="shared" si="19"/>
        <v>25800</v>
      </c>
      <c r="R45" s="190" t="str">
        <f t="shared" si="20"/>
        <v>Mary</v>
      </c>
      <c r="S45" s="192">
        <f t="shared" si="21"/>
        <v>26060</v>
      </c>
      <c r="W45" s="191" t="str">
        <f t="shared" si="22"/>
        <v>Extra Shiny</v>
      </c>
      <c r="X45" s="192">
        <f t="shared" si="23"/>
        <v>20050</v>
      </c>
    </row>
    <row r="46">
      <c r="C46" s="190" t="str">
        <f t="shared" si="14"/>
        <v>Seiko</v>
      </c>
      <c r="D46" s="192">
        <f t="shared" si="15"/>
        <v>21600</v>
      </c>
      <c r="H46" s="190" t="str">
        <f t="shared" si="16"/>
        <v>Rodo</v>
      </c>
      <c r="I46" s="192">
        <f t="shared" si="17"/>
        <v>25267</v>
      </c>
      <c r="M46" s="190" t="str">
        <f t="shared" si="18"/>
        <v>Rotorua</v>
      </c>
      <c r="N46" s="192">
        <f t="shared" si="19"/>
        <v>32270</v>
      </c>
      <c r="R46" s="190" t="str">
        <f t="shared" si="20"/>
        <v>Marg</v>
      </c>
      <c r="S46" s="192">
        <f t="shared" si="21"/>
        <v>25267</v>
      </c>
      <c r="W46" s="191" t="str">
        <f t="shared" si="22"/>
        <v>Low Sheen</v>
      </c>
      <c r="X46" s="192">
        <f t="shared" si="23"/>
        <v>5800</v>
      </c>
    </row>
    <row r="47">
      <c r="C47" s="190" t="str">
        <f t="shared" si="14"/>
        <v>Shimano</v>
      </c>
      <c r="D47" s="192">
        <f t="shared" si="15"/>
        <v>13850</v>
      </c>
      <c r="H47" s="190" t="str">
        <f t="shared" si="16"/>
        <v>Podo</v>
      </c>
      <c r="I47" s="192">
        <f t="shared" si="17"/>
        <v>24192</v>
      </c>
      <c r="M47" s="190" t="str">
        <f t="shared" si="18"/>
        <v>Nelson</v>
      </c>
      <c r="N47" s="192">
        <f t="shared" si="19"/>
        <v>14050</v>
      </c>
      <c r="R47" s="190" t="str">
        <f t="shared" si="20"/>
        <v>Mavis</v>
      </c>
      <c r="S47" s="192">
        <f t="shared" si="21"/>
        <v>24192</v>
      </c>
      <c r="W47" s="191" t="str">
        <f t="shared" si="22"/>
        <v>Wet</v>
      </c>
      <c r="X47" s="192">
        <f t="shared" si="23"/>
        <v>18150</v>
      </c>
    </row>
    <row r="48">
      <c r="C48" s="190" t="str">
        <f t="shared" si="14"/>
        <v>Samsung</v>
      </c>
      <c r="D48" s="192">
        <f t="shared" si="15"/>
        <v>7400</v>
      </c>
      <c r="H48" s="190" t="str">
        <f t="shared" si="16"/>
        <v>Hodo</v>
      </c>
      <c r="I48" s="192">
        <f t="shared" si="17"/>
        <v>23793</v>
      </c>
      <c r="M48" s="190" t="str">
        <f t="shared" si="18"/>
        <v>Dunedin</v>
      </c>
      <c r="N48" s="192">
        <f t="shared" si="19"/>
        <v>31393</v>
      </c>
      <c r="R48" s="190" t="str">
        <f t="shared" si="20"/>
        <v>Steve</v>
      </c>
      <c r="S48" s="192">
        <f t="shared" si="21"/>
        <v>23793</v>
      </c>
      <c r="W48" s="191" t="str">
        <f t="shared" si="22"/>
        <v>Dry</v>
      </c>
      <c r="X48" s="192">
        <f t="shared" si="23"/>
        <v>24550</v>
      </c>
    </row>
    <row r="49">
      <c r="C49" s="190" t="str">
        <f t="shared" si="14"/>
        <v>Dulux</v>
      </c>
      <c r="D49" s="192">
        <f t="shared" si="15"/>
        <v>25450</v>
      </c>
      <c r="H49" s="190" t="str">
        <f t="shared" si="16"/>
        <v>Dodo</v>
      </c>
      <c r="I49" s="192">
        <f t="shared" si="17"/>
        <v>23793</v>
      </c>
      <c r="M49" s="190" t="str">
        <f t="shared" si="18"/>
        <v>Invercargill</v>
      </c>
      <c r="N49" s="192">
        <f t="shared" si="19"/>
        <v>13500</v>
      </c>
      <c r="R49" s="190" t="str">
        <f t="shared" si="20"/>
        <v>Sue</v>
      </c>
      <c r="S49" s="192">
        <f t="shared" si="21"/>
        <v>23793</v>
      </c>
      <c r="W49" s="191" t="str">
        <f t="shared" si="22"/>
        <v>Hard</v>
      </c>
      <c r="X49" s="192">
        <f t="shared" si="23"/>
        <v>15470</v>
      </c>
    </row>
    <row r="50">
      <c r="C50" s="190" t="str">
        <f t="shared" si="14"/>
        <v>Toyota</v>
      </c>
      <c r="D50" s="192">
        <f t="shared" si="15"/>
        <v>55183</v>
      </c>
      <c r="H50" s="190" t="str">
        <f t="shared" si="16"/>
        <v>Sodo</v>
      </c>
      <c r="I50" s="192">
        <f t="shared" si="17"/>
        <v>23243</v>
      </c>
      <c r="M50" s="190" t="str">
        <f t="shared" si="18"/>
        <v>Kaitaia</v>
      </c>
      <c r="N50" s="192">
        <f t="shared" si="19"/>
        <v>12870</v>
      </c>
      <c r="R50" s="190" t="str">
        <f t="shared" si="20"/>
        <v>Shaun</v>
      </c>
      <c r="S50" s="192">
        <f t="shared" si="21"/>
        <v>23243</v>
      </c>
      <c r="W50" s="112" t="str">
        <f t="shared" si="22"/>
        <v>Soft</v>
      </c>
      <c r="X50" s="192">
        <f t="shared" si="23"/>
        <v>37295</v>
      </c>
    </row>
    <row r="51">
      <c r="C51" s="190" t="str">
        <f t="shared" si="14"/>
        <v/>
      </c>
      <c r="H51" s="190" t="str">
        <f t="shared" si="16"/>
        <v/>
      </c>
      <c r="M51" s="190" t="str">
        <f t="shared" si="18"/>
        <v/>
      </c>
      <c r="R51" s="190" t="str">
        <f t="shared" si="20"/>
        <v/>
      </c>
      <c r="W51" s="112" t="str">
        <f t="shared" si="22"/>
        <v/>
      </c>
    </row>
    <row r="52">
      <c r="C52" s="190" t="str">
        <f t="shared" si="14"/>
        <v/>
      </c>
      <c r="H52" s="190" t="str">
        <f t="shared" si="16"/>
        <v/>
      </c>
      <c r="M52" s="190" t="str">
        <f t="shared" si="18"/>
        <v/>
      </c>
      <c r="R52" s="190" t="str">
        <f t="shared" si="20"/>
        <v/>
      </c>
      <c r="W52" s="112" t="str">
        <f t="shared" si="22"/>
        <v/>
      </c>
    </row>
    <row r="53">
      <c r="C53" s="190" t="str">
        <f t="shared" ref="C53:C64" si="24">C25</f>
        <v>Brands</v>
      </c>
      <c r="D53" s="190" t="str">
        <f t="shared" ref="D53:D63" si="25">F25</f>
        <v>Sales Margin</v>
      </c>
      <c r="H53" s="190" t="str">
        <f t="shared" ref="H53:H63" si="26">H25</f>
        <v>Products</v>
      </c>
      <c r="I53" s="190" t="str">
        <f t="shared" ref="I53:I63" si="27">K25</f>
        <v>Sales Margin</v>
      </c>
      <c r="M53" s="190" t="str">
        <f t="shared" ref="M53:M63" si="28">M25</f>
        <v>Region</v>
      </c>
      <c r="N53" s="190" t="str">
        <f t="shared" ref="N53:N63" si="29">P25</f>
        <v>Sales Margin</v>
      </c>
      <c r="R53" s="190" t="str">
        <f t="shared" ref="R53:R63" si="30">R25</f>
        <v>Sales Person</v>
      </c>
      <c r="S53" s="190" t="str">
        <f t="shared" ref="S53:S63" si="31">U25</f>
        <v>Sales Margin</v>
      </c>
      <c r="W53" s="191" t="str">
        <f t="shared" ref="W53:W63" si="32">W25</f>
        <v>Product Category</v>
      </c>
      <c r="X53" s="190" t="str">
        <f t="shared" ref="X53:X63" si="33">Z25</f>
        <v>Sales Margin</v>
      </c>
    </row>
    <row r="54">
      <c r="C54" s="190" t="str">
        <f t="shared" si="24"/>
        <v>Smith</v>
      </c>
      <c r="D54" s="192">
        <f t="shared" si="25"/>
        <v>26570</v>
      </c>
      <c r="H54" s="190" t="str">
        <f t="shared" si="26"/>
        <v>Coco</v>
      </c>
      <c r="I54" s="192">
        <f t="shared" si="27"/>
        <v>20337</v>
      </c>
      <c r="M54" s="190" t="str">
        <f t="shared" si="28"/>
        <v>Auckland</v>
      </c>
      <c r="N54" s="192">
        <f t="shared" si="29"/>
        <v>29390</v>
      </c>
      <c r="R54" s="190" t="str">
        <f t="shared" si="30"/>
        <v>Billy</v>
      </c>
      <c r="S54" s="192">
        <f t="shared" si="31"/>
        <v>20337</v>
      </c>
      <c r="W54" s="191" t="str">
        <f t="shared" si="32"/>
        <v>Full Auto</v>
      </c>
      <c r="X54" s="192">
        <f t="shared" si="33"/>
        <v>20080</v>
      </c>
    </row>
    <row r="55">
      <c r="C55" s="190" t="str">
        <f t="shared" si="24"/>
        <v>Jones</v>
      </c>
      <c r="D55" s="192">
        <f t="shared" si="25"/>
        <v>8673</v>
      </c>
      <c r="H55" s="190" t="str">
        <f t="shared" si="26"/>
        <v>Zoco</v>
      </c>
      <c r="I55" s="192">
        <f t="shared" si="27"/>
        <v>13363</v>
      </c>
      <c r="M55" s="190" t="str">
        <f t="shared" si="28"/>
        <v>Christchurch</v>
      </c>
      <c r="N55" s="192">
        <f t="shared" si="29"/>
        <v>10278</v>
      </c>
      <c r="R55" s="190" t="str">
        <f t="shared" si="30"/>
        <v>Bobby</v>
      </c>
      <c r="S55" s="192">
        <f t="shared" si="31"/>
        <v>13363</v>
      </c>
      <c r="W55" s="191" t="str">
        <f t="shared" si="32"/>
        <v>Semi Auto</v>
      </c>
      <c r="X55" s="192">
        <f t="shared" si="33"/>
        <v>18778</v>
      </c>
    </row>
    <row r="56">
      <c r="C56" s="190" t="str">
        <f t="shared" si="24"/>
        <v>Wessen</v>
      </c>
      <c r="D56" s="192">
        <f t="shared" si="25"/>
        <v>9509</v>
      </c>
      <c r="H56" s="190" t="str">
        <f t="shared" si="26"/>
        <v>Mofo</v>
      </c>
      <c r="I56" s="192">
        <f t="shared" si="27"/>
        <v>12882</v>
      </c>
      <c r="M56" s="190" t="str">
        <f t="shared" si="28"/>
        <v>Wellington</v>
      </c>
      <c r="N56" s="192">
        <f t="shared" si="29"/>
        <v>14178</v>
      </c>
      <c r="R56" s="190" t="str">
        <f t="shared" si="30"/>
        <v>Betty</v>
      </c>
      <c r="S56" s="192">
        <f t="shared" si="31"/>
        <v>12882</v>
      </c>
      <c r="W56" s="191" t="str">
        <f t="shared" si="32"/>
        <v>Double Barrel</v>
      </c>
      <c r="X56" s="192">
        <f t="shared" si="33"/>
        <v>21919</v>
      </c>
    </row>
    <row r="57">
      <c r="C57" s="190" t="str">
        <f t="shared" si="24"/>
        <v>Apple</v>
      </c>
      <c r="D57" s="192">
        <f t="shared" si="25"/>
        <v>11369</v>
      </c>
      <c r="H57" s="190" t="str">
        <f t="shared" si="26"/>
        <v>Bojo</v>
      </c>
      <c r="I57" s="192">
        <f t="shared" si="27"/>
        <v>12634</v>
      </c>
      <c r="M57" s="190" t="str">
        <f t="shared" si="28"/>
        <v>Hamilton</v>
      </c>
      <c r="N57" s="192">
        <f t="shared" si="29"/>
        <v>10672</v>
      </c>
      <c r="R57" s="190" t="str">
        <f t="shared" si="30"/>
        <v>Barry</v>
      </c>
      <c r="S57" s="192">
        <f t="shared" si="31"/>
        <v>12634</v>
      </c>
      <c r="W57" s="191" t="str">
        <f t="shared" si="32"/>
        <v>Single Barrel</v>
      </c>
      <c r="X57" s="192">
        <f t="shared" si="33"/>
        <v>11205</v>
      </c>
    </row>
    <row r="58">
      <c r="C58" s="190" t="str">
        <f t="shared" si="24"/>
        <v>Honda</v>
      </c>
      <c r="D58" s="192">
        <f t="shared" si="25"/>
        <v>12437</v>
      </c>
      <c r="H58" s="190" t="str">
        <f t="shared" si="26"/>
        <v>Lodo</v>
      </c>
      <c r="I58" s="192">
        <f t="shared" si="27"/>
        <v>11165</v>
      </c>
      <c r="M58" s="190" t="str">
        <f t="shared" si="28"/>
        <v>Tauranga</v>
      </c>
      <c r="N58" s="192">
        <f t="shared" si="29"/>
        <v>14837</v>
      </c>
      <c r="R58" s="190" t="str">
        <f t="shared" si="30"/>
        <v>Mary</v>
      </c>
      <c r="S58" s="192">
        <f t="shared" si="31"/>
        <v>11165</v>
      </c>
      <c r="W58" s="191" t="str">
        <f t="shared" si="32"/>
        <v>Extra Shiny</v>
      </c>
      <c r="X58" s="192">
        <f t="shared" si="33"/>
        <v>8480</v>
      </c>
    </row>
    <row r="59">
      <c r="C59" s="190" t="str">
        <f t="shared" si="24"/>
        <v>Seiko</v>
      </c>
      <c r="D59" s="192">
        <f t="shared" si="25"/>
        <v>10800</v>
      </c>
      <c r="H59" s="190" t="str">
        <f t="shared" si="26"/>
        <v>Rodo</v>
      </c>
      <c r="I59" s="192">
        <f t="shared" si="27"/>
        <v>12134</v>
      </c>
      <c r="M59" s="190" t="str">
        <f t="shared" si="28"/>
        <v>Rotorua</v>
      </c>
      <c r="N59" s="192">
        <f t="shared" si="29"/>
        <v>16132</v>
      </c>
      <c r="R59" s="190" t="str">
        <f t="shared" si="30"/>
        <v>Marg</v>
      </c>
      <c r="S59" s="192">
        <f t="shared" si="31"/>
        <v>12134</v>
      </c>
      <c r="W59" s="191" t="str">
        <f t="shared" si="32"/>
        <v>Low Sheen</v>
      </c>
      <c r="X59" s="192">
        <f t="shared" si="33"/>
        <v>2744</v>
      </c>
    </row>
    <row r="60">
      <c r="C60" s="190" t="str">
        <f t="shared" si="24"/>
        <v>Shimano</v>
      </c>
      <c r="D60" s="192">
        <f t="shared" si="25"/>
        <v>6863</v>
      </c>
      <c r="H60" s="190" t="str">
        <f t="shared" si="26"/>
        <v>Podo</v>
      </c>
      <c r="I60" s="192">
        <f t="shared" si="27"/>
        <v>12512</v>
      </c>
      <c r="M60" s="190" t="str">
        <f t="shared" si="28"/>
        <v>Nelson</v>
      </c>
      <c r="N60" s="192">
        <f t="shared" si="29"/>
        <v>6715</v>
      </c>
      <c r="R60" s="190" t="str">
        <f t="shared" si="30"/>
        <v>Mavis</v>
      </c>
      <c r="S60" s="192">
        <f t="shared" si="31"/>
        <v>12512</v>
      </c>
      <c r="W60" s="191" t="str">
        <f t="shared" si="32"/>
        <v>Wet</v>
      </c>
      <c r="X60" s="192">
        <f t="shared" si="33"/>
        <v>10636</v>
      </c>
    </row>
    <row r="61">
      <c r="C61" s="190" t="str">
        <f t="shared" si="24"/>
        <v>Samsung</v>
      </c>
      <c r="D61" s="192">
        <f t="shared" si="25"/>
        <v>3452</v>
      </c>
      <c r="H61" s="190" t="str">
        <f t="shared" si="26"/>
        <v>Hodo</v>
      </c>
      <c r="I61" s="192">
        <f t="shared" si="27"/>
        <v>11880</v>
      </c>
      <c r="M61" s="190" t="str">
        <f t="shared" si="28"/>
        <v>Dunedin</v>
      </c>
      <c r="N61" s="192">
        <f t="shared" si="29"/>
        <v>16083</v>
      </c>
      <c r="R61" s="190" t="str">
        <f t="shared" si="30"/>
        <v>Steve</v>
      </c>
      <c r="S61" s="192">
        <f t="shared" si="31"/>
        <v>11880</v>
      </c>
      <c r="W61" s="191" t="str">
        <f t="shared" si="32"/>
        <v>Dry</v>
      </c>
      <c r="X61" s="192">
        <f t="shared" si="33"/>
        <v>12883</v>
      </c>
    </row>
    <row r="62">
      <c r="C62" s="190" t="str">
        <f t="shared" si="24"/>
        <v>Dulux</v>
      </c>
      <c r="D62" s="192">
        <f t="shared" si="25"/>
        <v>12619</v>
      </c>
      <c r="H62" s="190" t="str">
        <f t="shared" si="26"/>
        <v>Dodo</v>
      </c>
      <c r="I62" s="192">
        <f t="shared" si="27"/>
        <v>12551</v>
      </c>
      <c r="M62" s="190" t="str">
        <f t="shared" si="28"/>
        <v>Invercargill</v>
      </c>
      <c r="N62" s="192">
        <f t="shared" si="29"/>
        <v>6412</v>
      </c>
      <c r="R62" s="190" t="str">
        <f t="shared" si="30"/>
        <v>Sue</v>
      </c>
      <c r="S62" s="192">
        <f t="shared" si="31"/>
        <v>12551</v>
      </c>
      <c r="W62" s="191" t="str">
        <f t="shared" si="32"/>
        <v>Hard</v>
      </c>
      <c r="X62" s="192">
        <f t="shared" si="33"/>
        <v>6992</v>
      </c>
    </row>
    <row r="63">
      <c r="C63" s="190" t="str">
        <f t="shared" si="24"/>
        <v>Toyota</v>
      </c>
      <c r="D63" s="192">
        <f t="shared" si="25"/>
        <v>27997</v>
      </c>
      <c r="H63" s="190" t="str">
        <f t="shared" si="26"/>
        <v>Sodo</v>
      </c>
      <c r="I63" s="192">
        <f t="shared" si="27"/>
        <v>10831</v>
      </c>
      <c r="M63" s="190" t="str">
        <f t="shared" si="28"/>
        <v>Kaitaia</v>
      </c>
      <c r="N63" s="192">
        <f t="shared" si="29"/>
        <v>5592</v>
      </c>
      <c r="R63" s="190" t="str">
        <f t="shared" si="30"/>
        <v>Shaun</v>
      </c>
      <c r="S63" s="192">
        <f t="shared" si="31"/>
        <v>10831</v>
      </c>
      <c r="W63" s="112" t="str">
        <f t="shared" si="32"/>
        <v>Soft</v>
      </c>
      <c r="X63" s="192">
        <f t="shared" si="33"/>
        <v>16572</v>
      </c>
    </row>
    <row r="64">
      <c r="C64" s="190" t="str">
        <f t="shared" si="24"/>
        <v/>
      </c>
      <c r="W64" s="112"/>
    </row>
    <row r="65">
      <c r="W65" s="112"/>
    </row>
    <row r="66">
      <c r="W66" s="112"/>
    </row>
    <row r="67">
      <c r="W67" s="112"/>
    </row>
    <row r="68">
      <c r="W68" s="112"/>
    </row>
    <row r="69">
      <c r="W69" s="112"/>
    </row>
    <row r="70">
      <c r="W70" s="112"/>
    </row>
    <row r="71">
      <c r="W71" s="112"/>
    </row>
    <row r="72">
      <c r="W72" s="112"/>
    </row>
    <row r="73">
      <c r="W73" s="112"/>
    </row>
    <row r="74">
      <c r="W74" s="112"/>
    </row>
    <row r="75">
      <c r="W75" s="112"/>
    </row>
    <row r="76">
      <c r="W76" s="112"/>
    </row>
    <row r="77">
      <c r="W77" s="112"/>
    </row>
    <row r="78">
      <c r="W78" s="112"/>
    </row>
    <row r="79">
      <c r="W79" s="112"/>
    </row>
    <row r="80">
      <c r="W80" s="112"/>
    </row>
    <row r="81">
      <c r="W81" s="112"/>
    </row>
    <row r="82">
      <c r="W82" s="112"/>
    </row>
    <row r="83">
      <c r="W83" s="112"/>
    </row>
    <row r="84">
      <c r="W84" s="112"/>
    </row>
    <row r="85">
      <c r="W85" s="112"/>
    </row>
    <row r="86">
      <c r="W86" s="112"/>
    </row>
    <row r="87">
      <c r="W87" s="112"/>
    </row>
    <row r="88">
      <c r="W88" s="112"/>
    </row>
    <row r="89">
      <c r="W89" s="112"/>
    </row>
    <row r="90">
      <c r="W90" s="112"/>
    </row>
    <row r="91">
      <c r="W91" s="112"/>
    </row>
    <row r="92">
      <c r="W92" s="112"/>
    </row>
    <row r="93">
      <c r="W93" s="112"/>
    </row>
    <row r="94">
      <c r="W94" s="112"/>
    </row>
    <row r="95">
      <c r="W95" s="112"/>
    </row>
    <row r="96">
      <c r="W96" s="112"/>
    </row>
    <row r="97">
      <c r="W97" s="112"/>
    </row>
    <row r="98">
      <c r="W98" s="112"/>
    </row>
    <row r="99">
      <c r="W99" s="112"/>
    </row>
    <row r="100">
      <c r="W100" s="112"/>
    </row>
    <row r="101">
      <c r="W101" s="112"/>
    </row>
    <row r="102">
      <c r="W102" s="112"/>
    </row>
    <row r="103">
      <c r="W103" s="112"/>
    </row>
    <row r="104">
      <c r="W104" s="112"/>
    </row>
    <row r="105">
      <c r="W105" s="112"/>
    </row>
    <row r="106">
      <c r="W106" s="112"/>
    </row>
    <row r="107">
      <c r="W107" s="112"/>
    </row>
    <row r="108">
      <c r="W108" s="112"/>
    </row>
    <row r="109">
      <c r="W109" s="112"/>
    </row>
    <row r="110">
      <c r="W110" s="112"/>
    </row>
    <row r="111">
      <c r="W111" s="112"/>
    </row>
    <row r="112">
      <c r="W112" s="112"/>
    </row>
    <row r="113">
      <c r="W113" s="112"/>
    </row>
    <row r="114">
      <c r="W114" s="112"/>
    </row>
    <row r="115">
      <c r="W115" s="112"/>
    </row>
    <row r="116">
      <c r="W116" s="112"/>
    </row>
    <row r="117">
      <c r="W117" s="112"/>
    </row>
    <row r="118">
      <c r="W118" s="112"/>
    </row>
    <row r="119">
      <c r="W119" s="112"/>
    </row>
    <row r="120">
      <c r="W120" s="112"/>
    </row>
    <row r="121">
      <c r="W121" s="112"/>
    </row>
    <row r="122">
      <c r="W122" s="112"/>
    </row>
    <row r="123">
      <c r="W123" s="112"/>
    </row>
    <row r="124">
      <c r="W124" s="112"/>
    </row>
    <row r="125">
      <c r="W125" s="112"/>
    </row>
    <row r="126">
      <c r="W126" s="112"/>
    </row>
    <row r="127">
      <c r="W127" s="112"/>
    </row>
    <row r="128">
      <c r="W128" s="112"/>
    </row>
    <row r="129">
      <c r="W129" s="112"/>
    </row>
    <row r="130">
      <c r="W130" s="112"/>
    </row>
    <row r="131">
      <c r="W131" s="112"/>
    </row>
    <row r="132">
      <c r="W132" s="112"/>
    </row>
    <row r="133">
      <c r="W133" s="112"/>
    </row>
    <row r="134">
      <c r="W134" s="112"/>
    </row>
    <row r="135">
      <c r="W135" s="112"/>
    </row>
    <row r="136">
      <c r="W136" s="112"/>
    </row>
    <row r="137">
      <c r="W137" s="112"/>
    </row>
    <row r="138">
      <c r="W138" s="112"/>
    </row>
    <row r="139">
      <c r="W139" s="112"/>
    </row>
    <row r="140">
      <c r="W140" s="112"/>
    </row>
    <row r="141">
      <c r="W141" s="112"/>
    </row>
    <row r="142">
      <c r="W142" s="112"/>
    </row>
    <row r="143">
      <c r="W143" s="112"/>
    </row>
    <row r="144">
      <c r="W144" s="112"/>
    </row>
    <row r="145">
      <c r="W145" s="112"/>
    </row>
    <row r="146">
      <c r="W146" s="112"/>
    </row>
    <row r="147">
      <c r="W147" s="112"/>
    </row>
    <row r="148">
      <c r="W148" s="112"/>
    </row>
    <row r="149">
      <c r="W149" s="112"/>
    </row>
    <row r="150">
      <c r="W150" s="112"/>
    </row>
    <row r="151">
      <c r="W151" s="112"/>
    </row>
    <row r="152">
      <c r="W152" s="112"/>
    </row>
    <row r="153">
      <c r="W153" s="112"/>
    </row>
    <row r="154">
      <c r="W154" s="112"/>
    </row>
    <row r="155">
      <c r="W155" s="112"/>
    </row>
    <row r="156">
      <c r="W156" s="112"/>
    </row>
    <row r="157">
      <c r="W157" s="112"/>
    </row>
    <row r="158">
      <c r="W158" s="112"/>
    </row>
    <row r="159">
      <c r="W159" s="112"/>
    </row>
    <row r="160">
      <c r="W160" s="112"/>
    </row>
    <row r="161">
      <c r="W161" s="112"/>
    </row>
    <row r="162">
      <c r="W162" s="112"/>
    </row>
    <row r="163">
      <c r="W163" s="112"/>
    </row>
    <row r="164">
      <c r="W164" s="112"/>
    </row>
    <row r="165">
      <c r="W165" s="112"/>
    </row>
    <row r="166">
      <c r="W166" s="112"/>
    </row>
    <row r="167">
      <c r="W167" s="112"/>
    </row>
    <row r="168">
      <c r="W168" s="112"/>
    </row>
    <row r="169">
      <c r="W169" s="112"/>
    </row>
    <row r="170">
      <c r="W170" s="112"/>
    </row>
    <row r="171">
      <c r="W171" s="112"/>
    </row>
    <row r="172">
      <c r="W172" s="112"/>
    </row>
    <row r="173">
      <c r="W173" s="112"/>
    </row>
    <row r="174">
      <c r="W174" s="112"/>
    </row>
    <row r="175">
      <c r="W175" s="112"/>
    </row>
    <row r="176">
      <c r="W176" s="112"/>
    </row>
    <row r="177">
      <c r="W177" s="112"/>
    </row>
    <row r="178">
      <c r="W178" s="112"/>
    </row>
    <row r="179">
      <c r="W179" s="112"/>
    </row>
    <row r="180">
      <c r="W180" s="112"/>
    </row>
    <row r="181">
      <c r="W181" s="112"/>
    </row>
    <row r="182">
      <c r="W182" s="112"/>
    </row>
    <row r="183">
      <c r="W183" s="112"/>
    </row>
    <row r="184">
      <c r="W184" s="112"/>
    </row>
    <row r="185">
      <c r="W185" s="112"/>
    </row>
    <row r="186">
      <c r="W186" s="112"/>
    </row>
    <row r="187">
      <c r="W187" s="112"/>
    </row>
    <row r="188">
      <c r="W188" s="112"/>
    </row>
    <row r="189">
      <c r="W189" s="112"/>
    </row>
    <row r="190">
      <c r="W190" s="112"/>
    </row>
    <row r="191">
      <c r="W191" s="112"/>
    </row>
    <row r="192">
      <c r="W192" s="112"/>
    </row>
    <row r="193">
      <c r="W193" s="112"/>
    </row>
    <row r="194">
      <c r="W194" s="112"/>
    </row>
    <row r="195">
      <c r="W195" s="112"/>
    </row>
    <row r="196">
      <c r="W196" s="112"/>
    </row>
    <row r="197">
      <c r="W197" s="112"/>
    </row>
    <row r="198">
      <c r="W198" s="112"/>
    </row>
    <row r="199">
      <c r="W199" s="112"/>
    </row>
    <row r="200">
      <c r="W200" s="112"/>
    </row>
    <row r="201">
      <c r="W201" s="112"/>
    </row>
    <row r="202">
      <c r="W202" s="112"/>
    </row>
    <row r="203">
      <c r="W203" s="112"/>
    </row>
    <row r="204">
      <c r="W204" s="112"/>
    </row>
    <row r="205">
      <c r="W205" s="112"/>
    </row>
    <row r="206">
      <c r="W206" s="112"/>
    </row>
    <row r="207">
      <c r="W207" s="112"/>
    </row>
    <row r="208">
      <c r="W208" s="112"/>
    </row>
    <row r="209">
      <c r="W209" s="112"/>
    </row>
    <row r="210">
      <c r="W210" s="112"/>
    </row>
    <row r="211">
      <c r="W211" s="112"/>
    </row>
    <row r="212">
      <c r="W212" s="112"/>
    </row>
    <row r="213">
      <c r="W213" s="112"/>
    </row>
    <row r="214">
      <c r="W214" s="112"/>
    </row>
    <row r="215">
      <c r="W215" s="112"/>
    </row>
    <row r="216">
      <c r="W216" s="112"/>
    </row>
    <row r="217">
      <c r="W217" s="112"/>
    </row>
    <row r="218">
      <c r="W218" s="112"/>
    </row>
    <row r="219">
      <c r="W219" s="112"/>
    </row>
    <row r="220">
      <c r="W220" s="112"/>
    </row>
    <row r="221">
      <c r="W221" s="112"/>
    </row>
    <row r="222">
      <c r="W222" s="112"/>
    </row>
    <row r="223">
      <c r="W223" s="112"/>
    </row>
    <row r="224">
      <c r="W224" s="112"/>
    </row>
    <row r="225">
      <c r="W225" s="112"/>
    </row>
    <row r="226">
      <c r="W226" s="112"/>
    </row>
    <row r="227">
      <c r="W227" s="112"/>
    </row>
    <row r="228">
      <c r="W228" s="112"/>
    </row>
    <row r="229">
      <c r="W229" s="112"/>
    </row>
    <row r="230">
      <c r="W230" s="112"/>
    </row>
    <row r="231">
      <c r="W231" s="112"/>
    </row>
    <row r="232">
      <c r="W232" s="112"/>
    </row>
    <row r="233">
      <c r="W233" s="112"/>
    </row>
    <row r="234">
      <c r="W234" s="112"/>
    </row>
    <row r="235">
      <c r="W235" s="112"/>
    </row>
    <row r="236">
      <c r="W236" s="112"/>
    </row>
    <row r="237">
      <c r="W237" s="112"/>
    </row>
    <row r="238">
      <c r="W238" s="112"/>
    </row>
    <row r="239">
      <c r="W239" s="112"/>
    </row>
    <row r="240">
      <c r="W240" s="112"/>
    </row>
    <row r="241">
      <c r="W241" s="112"/>
    </row>
    <row r="242">
      <c r="W242" s="112"/>
    </row>
    <row r="243">
      <c r="W243" s="112"/>
    </row>
    <row r="244">
      <c r="W244" s="112"/>
    </row>
    <row r="245">
      <c r="W245" s="112"/>
    </row>
    <row r="246">
      <c r="W246" s="112"/>
    </row>
    <row r="247">
      <c r="W247" s="112"/>
    </row>
    <row r="248">
      <c r="W248" s="112"/>
    </row>
    <row r="249">
      <c r="W249" s="112"/>
    </row>
    <row r="250">
      <c r="W250" s="112"/>
    </row>
    <row r="251">
      <c r="W251" s="112"/>
    </row>
    <row r="252">
      <c r="W252" s="112"/>
    </row>
    <row r="253">
      <c r="W253" s="112"/>
    </row>
    <row r="254">
      <c r="W254" s="112"/>
    </row>
    <row r="255">
      <c r="W255" s="112"/>
    </row>
    <row r="256">
      <c r="W256" s="112"/>
    </row>
    <row r="257">
      <c r="W257" s="112"/>
    </row>
    <row r="258">
      <c r="W258" s="112"/>
    </row>
    <row r="259">
      <c r="W259" s="112"/>
    </row>
    <row r="260">
      <c r="W260" s="112"/>
    </row>
    <row r="261">
      <c r="W261" s="112"/>
    </row>
    <row r="262">
      <c r="W262" s="112"/>
    </row>
    <row r="263">
      <c r="W263" s="112"/>
    </row>
    <row r="264">
      <c r="W264" s="112"/>
    </row>
    <row r="265">
      <c r="W265" s="112"/>
    </row>
    <row r="266">
      <c r="W266" s="112"/>
    </row>
    <row r="267">
      <c r="W267" s="112"/>
    </row>
    <row r="268">
      <c r="W268" s="112"/>
    </row>
    <row r="269">
      <c r="W269" s="112"/>
    </row>
    <row r="270">
      <c r="W270" s="112"/>
    </row>
    <row r="271">
      <c r="W271" s="112"/>
    </row>
    <row r="272">
      <c r="W272" s="112"/>
    </row>
    <row r="273">
      <c r="W273" s="112"/>
    </row>
    <row r="274">
      <c r="W274" s="112"/>
    </row>
    <row r="275">
      <c r="W275" s="112"/>
    </row>
    <row r="276">
      <c r="W276" s="112"/>
    </row>
    <row r="277">
      <c r="W277" s="112"/>
    </row>
    <row r="278">
      <c r="W278" s="112"/>
    </row>
    <row r="279">
      <c r="W279" s="112"/>
    </row>
    <row r="280">
      <c r="W280" s="112"/>
    </row>
    <row r="281">
      <c r="W281" s="112"/>
    </row>
    <row r="282">
      <c r="W282" s="112"/>
    </row>
    <row r="283">
      <c r="W283" s="112"/>
    </row>
    <row r="284">
      <c r="W284" s="112"/>
    </row>
    <row r="285">
      <c r="W285" s="112"/>
    </row>
    <row r="286">
      <c r="W286" s="112"/>
    </row>
    <row r="287">
      <c r="W287" s="112"/>
    </row>
    <row r="288">
      <c r="W288" s="112"/>
    </row>
    <row r="289">
      <c r="W289" s="112"/>
    </row>
    <row r="290">
      <c r="W290" s="112"/>
    </row>
    <row r="291">
      <c r="W291" s="112"/>
    </row>
    <row r="292">
      <c r="W292" s="112"/>
    </row>
    <row r="293">
      <c r="W293" s="112"/>
    </row>
    <row r="294">
      <c r="W294" s="112"/>
    </row>
    <row r="295">
      <c r="W295" s="112"/>
    </row>
    <row r="296">
      <c r="W296" s="112"/>
    </row>
    <row r="297">
      <c r="W297" s="112"/>
    </row>
    <row r="298">
      <c r="W298" s="112"/>
    </row>
    <row r="299">
      <c r="W299" s="112"/>
    </row>
    <row r="300">
      <c r="W300" s="112"/>
    </row>
    <row r="301">
      <c r="W301" s="112"/>
    </row>
    <row r="302">
      <c r="W302" s="112"/>
    </row>
    <row r="303">
      <c r="W303" s="112"/>
    </row>
    <row r="304">
      <c r="W304" s="112"/>
    </row>
    <row r="305">
      <c r="W305" s="112"/>
    </row>
    <row r="306">
      <c r="W306" s="112"/>
    </row>
    <row r="307">
      <c r="W307" s="112"/>
    </row>
    <row r="308">
      <c r="W308" s="112"/>
    </row>
    <row r="309">
      <c r="W309" s="112"/>
    </row>
    <row r="310">
      <c r="W310" s="112"/>
    </row>
    <row r="311">
      <c r="W311" s="112"/>
    </row>
    <row r="312">
      <c r="W312" s="112"/>
    </row>
    <row r="313">
      <c r="W313" s="112"/>
    </row>
    <row r="314">
      <c r="W314" s="112"/>
    </row>
    <row r="315">
      <c r="W315" s="112"/>
    </row>
    <row r="316">
      <c r="W316" s="112"/>
    </row>
    <row r="317">
      <c r="W317" s="112"/>
    </row>
    <row r="318">
      <c r="W318" s="112"/>
    </row>
    <row r="319">
      <c r="W319" s="112"/>
    </row>
    <row r="320">
      <c r="W320" s="112"/>
    </row>
    <row r="321">
      <c r="W321" s="112"/>
    </row>
    <row r="322">
      <c r="W322" s="112"/>
    </row>
    <row r="323">
      <c r="W323" s="112"/>
    </row>
    <row r="324">
      <c r="W324" s="112"/>
    </row>
    <row r="325">
      <c r="W325" s="112"/>
    </row>
    <row r="326">
      <c r="W326" s="112"/>
    </row>
    <row r="327">
      <c r="W327" s="112"/>
    </row>
    <row r="328">
      <c r="W328" s="112"/>
    </row>
    <row r="329">
      <c r="W329" s="112"/>
    </row>
    <row r="330">
      <c r="W330" s="112"/>
    </row>
    <row r="331">
      <c r="W331" s="112"/>
    </row>
    <row r="332">
      <c r="W332" s="112"/>
    </row>
    <row r="333">
      <c r="W333" s="112"/>
    </row>
    <row r="334">
      <c r="W334" s="112"/>
    </row>
    <row r="335">
      <c r="W335" s="112"/>
    </row>
    <row r="336">
      <c r="W336" s="112"/>
    </row>
    <row r="337">
      <c r="W337" s="112"/>
    </row>
    <row r="338">
      <c r="W338" s="112"/>
    </row>
    <row r="339">
      <c r="W339" s="112"/>
    </row>
    <row r="340">
      <c r="W340" s="112"/>
    </row>
    <row r="341">
      <c r="W341" s="112"/>
    </row>
    <row r="342">
      <c r="W342" s="112"/>
    </row>
    <row r="343">
      <c r="W343" s="112"/>
    </row>
    <row r="344">
      <c r="W344" s="112"/>
    </row>
    <row r="345">
      <c r="W345" s="112"/>
    </row>
    <row r="346">
      <c r="W346" s="112"/>
    </row>
    <row r="347">
      <c r="W347" s="112"/>
    </row>
    <row r="348">
      <c r="W348" s="112"/>
    </row>
    <row r="349">
      <c r="W349" s="112"/>
    </row>
    <row r="350">
      <c r="W350" s="112"/>
    </row>
    <row r="351">
      <c r="W351" s="112"/>
    </row>
    <row r="352">
      <c r="W352" s="112"/>
    </row>
    <row r="353">
      <c r="W353" s="112"/>
    </row>
    <row r="354">
      <c r="W354" s="112"/>
    </row>
    <row r="355">
      <c r="W355" s="112"/>
    </row>
    <row r="356">
      <c r="W356" s="112"/>
    </row>
    <row r="357">
      <c r="W357" s="112"/>
    </row>
    <row r="358">
      <c r="W358" s="112"/>
    </row>
    <row r="359">
      <c r="W359" s="112"/>
    </row>
    <row r="360">
      <c r="W360" s="112"/>
    </row>
    <row r="361">
      <c r="W361" s="112"/>
    </row>
    <row r="362">
      <c r="W362" s="112"/>
    </row>
    <row r="363">
      <c r="W363" s="112"/>
    </row>
    <row r="364">
      <c r="W364" s="112"/>
    </row>
    <row r="365">
      <c r="W365" s="112"/>
    </row>
    <row r="366">
      <c r="W366" s="112"/>
    </row>
    <row r="367">
      <c r="W367" s="112"/>
    </row>
    <row r="368">
      <c r="W368" s="112"/>
    </row>
    <row r="369">
      <c r="W369" s="112"/>
    </row>
    <row r="370">
      <c r="W370" s="112"/>
    </row>
    <row r="371">
      <c r="W371" s="112"/>
    </row>
    <row r="372">
      <c r="W372" s="112"/>
    </row>
    <row r="373">
      <c r="W373" s="112"/>
    </row>
    <row r="374">
      <c r="W374" s="112"/>
    </row>
    <row r="375">
      <c r="W375" s="112"/>
    </row>
    <row r="376">
      <c r="W376" s="112"/>
    </row>
    <row r="377">
      <c r="W377" s="112"/>
    </row>
    <row r="378">
      <c r="W378" s="112"/>
    </row>
    <row r="379">
      <c r="W379" s="112"/>
    </row>
    <row r="380">
      <c r="W380" s="112"/>
    </row>
    <row r="381">
      <c r="W381" s="112"/>
    </row>
    <row r="382">
      <c r="W382" s="112"/>
    </row>
    <row r="383">
      <c r="W383" s="112"/>
    </row>
    <row r="384">
      <c r="W384" s="112"/>
    </row>
    <row r="385">
      <c r="W385" s="112"/>
    </row>
    <row r="386">
      <c r="W386" s="112"/>
    </row>
    <row r="387">
      <c r="W387" s="112"/>
    </row>
    <row r="388">
      <c r="W388" s="112"/>
    </row>
    <row r="389">
      <c r="W389" s="112"/>
    </row>
    <row r="390">
      <c r="W390" s="112"/>
    </row>
    <row r="391">
      <c r="W391" s="112"/>
    </row>
    <row r="392">
      <c r="W392" s="112"/>
    </row>
    <row r="393">
      <c r="W393" s="112"/>
    </row>
    <row r="394">
      <c r="W394" s="112"/>
    </row>
    <row r="395">
      <c r="W395" s="112"/>
    </row>
    <row r="396">
      <c r="W396" s="112"/>
    </row>
    <row r="397">
      <c r="W397" s="112"/>
    </row>
    <row r="398">
      <c r="W398" s="112"/>
    </row>
    <row r="399">
      <c r="W399" s="112"/>
    </row>
    <row r="400">
      <c r="W400" s="112"/>
    </row>
    <row r="401">
      <c r="W401" s="112"/>
    </row>
    <row r="402">
      <c r="W402" s="112"/>
    </row>
    <row r="403">
      <c r="W403" s="112"/>
    </row>
    <row r="404">
      <c r="W404" s="112"/>
    </row>
    <row r="405">
      <c r="W405" s="112"/>
    </row>
    <row r="406">
      <c r="W406" s="112"/>
    </row>
    <row r="407">
      <c r="W407" s="112"/>
    </row>
    <row r="408">
      <c r="W408" s="112"/>
    </row>
    <row r="409">
      <c r="W409" s="112"/>
    </row>
    <row r="410">
      <c r="W410" s="112"/>
    </row>
    <row r="411">
      <c r="W411" s="112"/>
    </row>
    <row r="412">
      <c r="W412" s="112"/>
    </row>
    <row r="413">
      <c r="W413" s="112"/>
    </row>
    <row r="414">
      <c r="W414" s="112"/>
    </row>
    <row r="415">
      <c r="W415" s="112"/>
    </row>
    <row r="416">
      <c r="W416" s="112"/>
    </row>
    <row r="417">
      <c r="W417" s="112"/>
    </row>
    <row r="418">
      <c r="W418" s="112"/>
    </row>
    <row r="419">
      <c r="W419" s="112"/>
    </row>
    <row r="420">
      <c r="W420" s="112"/>
    </row>
    <row r="421">
      <c r="W421" s="112"/>
    </row>
    <row r="422">
      <c r="W422" s="112"/>
    </row>
    <row r="423">
      <c r="W423" s="112"/>
    </row>
    <row r="424">
      <c r="W424" s="112"/>
    </row>
    <row r="425">
      <c r="W425" s="112"/>
    </row>
    <row r="426">
      <c r="W426" s="112"/>
    </row>
    <row r="427">
      <c r="W427" s="112"/>
    </row>
    <row r="428">
      <c r="W428" s="112"/>
    </row>
    <row r="429">
      <c r="W429" s="112"/>
    </row>
    <row r="430">
      <c r="W430" s="112"/>
    </row>
    <row r="431">
      <c r="W431" s="112"/>
    </row>
    <row r="432">
      <c r="W432" s="112"/>
    </row>
    <row r="433">
      <c r="W433" s="112"/>
    </row>
    <row r="434">
      <c r="W434" s="112"/>
    </row>
    <row r="435">
      <c r="W435" s="112"/>
    </row>
    <row r="436">
      <c r="W436" s="112"/>
    </row>
    <row r="437">
      <c r="W437" s="112"/>
    </row>
    <row r="438">
      <c r="W438" s="112"/>
    </row>
    <row r="439">
      <c r="W439" s="112"/>
    </row>
    <row r="440">
      <c r="W440" s="112"/>
    </row>
    <row r="441">
      <c r="W441" s="112"/>
    </row>
    <row r="442">
      <c r="W442" s="112"/>
    </row>
    <row r="443">
      <c r="W443" s="112"/>
    </row>
    <row r="444">
      <c r="W444" s="112"/>
    </row>
    <row r="445">
      <c r="W445" s="112"/>
    </row>
    <row r="446">
      <c r="W446" s="112"/>
    </row>
    <row r="447">
      <c r="W447" s="112"/>
    </row>
    <row r="448">
      <c r="W448" s="112"/>
    </row>
    <row r="449">
      <c r="W449" s="112"/>
    </row>
    <row r="450">
      <c r="W450" s="112"/>
    </row>
    <row r="451">
      <c r="W451" s="112"/>
    </row>
    <row r="452">
      <c r="W452" s="112"/>
    </row>
    <row r="453">
      <c r="W453" s="112"/>
    </row>
    <row r="454">
      <c r="W454" s="112"/>
    </row>
    <row r="455">
      <c r="W455" s="112"/>
    </row>
    <row r="456">
      <c r="W456" s="112"/>
    </row>
    <row r="457">
      <c r="W457" s="112"/>
    </row>
    <row r="458">
      <c r="W458" s="112"/>
    </row>
    <row r="459">
      <c r="W459" s="112"/>
    </row>
    <row r="460">
      <c r="W460" s="112"/>
    </row>
    <row r="461">
      <c r="W461" s="112"/>
    </row>
    <row r="462">
      <c r="W462" s="112"/>
    </row>
    <row r="463">
      <c r="W463" s="112"/>
    </row>
    <row r="464">
      <c r="W464" s="112"/>
    </row>
    <row r="465">
      <c r="W465" s="112"/>
    </row>
    <row r="466">
      <c r="W466" s="112"/>
    </row>
    <row r="467">
      <c r="W467" s="112"/>
    </row>
    <row r="468">
      <c r="W468" s="112"/>
    </row>
    <row r="469">
      <c r="W469" s="112"/>
    </row>
    <row r="470">
      <c r="W470" s="112"/>
    </row>
    <row r="471">
      <c r="W471" s="112"/>
    </row>
    <row r="472">
      <c r="W472" s="112"/>
    </row>
    <row r="473">
      <c r="W473" s="112"/>
    </row>
    <row r="474">
      <c r="W474" s="112"/>
    </row>
    <row r="475">
      <c r="W475" s="112"/>
    </row>
    <row r="476">
      <c r="W476" s="112"/>
    </row>
    <row r="477">
      <c r="W477" s="112"/>
    </row>
    <row r="478">
      <c r="W478" s="112"/>
    </row>
    <row r="479">
      <c r="W479" s="112"/>
    </row>
    <row r="480">
      <c r="W480" s="112"/>
    </row>
    <row r="481">
      <c r="W481" s="112"/>
    </row>
    <row r="482">
      <c r="W482" s="112"/>
    </row>
    <row r="483">
      <c r="W483" s="112"/>
    </row>
    <row r="484">
      <c r="W484" s="112"/>
    </row>
    <row r="485">
      <c r="W485" s="112"/>
    </row>
    <row r="486">
      <c r="W486" s="112"/>
    </row>
    <row r="487">
      <c r="W487" s="112"/>
    </row>
    <row r="488">
      <c r="W488" s="112"/>
    </row>
    <row r="489">
      <c r="W489" s="112"/>
    </row>
    <row r="490">
      <c r="W490" s="112"/>
    </row>
    <row r="491">
      <c r="W491" s="112"/>
    </row>
    <row r="492">
      <c r="W492" s="112"/>
    </row>
    <row r="493">
      <c r="W493" s="112"/>
    </row>
    <row r="494">
      <c r="W494" s="112"/>
    </row>
    <row r="495">
      <c r="W495" s="112"/>
    </row>
    <row r="496">
      <c r="W496" s="112"/>
    </row>
    <row r="497">
      <c r="W497" s="112"/>
    </row>
    <row r="498">
      <c r="W498" s="112"/>
    </row>
    <row r="499">
      <c r="W499" s="112"/>
    </row>
    <row r="500">
      <c r="W500" s="112"/>
    </row>
    <row r="501">
      <c r="W501" s="112"/>
    </row>
    <row r="502">
      <c r="W502" s="112"/>
    </row>
    <row r="503">
      <c r="W503" s="112"/>
    </row>
    <row r="504">
      <c r="W504" s="112"/>
    </row>
    <row r="505">
      <c r="W505" s="112"/>
    </row>
    <row r="506">
      <c r="W506" s="112"/>
    </row>
    <row r="507">
      <c r="W507" s="112"/>
    </row>
    <row r="508">
      <c r="W508" s="112"/>
    </row>
    <row r="509">
      <c r="W509" s="112"/>
    </row>
    <row r="510">
      <c r="W510" s="112"/>
    </row>
    <row r="511">
      <c r="W511" s="112"/>
    </row>
    <row r="512">
      <c r="W512" s="112"/>
    </row>
    <row r="513">
      <c r="W513" s="112"/>
    </row>
    <row r="514">
      <c r="W514" s="112"/>
    </row>
    <row r="515">
      <c r="W515" s="112"/>
    </row>
    <row r="516">
      <c r="W516" s="112"/>
    </row>
    <row r="517">
      <c r="W517" s="112"/>
    </row>
    <row r="518">
      <c r="W518" s="112"/>
    </row>
    <row r="519">
      <c r="W519" s="112"/>
    </row>
    <row r="520">
      <c r="W520" s="112"/>
    </row>
    <row r="521">
      <c r="W521" s="112"/>
    </row>
    <row r="522">
      <c r="W522" s="112"/>
    </row>
    <row r="523">
      <c r="W523" s="112"/>
    </row>
    <row r="524">
      <c r="W524" s="112"/>
    </row>
    <row r="525">
      <c r="W525" s="112"/>
    </row>
    <row r="526">
      <c r="W526" s="112"/>
    </row>
    <row r="527">
      <c r="W527" s="112"/>
    </row>
    <row r="528">
      <c r="W528" s="112"/>
    </row>
    <row r="529">
      <c r="W529" s="112"/>
    </row>
    <row r="530">
      <c r="W530" s="112"/>
    </row>
    <row r="531">
      <c r="W531" s="112"/>
    </row>
    <row r="532">
      <c r="W532" s="112"/>
    </row>
    <row r="533">
      <c r="W533" s="112"/>
    </row>
    <row r="534">
      <c r="W534" s="112"/>
    </row>
    <row r="535">
      <c r="W535" s="112"/>
    </row>
    <row r="536">
      <c r="W536" s="112"/>
    </row>
    <row r="537">
      <c r="W537" s="112"/>
    </row>
    <row r="538">
      <c r="W538" s="112"/>
    </row>
    <row r="539">
      <c r="W539" s="112"/>
    </row>
    <row r="540">
      <c r="W540" s="112"/>
    </row>
    <row r="541">
      <c r="W541" s="112"/>
    </row>
    <row r="542">
      <c r="W542" s="112"/>
    </row>
    <row r="543">
      <c r="W543" s="112"/>
    </row>
    <row r="544">
      <c r="W544" s="112"/>
    </row>
    <row r="545">
      <c r="W545" s="112"/>
    </row>
    <row r="546">
      <c r="W546" s="112"/>
    </row>
    <row r="547">
      <c r="W547" s="112"/>
    </row>
    <row r="548">
      <c r="W548" s="112"/>
    </row>
    <row r="549">
      <c r="W549" s="112"/>
    </row>
    <row r="550">
      <c r="W550" s="112"/>
    </row>
    <row r="551">
      <c r="W551" s="112"/>
    </row>
    <row r="552">
      <c r="W552" s="112"/>
    </row>
    <row r="553">
      <c r="W553" s="112"/>
    </row>
    <row r="554">
      <c r="W554" s="112"/>
    </row>
    <row r="555">
      <c r="W555" s="112"/>
    </row>
    <row r="556">
      <c r="W556" s="112"/>
    </row>
    <row r="557">
      <c r="W557" s="112"/>
    </row>
    <row r="558">
      <c r="W558" s="112"/>
    </row>
    <row r="559">
      <c r="W559" s="112"/>
    </row>
    <row r="560">
      <c r="W560" s="112"/>
    </row>
    <row r="561">
      <c r="W561" s="112"/>
    </row>
    <row r="562">
      <c r="W562" s="112"/>
    </row>
    <row r="563">
      <c r="W563" s="112"/>
    </row>
    <row r="564">
      <c r="W564" s="112"/>
    </row>
    <row r="565">
      <c r="W565" s="112"/>
    </row>
    <row r="566">
      <c r="W566" s="112"/>
    </row>
    <row r="567">
      <c r="W567" s="112"/>
    </row>
    <row r="568">
      <c r="W568" s="112"/>
    </row>
    <row r="569">
      <c r="W569" s="112"/>
    </row>
    <row r="570">
      <c r="W570" s="112"/>
    </row>
    <row r="571">
      <c r="W571" s="112"/>
    </row>
    <row r="572">
      <c r="W572" s="112"/>
    </row>
    <row r="573">
      <c r="W573" s="112"/>
    </row>
    <row r="574">
      <c r="W574" s="112"/>
    </row>
    <row r="575">
      <c r="W575" s="112"/>
    </row>
    <row r="576">
      <c r="W576" s="112"/>
    </row>
    <row r="577">
      <c r="W577" s="112"/>
    </row>
    <row r="578">
      <c r="W578" s="112"/>
    </row>
    <row r="579">
      <c r="W579" s="112"/>
    </row>
    <row r="580">
      <c r="W580" s="112"/>
    </row>
    <row r="581">
      <c r="W581" s="112"/>
    </row>
    <row r="582">
      <c r="W582" s="112"/>
    </row>
    <row r="583">
      <c r="W583" s="112"/>
    </row>
    <row r="584">
      <c r="W584" s="112"/>
    </row>
    <row r="585">
      <c r="W585" s="112"/>
    </row>
    <row r="586">
      <c r="W586" s="112"/>
    </row>
    <row r="587">
      <c r="W587" s="112"/>
    </row>
    <row r="588">
      <c r="W588" s="112"/>
    </row>
    <row r="589">
      <c r="W589" s="112"/>
    </row>
    <row r="590">
      <c r="W590" s="112"/>
    </row>
    <row r="591">
      <c r="W591" s="112"/>
    </row>
    <row r="592">
      <c r="W592" s="112"/>
    </row>
    <row r="593">
      <c r="W593" s="112"/>
    </row>
    <row r="594">
      <c r="W594" s="112"/>
    </row>
    <row r="595">
      <c r="W595" s="112"/>
    </row>
    <row r="596">
      <c r="W596" s="112"/>
    </row>
    <row r="597">
      <c r="W597" s="112"/>
    </row>
    <row r="598">
      <c r="W598" s="112"/>
    </row>
    <row r="599">
      <c r="W599" s="112"/>
    </row>
    <row r="600">
      <c r="W600" s="112"/>
    </row>
    <row r="601">
      <c r="W601" s="112"/>
    </row>
    <row r="602">
      <c r="W602" s="112"/>
    </row>
    <row r="603">
      <c r="W603" s="112"/>
    </row>
    <row r="604">
      <c r="W604" s="112"/>
    </row>
    <row r="605">
      <c r="W605" s="112"/>
    </row>
    <row r="606">
      <c r="W606" s="112"/>
    </row>
    <row r="607">
      <c r="W607" s="112"/>
    </row>
    <row r="608">
      <c r="W608" s="112"/>
    </row>
    <row r="609">
      <c r="W609" s="112"/>
    </row>
    <row r="610">
      <c r="W610" s="112"/>
    </row>
    <row r="611">
      <c r="W611" s="112"/>
    </row>
    <row r="612">
      <c r="W612" s="112"/>
    </row>
    <row r="613">
      <c r="W613" s="112"/>
    </row>
    <row r="614">
      <c r="W614" s="112"/>
    </row>
    <row r="615">
      <c r="W615" s="112"/>
    </row>
    <row r="616">
      <c r="W616" s="112"/>
    </row>
    <row r="617">
      <c r="W617" s="112"/>
    </row>
    <row r="618">
      <c r="W618" s="112"/>
    </row>
    <row r="619">
      <c r="W619" s="112"/>
    </row>
    <row r="620">
      <c r="W620" s="112"/>
    </row>
    <row r="621">
      <c r="W621" s="112"/>
    </row>
    <row r="622">
      <c r="W622" s="112"/>
    </row>
    <row r="623">
      <c r="W623" s="112"/>
    </row>
    <row r="624">
      <c r="W624" s="112"/>
    </row>
    <row r="625">
      <c r="W625" s="112"/>
    </row>
    <row r="626">
      <c r="W626" s="112"/>
    </row>
    <row r="627">
      <c r="W627" s="112"/>
    </row>
    <row r="628">
      <c r="W628" s="112"/>
    </row>
    <row r="629">
      <c r="W629" s="112"/>
    </row>
    <row r="630">
      <c r="W630" s="112"/>
    </row>
    <row r="631">
      <c r="W631" s="112"/>
    </row>
    <row r="632">
      <c r="W632" s="112"/>
    </row>
    <row r="633">
      <c r="W633" s="112"/>
    </row>
    <row r="634">
      <c r="W634" s="112"/>
    </row>
    <row r="635">
      <c r="W635" s="112"/>
    </row>
    <row r="636">
      <c r="W636" s="112"/>
    </row>
    <row r="637">
      <c r="W637" s="112"/>
    </row>
    <row r="638">
      <c r="W638" s="112"/>
    </row>
    <row r="639">
      <c r="W639" s="112"/>
    </row>
    <row r="640">
      <c r="W640" s="112"/>
    </row>
    <row r="641">
      <c r="W641" s="112"/>
    </row>
    <row r="642">
      <c r="W642" s="112"/>
    </row>
    <row r="643">
      <c r="W643" s="112"/>
    </row>
    <row r="644">
      <c r="W644" s="112"/>
    </row>
    <row r="645">
      <c r="W645" s="112"/>
    </row>
    <row r="646">
      <c r="W646" s="112"/>
    </row>
    <row r="647">
      <c r="W647" s="112"/>
    </row>
    <row r="648">
      <c r="W648" s="112"/>
    </row>
    <row r="649">
      <c r="W649" s="112"/>
    </row>
    <row r="650">
      <c r="W650" s="112"/>
    </row>
    <row r="651">
      <c r="W651" s="112"/>
    </row>
    <row r="652">
      <c r="W652" s="112"/>
    </row>
    <row r="653">
      <c r="W653" s="112"/>
    </row>
    <row r="654">
      <c r="W654" s="112"/>
    </row>
    <row r="655">
      <c r="W655" s="112"/>
    </row>
    <row r="656">
      <c r="W656" s="112"/>
    </row>
    <row r="657">
      <c r="W657" s="112"/>
    </row>
    <row r="658">
      <c r="W658" s="112"/>
    </row>
    <row r="659">
      <c r="W659" s="112"/>
    </row>
    <row r="660">
      <c r="W660" s="112"/>
    </row>
    <row r="661">
      <c r="W661" s="112"/>
    </row>
    <row r="662">
      <c r="W662" s="112"/>
    </row>
    <row r="663">
      <c r="W663" s="112"/>
    </row>
    <row r="664">
      <c r="W664" s="112"/>
    </row>
    <row r="665">
      <c r="W665" s="112"/>
    </row>
    <row r="666">
      <c r="W666" s="112"/>
    </row>
    <row r="667">
      <c r="W667" s="112"/>
    </row>
    <row r="668">
      <c r="W668" s="112"/>
    </row>
    <row r="669">
      <c r="W669" s="112"/>
    </row>
    <row r="670">
      <c r="W670" s="112"/>
    </row>
    <row r="671">
      <c r="W671" s="112"/>
    </row>
    <row r="672">
      <c r="W672" s="112"/>
    </row>
    <row r="673">
      <c r="W673" s="112"/>
    </row>
    <row r="674">
      <c r="W674" s="112"/>
    </row>
    <row r="675">
      <c r="W675" s="112"/>
    </row>
    <row r="676">
      <c r="W676" s="112"/>
    </row>
    <row r="677">
      <c r="W677" s="112"/>
    </row>
    <row r="678">
      <c r="W678" s="112"/>
    </row>
    <row r="679">
      <c r="W679" s="112"/>
    </row>
    <row r="680">
      <c r="W680" s="112"/>
    </row>
    <row r="681">
      <c r="W681" s="112"/>
    </row>
    <row r="682">
      <c r="W682" s="112"/>
    </row>
    <row r="683">
      <c r="W683" s="112"/>
    </row>
    <row r="684">
      <c r="W684" s="112"/>
    </row>
    <row r="685">
      <c r="W685" s="112"/>
    </row>
    <row r="686">
      <c r="W686" s="112"/>
    </row>
    <row r="687">
      <c r="W687" s="112"/>
    </row>
    <row r="688">
      <c r="W688" s="112"/>
    </row>
    <row r="689">
      <c r="W689" s="112"/>
    </row>
    <row r="690">
      <c r="W690" s="112"/>
    </row>
    <row r="691">
      <c r="W691" s="112"/>
    </row>
    <row r="692">
      <c r="W692" s="112"/>
    </row>
    <row r="693">
      <c r="W693" s="112"/>
    </row>
    <row r="694">
      <c r="W694" s="112"/>
    </row>
    <row r="695">
      <c r="W695" s="112"/>
    </row>
    <row r="696">
      <c r="W696" s="112"/>
    </row>
    <row r="697">
      <c r="W697" s="112"/>
    </row>
    <row r="698">
      <c r="W698" s="112"/>
    </row>
    <row r="699">
      <c r="W699" s="112"/>
    </row>
    <row r="700">
      <c r="W700" s="112"/>
    </row>
    <row r="701">
      <c r="W701" s="112"/>
    </row>
    <row r="702">
      <c r="W702" s="112"/>
    </row>
    <row r="703">
      <c r="W703" s="112"/>
    </row>
    <row r="704">
      <c r="W704" s="112"/>
    </row>
    <row r="705">
      <c r="W705" s="112"/>
    </row>
    <row r="706">
      <c r="W706" s="112"/>
    </row>
    <row r="707">
      <c r="W707" s="112"/>
    </row>
    <row r="708">
      <c r="W708" s="112"/>
    </row>
    <row r="709">
      <c r="W709" s="112"/>
    </row>
    <row r="710">
      <c r="W710" s="112"/>
    </row>
    <row r="711">
      <c r="W711" s="112"/>
    </row>
    <row r="712">
      <c r="W712" s="112"/>
    </row>
    <row r="713">
      <c r="W713" s="112"/>
    </row>
    <row r="714">
      <c r="W714" s="112"/>
    </row>
    <row r="715">
      <c r="W715" s="112"/>
    </row>
    <row r="716">
      <c r="W716" s="112"/>
    </row>
    <row r="717">
      <c r="W717" s="112"/>
    </row>
    <row r="718">
      <c r="W718" s="112"/>
    </row>
    <row r="719">
      <c r="W719" s="112"/>
    </row>
    <row r="720">
      <c r="W720" s="112"/>
    </row>
    <row r="721">
      <c r="W721" s="112"/>
    </row>
    <row r="722">
      <c r="W722" s="112"/>
    </row>
    <row r="723">
      <c r="W723" s="112"/>
    </row>
    <row r="724">
      <c r="W724" s="112"/>
    </row>
    <row r="725">
      <c r="W725" s="112"/>
    </row>
    <row r="726">
      <c r="W726" s="112"/>
    </row>
    <row r="727">
      <c r="W727" s="112"/>
    </row>
    <row r="728">
      <c r="W728" s="112"/>
    </row>
    <row r="729">
      <c r="W729" s="112"/>
    </row>
    <row r="730">
      <c r="W730" s="112"/>
    </row>
    <row r="731">
      <c r="W731" s="112"/>
    </row>
    <row r="732">
      <c r="W732" s="112"/>
    </row>
    <row r="733">
      <c r="W733" s="112"/>
    </row>
    <row r="734">
      <c r="W734" s="112"/>
    </row>
    <row r="735">
      <c r="W735" s="112"/>
    </row>
    <row r="736">
      <c r="W736" s="112"/>
    </row>
    <row r="737">
      <c r="W737" s="112"/>
    </row>
    <row r="738">
      <c r="W738" s="112"/>
    </row>
    <row r="739">
      <c r="W739" s="112"/>
    </row>
    <row r="740">
      <c r="W740" s="112"/>
    </row>
    <row r="741">
      <c r="W741" s="112"/>
    </row>
    <row r="742">
      <c r="W742" s="112"/>
    </row>
    <row r="743">
      <c r="W743" s="112"/>
    </row>
    <row r="744">
      <c r="W744" s="112"/>
    </row>
    <row r="745">
      <c r="W745" s="112"/>
    </row>
    <row r="746">
      <c r="W746" s="112"/>
    </row>
    <row r="747">
      <c r="W747" s="112"/>
    </row>
    <row r="748">
      <c r="W748" s="112"/>
    </row>
    <row r="749">
      <c r="W749" s="112"/>
    </row>
    <row r="750">
      <c r="W750" s="112"/>
    </row>
    <row r="751">
      <c r="W751" s="112"/>
    </row>
    <row r="752">
      <c r="W752" s="112"/>
    </row>
    <row r="753">
      <c r="W753" s="112"/>
    </row>
    <row r="754">
      <c r="W754" s="112"/>
    </row>
    <row r="755">
      <c r="W755" s="112"/>
    </row>
    <row r="756">
      <c r="W756" s="112"/>
    </row>
    <row r="757">
      <c r="W757" s="112"/>
    </row>
    <row r="758">
      <c r="W758" s="112"/>
    </row>
    <row r="759">
      <c r="W759" s="112"/>
    </row>
    <row r="760">
      <c r="W760" s="112"/>
    </row>
    <row r="761">
      <c r="W761" s="112"/>
    </row>
    <row r="762">
      <c r="W762" s="112"/>
    </row>
    <row r="763">
      <c r="W763" s="112"/>
    </row>
    <row r="764">
      <c r="W764" s="112"/>
    </row>
    <row r="765">
      <c r="W765" s="112"/>
    </row>
    <row r="766">
      <c r="W766" s="112"/>
    </row>
    <row r="767">
      <c r="W767" s="112"/>
    </row>
    <row r="768">
      <c r="W768" s="112"/>
    </row>
    <row r="769">
      <c r="W769" s="112"/>
    </row>
    <row r="770">
      <c r="W770" s="112"/>
    </row>
    <row r="771">
      <c r="W771" s="112"/>
    </row>
    <row r="772">
      <c r="W772" s="112"/>
    </row>
    <row r="773">
      <c r="W773" s="112"/>
    </row>
    <row r="774">
      <c r="W774" s="112"/>
    </row>
    <row r="775">
      <c r="W775" s="112"/>
    </row>
    <row r="776">
      <c r="W776" s="112"/>
    </row>
    <row r="777">
      <c r="W777" s="112"/>
    </row>
    <row r="778">
      <c r="W778" s="112"/>
    </row>
    <row r="779">
      <c r="W779" s="112"/>
    </row>
    <row r="780">
      <c r="W780" s="112"/>
    </row>
    <row r="781">
      <c r="W781" s="112"/>
    </row>
    <row r="782">
      <c r="W782" s="112"/>
    </row>
    <row r="783">
      <c r="W783" s="112"/>
    </row>
    <row r="784">
      <c r="W784" s="112"/>
    </row>
    <row r="785">
      <c r="W785" s="112"/>
    </row>
    <row r="786">
      <c r="W786" s="112"/>
    </row>
    <row r="787">
      <c r="W787" s="112"/>
    </row>
    <row r="788">
      <c r="W788" s="112"/>
    </row>
    <row r="789">
      <c r="W789" s="112"/>
    </row>
    <row r="790">
      <c r="W790" s="112"/>
    </row>
    <row r="791">
      <c r="W791" s="112"/>
    </row>
    <row r="792">
      <c r="W792" s="112"/>
    </row>
    <row r="793">
      <c r="W793" s="112"/>
    </row>
    <row r="794">
      <c r="W794" s="112"/>
    </row>
    <row r="795">
      <c r="W795" s="112"/>
    </row>
    <row r="796">
      <c r="W796" s="112"/>
    </row>
    <row r="797">
      <c r="W797" s="112"/>
    </row>
    <row r="798">
      <c r="W798" s="112"/>
    </row>
    <row r="799">
      <c r="W799" s="112"/>
    </row>
    <row r="800">
      <c r="W800" s="112"/>
    </row>
    <row r="801">
      <c r="W801" s="112"/>
    </row>
    <row r="802">
      <c r="W802" s="112"/>
    </row>
    <row r="803">
      <c r="W803" s="112"/>
    </row>
    <row r="804">
      <c r="W804" s="112"/>
    </row>
    <row r="805">
      <c r="W805" s="112"/>
    </row>
    <row r="806">
      <c r="W806" s="112"/>
    </row>
    <row r="807">
      <c r="W807" s="112"/>
    </row>
    <row r="808">
      <c r="W808" s="112"/>
    </row>
    <row r="809">
      <c r="W809" s="112"/>
    </row>
    <row r="810">
      <c r="W810" s="112"/>
    </row>
    <row r="811">
      <c r="W811" s="112"/>
    </row>
    <row r="812">
      <c r="W812" s="112"/>
    </row>
    <row r="813">
      <c r="W813" s="112"/>
    </row>
    <row r="814">
      <c r="W814" s="112"/>
    </row>
    <row r="815">
      <c r="W815" s="112"/>
    </row>
    <row r="816">
      <c r="W816" s="112"/>
    </row>
    <row r="817">
      <c r="W817" s="112"/>
    </row>
    <row r="818">
      <c r="W818" s="112"/>
    </row>
    <row r="819">
      <c r="W819" s="112"/>
    </row>
    <row r="820">
      <c r="W820" s="112"/>
    </row>
    <row r="821">
      <c r="W821" s="112"/>
    </row>
    <row r="822">
      <c r="W822" s="112"/>
    </row>
    <row r="823">
      <c r="W823" s="112"/>
    </row>
    <row r="824">
      <c r="W824" s="112"/>
    </row>
    <row r="825">
      <c r="W825" s="112"/>
    </row>
    <row r="826">
      <c r="W826" s="112"/>
    </row>
    <row r="827">
      <c r="W827" s="112"/>
    </row>
    <row r="828">
      <c r="W828" s="112"/>
    </row>
    <row r="829">
      <c r="W829" s="112"/>
    </row>
    <row r="830">
      <c r="W830" s="112"/>
    </row>
    <row r="831">
      <c r="W831" s="112"/>
    </row>
    <row r="832">
      <c r="W832" s="112"/>
    </row>
    <row r="833">
      <c r="W833" s="112"/>
    </row>
    <row r="834">
      <c r="W834" s="112"/>
    </row>
    <row r="835">
      <c r="W835" s="112"/>
    </row>
    <row r="836">
      <c r="W836" s="112"/>
    </row>
    <row r="837">
      <c r="W837" s="112"/>
    </row>
    <row r="838">
      <c r="W838" s="112"/>
    </row>
    <row r="839">
      <c r="W839" s="112"/>
    </row>
    <row r="840">
      <c r="W840" s="112"/>
    </row>
    <row r="841">
      <c r="W841" s="112"/>
    </row>
    <row r="842">
      <c r="W842" s="112"/>
    </row>
    <row r="843">
      <c r="W843" s="112"/>
    </row>
    <row r="844">
      <c r="W844" s="112"/>
    </row>
    <row r="845">
      <c r="W845" s="112"/>
    </row>
    <row r="846">
      <c r="W846" s="112"/>
    </row>
    <row r="847">
      <c r="W847" s="112"/>
    </row>
    <row r="848">
      <c r="W848" s="112"/>
    </row>
    <row r="849">
      <c r="W849" s="112"/>
    </row>
    <row r="850">
      <c r="W850" s="112"/>
    </row>
    <row r="851">
      <c r="W851" s="112"/>
    </row>
    <row r="852">
      <c r="W852" s="112"/>
    </row>
    <row r="853">
      <c r="W853" s="112"/>
    </row>
    <row r="854">
      <c r="W854" s="112"/>
    </row>
    <row r="855">
      <c r="W855" s="112"/>
    </row>
    <row r="856">
      <c r="W856" s="112"/>
    </row>
    <row r="857">
      <c r="W857" s="112"/>
    </row>
    <row r="858">
      <c r="W858" s="112"/>
    </row>
    <row r="859">
      <c r="W859" s="112"/>
    </row>
    <row r="860">
      <c r="W860" s="112"/>
    </row>
    <row r="861">
      <c r="W861" s="112"/>
    </row>
    <row r="862">
      <c r="W862" s="112"/>
    </row>
    <row r="863">
      <c r="W863" s="112"/>
    </row>
    <row r="864">
      <c r="W864" s="112"/>
    </row>
    <row r="865">
      <c r="W865" s="112"/>
    </row>
    <row r="866">
      <c r="W866" s="112"/>
    </row>
    <row r="867">
      <c r="W867" s="112"/>
    </row>
    <row r="868">
      <c r="W868" s="112"/>
    </row>
    <row r="869">
      <c r="W869" s="112"/>
    </row>
    <row r="870">
      <c r="W870" s="112"/>
    </row>
    <row r="871">
      <c r="W871" s="112"/>
    </row>
    <row r="872">
      <c r="W872" s="112"/>
    </row>
    <row r="873">
      <c r="W873" s="112"/>
    </row>
    <row r="874">
      <c r="W874" s="112"/>
    </row>
    <row r="875">
      <c r="W875" s="112"/>
    </row>
    <row r="876">
      <c r="W876" s="112"/>
    </row>
    <row r="877">
      <c r="W877" s="112"/>
    </row>
    <row r="878">
      <c r="W878" s="112"/>
    </row>
    <row r="879">
      <c r="W879" s="112"/>
    </row>
    <row r="880">
      <c r="W880" s="112"/>
    </row>
    <row r="881">
      <c r="W881" s="112"/>
    </row>
    <row r="882">
      <c r="W882" s="112"/>
    </row>
    <row r="883">
      <c r="W883" s="112"/>
    </row>
    <row r="884">
      <c r="W884" s="112"/>
    </row>
    <row r="885">
      <c r="W885" s="112"/>
    </row>
    <row r="886">
      <c r="W886" s="112"/>
    </row>
    <row r="887">
      <c r="W887" s="112"/>
    </row>
    <row r="888">
      <c r="W888" s="112"/>
    </row>
    <row r="889">
      <c r="W889" s="112"/>
    </row>
    <row r="890">
      <c r="W890" s="112"/>
    </row>
    <row r="891">
      <c r="W891" s="112"/>
    </row>
    <row r="892">
      <c r="W892" s="112"/>
    </row>
    <row r="893">
      <c r="W893" s="112"/>
    </row>
    <row r="894">
      <c r="W894" s="112"/>
    </row>
    <row r="895">
      <c r="W895" s="112"/>
    </row>
    <row r="896">
      <c r="W896" s="112"/>
    </row>
    <row r="897">
      <c r="W897" s="112"/>
    </row>
    <row r="898">
      <c r="W898" s="112"/>
    </row>
    <row r="899">
      <c r="W899" s="112"/>
    </row>
    <row r="900">
      <c r="W900" s="112"/>
    </row>
    <row r="901">
      <c r="W901" s="112"/>
    </row>
    <row r="902">
      <c r="W902" s="112"/>
    </row>
    <row r="903">
      <c r="W903" s="112"/>
    </row>
    <row r="904">
      <c r="W904" s="112"/>
    </row>
    <row r="905">
      <c r="W905" s="112"/>
    </row>
    <row r="906">
      <c r="W906" s="112"/>
    </row>
    <row r="907">
      <c r="W907" s="112"/>
    </row>
    <row r="908">
      <c r="W908" s="112"/>
    </row>
    <row r="909">
      <c r="W909" s="112"/>
    </row>
    <row r="910">
      <c r="W910" s="112"/>
    </row>
    <row r="911">
      <c r="W911" s="112"/>
    </row>
    <row r="912">
      <c r="W912" s="112"/>
    </row>
    <row r="913">
      <c r="W913" s="112"/>
    </row>
    <row r="914">
      <c r="W914" s="112"/>
    </row>
    <row r="915">
      <c r="W915" s="112"/>
    </row>
    <row r="916">
      <c r="W916" s="112"/>
    </row>
    <row r="917">
      <c r="W917" s="112"/>
    </row>
    <row r="918">
      <c r="W918" s="112"/>
    </row>
    <row r="919">
      <c r="W919" s="112"/>
    </row>
    <row r="920">
      <c r="W920" s="112"/>
    </row>
    <row r="921">
      <c r="W921" s="112"/>
    </row>
    <row r="922">
      <c r="W922" s="112"/>
    </row>
    <row r="923">
      <c r="W923" s="112"/>
    </row>
    <row r="924">
      <c r="W924" s="112"/>
    </row>
    <row r="925">
      <c r="W925" s="112"/>
    </row>
    <row r="926">
      <c r="W926" s="112"/>
    </row>
    <row r="927">
      <c r="W927" s="112"/>
    </row>
    <row r="928">
      <c r="W928" s="112"/>
    </row>
    <row r="929">
      <c r="W929" s="112"/>
    </row>
    <row r="930">
      <c r="W930" s="112"/>
    </row>
    <row r="931">
      <c r="W931" s="112"/>
    </row>
    <row r="932">
      <c r="W932" s="112"/>
    </row>
    <row r="933">
      <c r="W933" s="112"/>
    </row>
    <row r="934">
      <c r="W934" s="112"/>
    </row>
    <row r="935">
      <c r="W935" s="112"/>
    </row>
    <row r="936">
      <c r="W936" s="112"/>
    </row>
    <row r="937">
      <c r="W937" s="112"/>
    </row>
    <row r="938">
      <c r="W938" s="112"/>
    </row>
    <row r="939">
      <c r="W939" s="112"/>
    </row>
    <row r="940">
      <c r="W940" s="112"/>
    </row>
    <row r="941">
      <c r="W941" s="112"/>
    </row>
    <row r="942">
      <c r="W942" s="112"/>
    </row>
    <row r="943">
      <c r="W943" s="112"/>
    </row>
    <row r="944">
      <c r="W944" s="112"/>
    </row>
    <row r="945">
      <c r="W945" s="112"/>
    </row>
    <row r="946">
      <c r="W946" s="112"/>
    </row>
    <row r="947">
      <c r="W947" s="112"/>
    </row>
    <row r="948">
      <c r="W948" s="112"/>
    </row>
    <row r="949">
      <c r="W949" s="112"/>
    </row>
    <row r="950">
      <c r="W950" s="112"/>
    </row>
    <row r="951">
      <c r="W951" s="112"/>
    </row>
    <row r="952">
      <c r="W952" s="112"/>
    </row>
    <row r="953">
      <c r="W953" s="112"/>
    </row>
    <row r="954">
      <c r="W954" s="112"/>
    </row>
    <row r="955">
      <c r="W955" s="112"/>
    </row>
    <row r="956">
      <c r="W956" s="112"/>
    </row>
    <row r="957">
      <c r="W957" s="112"/>
    </row>
    <row r="958">
      <c r="W958" s="112"/>
    </row>
    <row r="959">
      <c r="W959" s="112"/>
    </row>
    <row r="960">
      <c r="W960" s="112"/>
    </row>
    <row r="961">
      <c r="W961" s="112"/>
    </row>
    <row r="962">
      <c r="W962" s="112"/>
    </row>
    <row r="963">
      <c r="W963" s="112"/>
    </row>
    <row r="964">
      <c r="W964" s="112"/>
    </row>
    <row r="965">
      <c r="W965" s="112"/>
    </row>
    <row r="966">
      <c r="W966" s="112"/>
    </row>
    <row r="967">
      <c r="W967" s="112"/>
    </row>
    <row r="968">
      <c r="W968" s="112"/>
    </row>
    <row r="969">
      <c r="W969" s="112"/>
    </row>
    <row r="970">
      <c r="W970" s="112"/>
    </row>
    <row r="971">
      <c r="W971" s="112"/>
    </row>
    <row r="972">
      <c r="W972" s="112"/>
    </row>
    <row r="973">
      <c r="W973" s="112"/>
    </row>
    <row r="974">
      <c r="W974" s="112"/>
    </row>
    <row r="975">
      <c r="W975" s="112"/>
    </row>
    <row r="976">
      <c r="W976" s="112"/>
    </row>
    <row r="977">
      <c r="W977" s="112"/>
    </row>
    <row r="978">
      <c r="W978" s="112"/>
    </row>
    <row r="979">
      <c r="W979" s="112"/>
    </row>
    <row r="980">
      <c r="W980" s="112"/>
    </row>
    <row r="981">
      <c r="W981" s="112"/>
    </row>
    <row r="982">
      <c r="W982" s="112"/>
    </row>
    <row r="983">
      <c r="W983" s="112"/>
    </row>
    <row r="984">
      <c r="W984" s="112"/>
    </row>
    <row r="985">
      <c r="W985" s="112"/>
    </row>
    <row r="986">
      <c r="W986" s="112"/>
    </row>
    <row r="987">
      <c r="W987" s="112"/>
    </row>
    <row r="988">
      <c r="W988" s="112"/>
    </row>
    <row r="989">
      <c r="W989" s="112"/>
    </row>
    <row r="990">
      <c r="W990" s="112"/>
    </row>
    <row r="991">
      <c r="W991" s="112"/>
    </row>
    <row r="992">
      <c r="W992" s="112"/>
    </row>
    <row r="993">
      <c r="W993" s="112"/>
    </row>
    <row r="994">
      <c r="W994" s="112"/>
    </row>
    <row r="995">
      <c r="W995" s="112"/>
    </row>
    <row r="996">
      <c r="W996" s="112"/>
    </row>
    <row r="997">
      <c r="W997" s="112"/>
    </row>
    <row r="998">
      <c r="W998" s="112"/>
    </row>
    <row r="999">
      <c r="W999" s="112"/>
    </row>
    <row r="1000">
      <c r="W1000" s="112"/>
    </row>
  </sheetData>
  <mergeCells count="38">
    <mergeCell ref="P10:Q10"/>
    <mergeCell ref="P11:Q11"/>
    <mergeCell ref="P12:Q12"/>
    <mergeCell ref="P13:Q13"/>
    <mergeCell ref="P14:Q14"/>
    <mergeCell ref="B5:C5"/>
    <mergeCell ref="B6:C6"/>
    <mergeCell ref="B7:C7"/>
    <mergeCell ref="P7:Q7"/>
    <mergeCell ref="B8:C8"/>
    <mergeCell ref="P8:Q8"/>
    <mergeCell ref="P9:Q9"/>
    <mergeCell ref="B9:C9"/>
    <mergeCell ref="B10:C10"/>
    <mergeCell ref="B11:C11"/>
    <mergeCell ref="B12:C12"/>
    <mergeCell ref="B13:C13"/>
    <mergeCell ref="B14:C14"/>
    <mergeCell ref="B17:C17"/>
    <mergeCell ref="B19:C19"/>
    <mergeCell ref="R17:S17"/>
    <mergeCell ref="T17:U17"/>
    <mergeCell ref="D17:E17"/>
    <mergeCell ref="F17:G17"/>
    <mergeCell ref="H17:I17"/>
    <mergeCell ref="J17:K17"/>
    <mergeCell ref="L17:M17"/>
    <mergeCell ref="N17:O17"/>
    <mergeCell ref="P17:Q17"/>
    <mergeCell ref="R18:S18"/>
    <mergeCell ref="T18:U18"/>
    <mergeCell ref="D18:E18"/>
    <mergeCell ref="F18:G18"/>
    <mergeCell ref="H18:I18"/>
    <mergeCell ref="J18:K18"/>
    <mergeCell ref="L18:M18"/>
    <mergeCell ref="N18:O18"/>
    <mergeCell ref="P18:Q18"/>
  </mergeCells>
  <drawing r:id="rId1"/>
</worksheet>
</file>