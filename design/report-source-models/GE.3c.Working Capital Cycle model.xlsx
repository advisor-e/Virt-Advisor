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ycle Model" sheetId="1" r:id="rId4"/>
    <sheet state="visible" name="Working Capital vs Markup vs Ti"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Start by entering initial investment dollars figure, all else thereafter.</t>
      </text>
    </comment>
  </commentList>
</comments>
</file>

<file path=xl/sharedStrings.xml><?xml version="1.0" encoding="utf-8"?>
<sst xmlns="http://schemas.openxmlformats.org/spreadsheetml/2006/main" count="107" uniqueCount="80">
  <si>
    <t xml:space="preserve">  </t>
  </si>
  <si>
    <t>Initial Investment Dollars</t>
  </si>
  <si>
    <t>click here</t>
  </si>
  <si>
    <t>View Notes</t>
  </si>
  <si>
    <t>Yes</t>
  </si>
  <si>
    <t>In the interests of keeping things simple, the term 'Cashflow Positive' refers to the business receiving more in sales than going out in total expenses. Cashflow Negative means the opposite is true.</t>
  </si>
  <si>
    <t>No</t>
  </si>
  <si>
    <t>% Required To Purchase Initial Plant &amp; Equipment</t>
  </si>
  <si>
    <t>(of initial working capital)</t>
  </si>
  <si>
    <t>Cash Reserve Required</t>
  </si>
  <si>
    <t>Unit cost</t>
  </si>
  <si>
    <t>The purpose of this model is to highlight the effects of decisions relating to your trading Cycle Factor and seperate them from decisions relating to pricing and fixed costs - which are a reflection of your strategic / structural philosophy.</t>
  </si>
  <si>
    <t>initial working capital (cash)</t>
  </si>
  <si>
    <t>Full Sale Price</t>
  </si>
  <si>
    <t>Money Spent On Initial 'Set-up'</t>
  </si>
  <si>
    <t>Mark up %</t>
  </si>
  <si>
    <t>Gross Sales Margin</t>
  </si>
  <si>
    <t>Cashflow Negative</t>
  </si>
  <si>
    <t>Days Payable</t>
  </si>
  <si>
    <t>Discount %</t>
  </si>
  <si>
    <t>The data entry cell P.A Rev' Scenario 1 allows you to keep an easy record of the previous scenario annual revenue, you can then make changes and easily see the difference it makes over the year.</t>
  </si>
  <si>
    <t>Required Fixed Costs Mthly</t>
  </si>
  <si>
    <t>Total Units</t>
  </si>
  <si>
    <t>Discounted Price</t>
  </si>
  <si>
    <t>Total Units Cost</t>
  </si>
  <si>
    <t>Cashflow Positive</t>
  </si>
  <si>
    <t>% of Units Sold at Full Price</t>
  </si>
  <si>
    <t>Contribution (Margin) %</t>
  </si>
  <si>
    <t>You'll notice the monthly Sales and GP- Margin received figures are influenced by the Cycle Factor. This assumes the mth being assessed is not the first or last month in the year, in order to highlight the effects of 'money in movement'. All figures are eventually reflected as a % of the current month's activity as the model shows fixed costs being paid monthly. (This is why the Cycle Factor is related to a 30 day period)</t>
  </si>
  <si>
    <t>Days Deliverable</t>
  </si>
  <si>
    <t>plus</t>
  </si>
  <si>
    <t>Days Receivable</t>
  </si>
  <si>
    <t>Days on Hand</t>
  </si>
  <si>
    <t>Days Capital reqd</t>
  </si>
  <si>
    <t>Cycle Factor</t>
  </si>
  <si>
    <t>Net Profit (before tax)</t>
  </si>
  <si>
    <t>(number of monthly trading cycles)</t>
  </si>
  <si>
    <t>This model assumes the working cycle can't be repeated until the funds from the previous working cycle has been received. The model does not assess working days in progress; it's calculating ONLY the time taken for the money to 'get back' so the business can 'start again'.</t>
  </si>
  <si>
    <t>per annum</t>
  </si>
  <si>
    <t>Units Sold at Full Price</t>
  </si>
  <si>
    <t>Full Price Revenue</t>
  </si>
  <si>
    <t>Monthly Cash Sales</t>
  </si>
  <si>
    <t>Units Sold at Discount</t>
  </si>
  <si>
    <t>Reduced Price Revenue</t>
  </si>
  <si>
    <t>Monthly Cash GP Rec'd</t>
  </si>
  <si>
    <t>Total Batch Revenue</t>
  </si>
  <si>
    <t>Annual Revenue</t>
  </si>
  <si>
    <t>Batch Gross Profit (Margin)</t>
  </si>
  <si>
    <t>P.A Rev' Scenario 1</t>
  </si>
  <si>
    <t>"The Cost of Being in Business"</t>
  </si>
  <si>
    <t>"Money That Makes Money"</t>
  </si>
  <si>
    <t>Difference</t>
  </si>
  <si>
    <t>30 Day Cycle Table</t>
  </si>
  <si>
    <t>Gross Profit Per Bar</t>
  </si>
  <si>
    <t>Markup (Profit as % of Cost)</t>
  </si>
  <si>
    <t>Margin (Profit as % of Sale)</t>
  </si>
  <si>
    <t>Cost of Bar</t>
  </si>
  <si>
    <t>Sell Price</t>
  </si>
  <si>
    <t>Mthly Overheads</t>
  </si>
  <si>
    <t>Mth 1</t>
  </si>
  <si>
    <t>Mth 2</t>
  </si>
  <si>
    <t>Mth 3</t>
  </si>
  <si>
    <t>Mth 4</t>
  </si>
  <si>
    <t>Mth 5</t>
  </si>
  <si>
    <t>Mth 6</t>
  </si>
  <si>
    <t>Mth 7</t>
  </si>
  <si>
    <t>Mth 8</t>
  </si>
  <si>
    <t>Mth 9</t>
  </si>
  <si>
    <t>Mth 10</t>
  </si>
  <si>
    <t>Mth 11</t>
  </si>
  <si>
    <t>Mth 12</t>
  </si>
  <si>
    <t>Cash Open</t>
  </si>
  <si>
    <t>Units</t>
  </si>
  <si>
    <t>Unit Costs</t>
  </si>
  <si>
    <t>Sales</t>
  </si>
  <si>
    <t>Cash Rec'd</t>
  </si>
  <si>
    <t>Overheads</t>
  </si>
  <si>
    <t>Gross Profit</t>
  </si>
  <si>
    <t>60 Day Cycle Table</t>
  </si>
  <si>
    <t>Margin   (Profit as % of Sale)</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</si>
</sst>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quot;$&quot;#,##0"/>
    <numFmt numFmtId="165" formatCode="_(&quot;$&quot;* #,##0_);_(&quot;$&quot;* \(#,##0\);_(&quot;$&quot;* &quot;-&quot;??_);_(@_)"/>
    <numFmt numFmtId="166" formatCode="_(&quot;$&quot;* #,##0.00_);_(&quot;$&quot;* \(#,##0.00\);_(&quot;$&quot;* &quot;-&quot;??_);_(@_)"/>
    <numFmt numFmtId="167" formatCode="&quot;$&quot;#,##0.00"/>
    <numFmt numFmtId="168" formatCode="&quot;$&quot;#,##0.0"/>
    <numFmt numFmtId="169" formatCode="#,##0.0"/>
    <numFmt numFmtId="170" formatCode="0.0%"/>
    <numFmt numFmtId="171" formatCode="_(&quot;$&quot;* #,##0.00_);_(&quot;$&quot;* \(#,##0.00\);_(&quot;$&quot;* &quot;-&quot;??.00_);_(@_)"/>
  </numFmts>
  <fonts count="25">
    <font>
      <sz val="11.0"/>
      <color rgb="FF000000"/>
      <name val="Calibri"/>
    </font>
    <font>
      <sz val="11.0"/>
      <color rgb="FF000000"/>
      <name val="Open Sans"/>
    </font>
    <font>
      <sz val="11.0"/>
      <color rgb="FFFFFFFF"/>
      <name val="Open Sans"/>
    </font>
    <font>
      <b/>
      <sz val="11.0"/>
      <color rgb="FF000000"/>
      <name val="Open Sans"/>
    </font>
    <font/>
    <font>
      <b/>
      <sz val="8.0"/>
      <color rgb="FF000000"/>
      <name val="Open Sans"/>
    </font>
    <font>
      <sz val="8.0"/>
      <color rgb="FF000000"/>
      <name val="Open Sans"/>
    </font>
    <font>
      <b/>
      <sz val="10.0"/>
      <color rgb="FFFF0000"/>
      <name val="Open Sans"/>
    </font>
    <font>
      <sz val="9.0"/>
      <color rgb="FF000000"/>
      <name val="Open Sans"/>
    </font>
    <font>
      <sz val="10.0"/>
      <name val="Open Sans"/>
    </font>
    <font>
      <name val="Open Sans"/>
    </font>
    <font>
      <color rgb="FFFFFFFF"/>
      <name val="Open Sans"/>
    </font>
    <font>
      <sz val="11.0"/>
      <color rgb="FFFFFF00"/>
      <name val="Open Sans"/>
    </font>
    <font>
      <sz val="11.0"/>
      <color rgb="FF00FFFF"/>
      <name val="Open Sans"/>
    </font>
    <font>
      <b/>
      <sz val="20.0"/>
      <color rgb="FF000000"/>
      <name val="Open Sans"/>
    </font>
    <font>
      <sz val="20.0"/>
      <color rgb="FF000000"/>
      <name val="Open Sans"/>
    </font>
    <font>
      <sz val="9.0"/>
      <color rgb="FF00FFFF"/>
      <name val="Open Sans"/>
    </font>
    <font>
      <sz val="11.0"/>
      <name val="Open Sans"/>
    </font>
    <font>
      <sz val="11.0"/>
      <color rgb="FFFF0000"/>
      <name val="Open Sans"/>
    </font>
    <font>
      <sz val="8.0"/>
      <name val="Open Sans"/>
    </font>
    <font>
      <sz val="12.0"/>
      <color rgb="FFFFFFFF"/>
      <name val="Open Sans"/>
    </font>
    <font>
      <sz val="12.0"/>
      <color rgb="FFFFFF00"/>
      <name val="Open Sans"/>
    </font>
    <font>
      <sz val="12.0"/>
      <color rgb="FF000000"/>
      <name val="Open Sans"/>
    </font>
    <font>
      <sz val="12.0"/>
      <color rgb="FF00FFFF"/>
      <name val="Open Sans"/>
    </font>
    <font>
      <sz val="12.0"/>
      <color rgb="FFDD7E6B"/>
      <name val="Open Sans"/>
    </font>
  </fonts>
  <fills count="13">
    <fill>
      <patternFill patternType="none"/>
    </fill>
    <fill>
      <patternFill patternType="lightGray"/>
    </fill>
    <fill>
      <patternFill patternType="solid">
        <fgColor rgb="FF434343"/>
        <bgColor rgb="FF434343"/>
      </patternFill>
    </fill>
    <fill>
      <patternFill patternType="solid">
        <fgColor rgb="FF4A86E8"/>
        <bgColor rgb="FF4A86E8"/>
      </patternFill>
    </fill>
    <fill>
      <patternFill patternType="solid">
        <fgColor rgb="FFFF0000"/>
        <bgColor rgb="FFFF0000"/>
      </patternFill>
    </fill>
    <fill>
      <patternFill patternType="solid">
        <fgColor rgb="FFFFFFFF"/>
        <bgColor rgb="FFFFFFFF"/>
      </patternFill>
    </fill>
    <fill>
      <patternFill patternType="solid">
        <fgColor rgb="FFFFFF00"/>
        <bgColor rgb="FFFFFF00"/>
      </patternFill>
    </fill>
    <fill>
      <patternFill patternType="solid">
        <fgColor rgb="FF0000FF"/>
        <bgColor rgb="FF0000FF"/>
      </patternFill>
    </fill>
    <fill>
      <patternFill patternType="solid">
        <fgColor rgb="FF666666"/>
        <bgColor rgb="FF666666"/>
      </patternFill>
    </fill>
    <fill>
      <patternFill patternType="solid">
        <fgColor rgb="FF1155CC"/>
        <bgColor rgb="FF1155CC"/>
      </patternFill>
    </fill>
    <fill>
      <patternFill patternType="solid">
        <fgColor rgb="FFB8CCE4"/>
        <bgColor rgb="FFB8CCE4"/>
      </patternFill>
    </fill>
    <fill>
      <patternFill patternType="solid">
        <fgColor rgb="FF00FFFF"/>
        <bgColor rgb="FF00FFFF"/>
      </patternFill>
    </fill>
    <fill>
      <patternFill patternType="solid">
        <fgColor rgb="FF157D15"/>
        <bgColor rgb="FF157D15"/>
      </patternFill>
    </fill>
  </fills>
  <borders count="34">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border>
    <border>
      <right style="medium">
        <color rgb="FF000000"/>
      </right>
    </border>
    <border>
      <top style="thin">
        <color rgb="FF000000"/>
      </top>
    </border>
    <border>
      <right style="thin">
        <color rgb="FF000000"/>
      </right>
      <top style="thin">
        <color rgb="FF000000"/>
      </top>
    </border>
    <border>
      <left style="medium">
        <color rgb="FF000000"/>
      </left>
      <bottom style="medium">
        <color rgb="FF000000"/>
      </bottom>
    </border>
    <border>
      <bottom style="medium">
        <color rgb="FF000000"/>
      </bottom>
    </border>
    <border>
      <right style="medium">
        <color rgb="FF000000"/>
      </right>
      <bottom style="medium">
        <color rgb="FF000000"/>
      </bottom>
    </border>
    <border>
      <bottom style="thin">
        <color rgb="FF000000"/>
      </bottom>
    </border>
    <border>
      <right style="thin">
        <color rgb="FF000000"/>
      </right>
      <bottom style="thin">
        <color rgb="FF000000"/>
      </bottom>
    </border>
    <border>
      <right/>
      <top/>
      <bottom/>
    </border>
    <border>
      <left style="thin">
        <color rgb="FF000000"/>
      </left>
      <right style="thin">
        <color rgb="FF000000"/>
      </right>
      <top style="thin">
        <color rgb="FF000000"/>
      </top>
    </border>
    <border>
      <left style="thin">
        <color rgb="FF000000"/>
      </left>
      <right style="thin">
        <color rgb="FF000000"/>
      </right>
    </border>
    <border>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bottom style="thin">
        <color rgb="FF000000"/>
      </bottom>
    </border>
    <border>
      <left style="thin">
        <color rgb="FF000000"/>
      </left>
      <right style="thin">
        <color rgb="FF000000"/>
      </right>
      <bottom style="thin">
        <color rgb="FF000000"/>
      </bottom>
    </border>
    <border>
      <left/>
      <top/>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9900"/>
      </left>
      <top style="thin">
        <color rgb="FFFF9900"/>
      </top>
      <bottom style="thin">
        <color rgb="FFFF9900"/>
      </bottom>
    </border>
    <border>
      <top style="thin">
        <color rgb="FFFF9900"/>
      </top>
      <bottom style="thin">
        <color rgb="FFFF9900"/>
      </bottom>
    </border>
    <border>
      <right style="thin">
        <color rgb="FFFF9900"/>
      </right>
      <top style="thin">
        <color rgb="FFFF9900"/>
      </top>
      <bottom style="thin">
        <color rgb="FFFF9900"/>
      </bottom>
    </border>
  </borders>
  <cellStyleXfs count="1">
    <xf borderId="0" fillId="0" fontId="0" numFmtId="0" applyAlignment="1" applyFont="1"/>
  </cellStyleXfs>
  <cellXfs count="186">
    <xf borderId="0" fillId="0" fontId="0" numFmtId="0" xfId="0" applyAlignment="1" applyFont="1">
      <alignment readingOrder="0" shrinkToFit="0" vertical="bottom" wrapText="0"/>
    </xf>
    <xf borderId="1" fillId="2" fontId="1" numFmtId="0" xfId="0" applyAlignment="1" applyBorder="1" applyFill="1" applyFont="1">
      <alignment readingOrder="0" vertical="center"/>
    </xf>
    <xf borderId="1" fillId="2" fontId="1" numFmtId="0" xfId="0" applyAlignment="1" applyBorder="1" applyFont="1">
      <alignment vertical="center"/>
    </xf>
    <xf borderId="0" fillId="2" fontId="1" numFmtId="0" xfId="0" applyAlignment="1" applyFont="1">
      <alignment vertical="center"/>
    </xf>
    <xf borderId="0" fillId="0" fontId="1" numFmtId="0" xfId="0" applyAlignment="1" applyFont="1">
      <alignment vertical="center"/>
    </xf>
    <xf borderId="0" fillId="3" fontId="2" numFmtId="0" xfId="0" applyAlignment="1" applyFill="1" applyFont="1">
      <alignment horizontal="center" readingOrder="0" vertical="center"/>
    </xf>
    <xf borderId="2" fillId="0" fontId="3" numFmtId="164" xfId="0" applyAlignment="1" applyBorder="1" applyFont="1" applyNumberFormat="1">
      <alignment horizontal="center" readingOrder="0" vertical="center"/>
    </xf>
    <xf borderId="3" fillId="0" fontId="4" numFmtId="0" xfId="0" applyBorder="1" applyFont="1"/>
    <xf borderId="4" fillId="0" fontId="4" numFmtId="0" xfId="0" applyBorder="1" applyFont="1"/>
    <xf borderId="0" fillId="4" fontId="2" numFmtId="0" xfId="0" applyAlignment="1" applyFill="1" applyFont="1">
      <alignment horizontal="center" vertical="center"/>
    </xf>
    <xf borderId="5" fillId="0" fontId="1" numFmtId="0" xfId="0" applyAlignment="1" applyBorder="1" applyFont="1">
      <alignment horizontal="center" vertical="center"/>
    </xf>
    <xf borderId="6" fillId="0" fontId="4" numFmtId="0" xfId="0" applyBorder="1" applyFont="1"/>
    <xf borderId="7" fillId="0" fontId="4" numFmtId="0" xfId="0" applyBorder="1" applyFont="1"/>
    <xf borderId="0" fillId="5" fontId="2" numFmtId="0" xfId="0" applyAlignment="1" applyFill="1" applyFont="1">
      <alignment horizontal="center" vertical="center"/>
    </xf>
    <xf borderId="8" fillId="6" fontId="5" numFmtId="0" xfId="0" applyAlignment="1" applyBorder="1" applyFill="1" applyFont="1">
      <alignment horizontal="center" readingOrder="0" shrinkToFit="0" vertical="center" wrapText="1"/>
    </xf>
    <xf borderId="9" fillId="5" fontId="6" numFmtId="0" xfId="0" applyAlignment="1" applyBorder="1" applyFont="1">
      <alignment horizontal="left" readingOrder="0" shrinkToFit="0" vertical="center" wrapText="1"/>
    </xf>
    <xf borderId="10" fillId="5" fontId="7" numFmtId="0" xfId="0" applyAlignment="1" applyBorder="1" applyFont="1">
      <alignment horizontal="center" readingOrder="0" shrinkToFit="0" vertical="center" wrapText="1"/>
    </xf>
    <xf borderId="0" fillId="2" fontId="1" numFmtId="0" xfId="0" applyAlignment="1" applyFont="1">
      <alignment readingOrder="0" vertical="center"/>
    </xf>
    <xf borderId="11" fillId="0" fontId="4" numFmtId="0" xfId="0" applyBorder="1" applyFont="1"/>
    <xf borderId="12" fillId="0" fontId="4" numFmtId="0" xfId="0" applyBorder="1" applyFont="1"/>
    <xf borderId="0" fillId="5" fontId="6" numFmtId="0" xfId="0" applyAlignment="1" applyFont="1">
      <alignment horizontal="left" readingOrder="0" shrinkToFit="0" vertical="center" wrapText="1"/>
    </xf>
    <xf borderId="0" fillId="2" fontId="2" numFmtId="0" xfId="0" applyAlignment="1" applyFont="1">
      <alignment readingOrder="0" shrinkToFit="0" vertical="center" wrapText="1"/>
    </xf>
    <xf borderId="0" fillId="7" fontId="2" numFmtId="0" xfId="0" applyAlignment="1" applyFill="1" applyFont="1">
      <alignment horizontal="center" readingOrder="0" shrinkToFit="0" vertical="center" wrapText="1"/>
    </xf>
    <xf borderId="13" fillId="0" fontId="3" numFmtId="10" xfId="0" applyAlignment="1" applyBorder="1" applyFont="1" applyNumberFormat="1">
      <alignment horizontal="center" readingOrder="0" vertical="center"/>
    </xf>
    <xf borderId="13" fillId="0" fontId="4" numFmtId="0" xfId="0" applyBorder="1" applyFont="1"/>
    <xf borderId="14" fillId="0" fontId="4" numFmtId="0" xfId="0" applyBorder="1" applyFont="1"/>
    <xf borderId="15" fillId="0" fontId="4" numFmtId="0" xfId="0" applyBorder="1" applyFont="1"/>
    <xf borderId="16" fillId="0" fontId="4" numFmtId="0" xfId="0" applyBorder="1" applyFont="1"/>
    <xf borderId="17" fillId="0" fontId="4" numFmtId="0" xfId="0" applyBorder="1" applyFont="1"/>
    <xf borderId="0" fillId="5" fontId="2" numFmtId="10" xfId="0" applyAlignment="1" applyFont="1" applyNumberFormat="1">
      <alignment horizontal="center" readingOrder="0" vertical="center"/>
    </xf>
    <xf borderId="0" fillId="0" fontId="8" numFmtId="0" xfId="0" applyAlignment="1" applyFont="1">
      <alignment readingOrder="0" vertical="center"/>
    </xf>
    <xf borderId="18" fillId="0" fontId="4" numFmtId="0" xfId="0" applyBorder="1" applyFont="1"/>
    <xf borderId="19" fillId="0" fontId="4" numFmtId="0" xfId="0" applyBorder="1" applyFont="1"/>
    <xf borderId="5" fillId="8" fontId="1" numFmtId="0" xfId="0" applyAlignment="1" applyBorder="1" applyFill="1" applyFont="1">
      <alignment vertical="center"/>
    </xf>
    <xf borderId="6" fillId="8" fontId="1" numFmtId="0" xfId="0" applyAlignment="1" applyBorder="1" applyFont="1">
      <alignment vertical="center"/>
    </xf>
    <xf borderId="7" fillId="8" fontId="1" numFmtId="0" xfId="0" applyAlignment="1" applyBorder="1" applyFont="1">
      <alignment vertical="center"/>
    </xf>
    <xf borderId="20" fillId="2" fontId="1" numFmtId="0" xfId="0" applyAlignment="1" applyBorder="1" applyFont="1">
      <alignment vertical="center"/>
    </xf>
    <xf borderId="0" fillId="0" fontId="1" numFmtId="0" xfId="0" applyAlignment="1" applyFont="1">
      <alignment readingOrder="0" vertical="center"/>
    </xf>
    <xf borderId="0" fillId="0" fontId="1" numFmtId="0" xfId="0" applyAlignment="1" applyFont="1">
      <alignment horizontal="center" readingOrder="0" vertical="center"/>
    </xf>
    <xf borderId="0" fillId="0" fontId="1" numFmtId="165" xfId="0" applyAlignment="1" applyFont="1" applyNumberFormat="1">
      <alignment horizontal="center" readingOrder="0" vertical="center"/>
    </xf>
    <xf borderId="5" fillId="5" fontId="1" numFmtId="0" xfId="0" applyAlignment="1" applyBorder="1" applyFont="1">
      <alignment horizontal="center" readingOrder="0" vertical="center"/>
    </xf>
    <xf borderId="11" fillId="8" fontId="1" numFmtId="0" xfId="0" applyAlignment="1" applyBorder="1" applyFont="1">
      <alignment vertical="center"/>
    </xf>
    <xf borderId="0" fillId="8" fontId="2" numFmtId="0" xfId="0" applyAlignment="1" applyFont="1">
      <alignment vertical="center"/>
    </xf>
    <xf borderId="0" fillId="8" fontId="1" numFmtId="0" xfId="0" applyAlignment="1" applyFont="1">
      <alignment vertical="center"/>
    </xf>
    <xf borderId="10" fillId="5" fontId="1" numFmtId="166" xfId="0" applyAlignment="1" applyBorder="1" applyFont="1" applyNumberFormat="1">
      <alignment readingOrder="0" vertical="center"/>
    </xf>
    <xf borderId="12" fillId="8" fontId="1" numFmtId="0" xfId="0" applyAlignment="1" applyBorder="1" applyFont="1">
      <alignment vertical="center"/>
    </xf>
    <xf borderId="21" fillId="9" fontId="1" numFmtId="0" xfId="0" applyAlignment="1" applyBorder="1" applyFill="1" applyFont="1">
      <alignment vertical="center"/>
    </xf>
    <xf borderId="0" fillId="8" fontId="1" numFmtId="165" xfId="0" applyAlignment="1" applyFont="1" applyNumberFormat="1">
      <alignment vertical="center"/>
    </xf>
    <xf borderId="0" fillId="2" fontId="1" numFmtId="0" xfId="0" applyAlignment="1" applyFont="1">
      <alignment horizontal="right" readingOrder="0" vertical="center"/>
    </xf>
    <xf borderId="22" fillId="0" fontId="4" numFmtId="0" xfId="0" applyBorder="1" applyFont="1"/>
    <xf borderId="8" fillId="6" fontId="3" numFmtId="0" xfId="0" applyAlignment="1" applyBorder="1" applyFont="1">
      <alignment horizontal="right" readingOrder="0" vertical="center"/>
    </xf>
    <xf borderId="23" fillId="0" fontId="4" numFmtId="0" xfId="0" applyBorder="1" applyFont="1"/>
    <xf borderId="9" fillId="6" fontId="3" numFmtId="167" xfId="0" applyAlignment="1" applyBorder="1" applyFont="1" applyNumberFormat="1">
      <alignment horizontal="center" readingOrder="0" vertical="center"/>
    </xf>
    <xf borderId="11" fillId="6" fontId="3" numFmtId="166" xfId="0" applyAlignment="1" applyBorder="1" applyFont="1" applyNumberFormat="1">
      <alignment horizontal="center" vertical="center"/>
    </xf>
    <xf borderId="10" fillId="10" fontId="1" numFmtId="166" xfId="0" applyAlignment="1" applyBorder="1" applyFill="1" applyFont="1" applyNumberFormat="1">
      <alignment vertical="center"/>
    </xf>
    <xf borderId="0" fillId="2" fontId="1" numFmtId="167" xfId="0" applyAlignment="1" applyFont="1" applyNumberFormat="1">
      <alignment horizontal="center" vertical="center"/>
    </xf>
    <xf borderId="5" fillId="10" fontId="9" numFmtId="0" xfId="0" applyAlignment="1" applyBorder="1" applyFont="1">
      <alignment readingOrder="0" shrinkToFit="0" vertical="center" wrapText="1"/>
    </xf>
    <xf borderId="15" fillId="5" fontId="1" numFmtId="0" xfId="0" applyAlignment="1" applyBorder="1" applyFont="1">
      <alignment vertical="center"/>
    </xf>
    <xf borderId="16" fillId="5" fontId="1" numFmtId="0" xfId="0" applyAlignment="1" applyBorder="1" applyFont="1">
      <alignment vertical="center"/>
    </xf>
    <xf borderId="17" fillId="5" fontId="1" numFmtId="0" xfId="0" applyAlignment="1" applyBorder="1" applyFont="1">
      <alignment vertical="center"/>
    </xf>
    <xf borderId="10" fillId="5" fontId="1" numFmtId="9" xfId="0" applyAlignment="1" applyBorder="1" applyFont="1" applyNumberFormat="1">
      <alignment horizontal="center" readingOrder="0" vertical="center"/>
    </xf>
    <xf borderId="11" fillId="10" fontId="10" numFmtId="0" xfId="0" applyAlignment="1" applyBorder="1" applyFont="1">
      <alignment vertical="center"/>
    </xf>
    <xf borderId="10" fillId="7" fontId="11" numFmtId="167" xfId="0" applyAlignment="1" applyBorder="1" applyFont="1" applyNumberFormat="1">
      <alignment vertical="center"/>
    </xf>
    <xf borderId="0" fillId="0" fontId="1" numFmtId="0" xfId="0" applyAlignment="1" applyFont="1">
      <alignment horizontal="center" vertical="center"/>
    </xf>
    <xf borderId="5" fillId="8" fontId="1" numFmtId="0" xfId="0" applyAlignment="1" applyBorder="1" applyFont="1">
      <alignment horizontal="center" vertical="center"/>
    </xf>
    <xf borderId="6" fillId="8" fontId="1" numFmtId="0" xfId="0" applyAlignment="1" applyBorder="1" applyFont="1">
      <alignment horizontal="center" vertical="center"/>
    </xf>
    <xf borderId="7" fillId="8" fontId="1" numFmtId="0" xfId="0" applyAlignment="1" applyBorder="1" applyFont="1">
      <alignment horizontal="center" readingOrder="0" vertical="center"/>
    </xf>
    <xf borderId="0" fillId="8" fontId="12" numFmtId="0" xfId="0" applyAlignment="1" applyFont="1">
      <alignment readingOrder="0" vertical="center"/>
    </xf>
    <xf borderId="0" fillId="8" fontId="12" numFmtId="0" xfId="0" applyAlignment="1" applyFont="1">
      <alignment vertical="center"/>
    </xf>
    <xf borderId="0" fillId="8" fontId="12" numFmtId="166" xfId="0" applyAlignment="1" applyFont="1" applyNumberFormat="1">
      <alignment vertical="center"/>
    </xf>
    <xf borderId="0" fillId="4" fontId="2" numFmtId="0" xfId="0" applyAlignment="1" applyFont="1">
      <alignment horizontal="center" readingOrder="0" vertical="center"/>
    </xf>
    <xf borderId="12" fillId="10" fontId="10" numFmtId="0" xfId="0" applyAlignment="1" applyBorder="1" applyFont="1">
      <alignment vertical="center"/>
    </xf>
    <xf borderId="0" fillId="0" fontId="1" numFmtId="0" xfId="0" applyAlignment="1" applyFont="1">
      <alignment horizontal="right" vertical="center"/>
    </xf>
    <xf borderId="11" fillId="8" fontId="2" numFmtId="0" xfId="0" applyAlignment="1" applyBorder="1" applyFont="1">
      <alignment horizontal="right" vertical="center"/>
    </xf>
    <xf borderId="10" fillId="5" fontId="1" numFmtId="0" xfId="0" applyAlignment="1" applyBorder="1" applyFont="1">
      <alignment horizontal="center" readingOrder="0" vertical="center"/>
    </xf>
    <xf borderId="0" fillId="8" fontId="2" numFmtId="0" xfId="0" applyAlignment="1" applyFont="1">
      <alignment readingOrder="0" vertical="center"/>
    </xf>
    <xf borderId="11" fillId="8" fontId="2" numFmtId="0" xfId="0" applyAlignment="1" applyBorder="1" applyFont="1">
      <alignment vertical="center"/>
    </xf>
    <xf borderId="12" fillId="8" fontId="1" numFmtId="0" xfId="0" applyAlignment="1" applyBorder="1" applyFont="1">
      <alignment readingOrder="0" vertical="center"/>
    </xf>
    <xf borderId="11" fillId="10" fontId="1" numFmtId="0" xfId="0" applyAlignment="1" applyBorder="1" applyFont="1">
      <alignment horizontal="center" readingOrder="0" vertical="center"/>
    </xf>
    <xf borderId="11" fillId="8" fontId="13" numFmtId="0" xfId="0" applyAlignment="1" applyBorder="1" applyFont="1">
      <alignment horizontal="right" readingOrder="0" vertical="center"/>
    </xf>
    <xf borderId="0" fillId="8" fontId="1" numFmtId="0" xfId="0" applyAlignment="1" applyFont="1">
      <alignment horizontal="center" vertical="center"/>
    </xf>
    <xf borderId="24" fillId="11" fontId="1" numFmtId="1" xfId="0" applyAlignment="1" applyBorder="1" applyFill="1" applyFont="1" applyNumberFormat="1">
      <alignment horizontal="center" vertical="center"/>
    </xf>
    <xf borderId="11" fillId="10" fontId="1" numFmtId="0" xfId="0" applyAlignment="1" applyBorder="1" applyFont="1">
      <alignment vertical="center"/>
    </xf>
    <xf borderId="12" fillId="10" fontId="1" numFmtId="0" xfId="0" applyAlignment="1" applyBorder="1" applyFont="1">
      <alignment vertical="center"/>
    </xf>
    <xf borderId="0" fillId="0" fontId="14" numFmtId="0" xfId="0" applyAlignment="1" applyFont="1">
      <alignment horizontal="center" vertical="center"/>
    </xf>
    <xf borderId="0" fillId="0" fontId="10" numFmtId="0" xfId="0" applyAlignment="1" applyFont="1">
      <alignment vertical="center"/>
    </xf>
    <xf borderId="11" fillId="8" fontId="11" numFmtId="0" xfId="0" applyAlignment="1" applyBorder="1" applyFont="1">
      <alignment horizontal="right" readingOrder="0" vertical="center"/>
    </xf>
    <xf borderId="0" fillId="8" fontId="11" numFmtId="0" xfId="0" applyAlignment="1" applyFont="1">
      <alignment horizontal="right" readingOrder="0" vertical="center"/>
    </xf>
    <xf borderId="12" fillId="8" fontId="11" numFmtId="0" xfId="0" applyAlignment="1" applyBorder="1" applyFont="1">
      <alignment horizontal="right" readingOrder="0" vertical="center"/>
    </xf>
    <xf borderId="0" fillId="12" fontId="2" numFmtId="0" xfId="0" applyAlignment="1" applyFill="1" applyFont="1">
      <alignment horizontal="center" readingOrder="0" vertical="center"/>
    </xf>
    <xf borderId="10" fillId="5" fontId="1" numFmtId="165" xfId="0" applyAlignment="1" applyBorder="1" applyFont="1" applyNumberFormat="1">
      <alignment readingOrder="0" vertical="center"/>
    </xf>
    <xf borderId="0" fillId="8" fontId="10" numFmtId="0" xfId="0" applyAlignment="1" applyFont="1">
      <alignment vertical="center"/>
    </xf>
    <xf borderId="24" fillId="10" fontId="10" numFmtId="168" xfId="0" applyAlignment="1" applyBorder="1" applyFont="1" applyNumberFormat="1">
      <alignment horizontal="center" vertical="center"/>
    </xf>
    <xf borderId="12" fillId="10" fontId="1" numFmtId="0" xfId="0" applyAlignment="1" applyBorder="1" applyFont="1">
      <alignment horizontal="center" readingOrder="0" vertical="center"/>
    </xf>
    <xf borderId="11" fillId="8" fontId="10" numFmtId="0" xfId="0" applyAlignment="1" applyBorder="1" applyFont="1">
      <alignment vertical="center"/>
    </xf>
    <xf borderId="12" fillId="8" fontId="10" numFmtId="0" xfId="0" applyAlignment="1" applyBorder="1" applyFont="1">
      <alignment vertical="center"/>
    </xf>
    <xf borderId="0" fillId="8" fontId="2" numFmtId="0" xfId="0" applyAlignment="1" applyFont="1">
      <alignment horizontal="center" readingOrder="0" vertical="center"/>
    </xf>
    <xf borderId="0" fillId="2" fontId="1" numFmtId="167" xfId="0" applyAlignment="1" applyFont="1" applyNumberFormat="1">
      <alignment vertical="center"/>
    </xf>
    <xf borderId="10" fillId="5" fontId="1" numFmtId="10" xfId="0" applyAlignment="1" applyBorder="1" applyFont="1" applyNumberFormat="1">
      <alignment horizontal="center" readingOrder="0" vertical="center"/>
    </xf>
    <xf borderId="10" fillId="10" fontId="1" numFmtId="9" xfId="0" applyAlignment="1" applyBorder="1" applyFont="1" applyNumberFormat="1">
      <alignment horizontal="center" vertical="center"/>
    </xf>
    <xf borderId="5" fillId="8" fontId="2" numFmtId="0" xfId="0" applyAlignment="1" applyBorder="1" applyFont="1">
      <alignment horizontal="center" readingOrder="0" vertical="center"/>
    </xf>
    <xf borderId="11" fillId="8" fontId="2" numFmtId="0" xfId="0" applyAlignment="1" applyBorder="1" applyFont="1">
      <alignment horizontal="center" readingOrder="0" vertical="center"/>
    </xf>
    <xf borderId="25" fillId="10" fontId="1" numFmtId="0" xfId="0" applyAlignment="1" applyBorder="1" applyFont="1">
      <alignment horizontal="center" vertical="center"/>
    </xf>
    <xf borderId="15" fillId="8" fontId="2" numFmtId="0" xfId="0" applyAlignment="1" applyBorder="1" applyFont="1">
      <alignment horizontal="center" vertical="center"/>
    </xf>
    <xf borderId="0" fillId="8" fontId="14" numFmtId="0" xfId="0" applyAlignment="1" applyFont="1">
      <alignment horizontal="center" vertical="center"/>
    </xf>
    <xf borderId="10" fillId="6" fontId="3" numFmtId="169" xfId="0" applyAlignment="1" applyBorder="1" applyFont="1" applyNumberFormat="1">
      <alignment horizontal="center" vertical="center"/>
    </xf>
    <xf borderId="12" fillId="10" fontId="1" numFmtId="0" xfId="0" applyAlignment="1" applyBorder="1" applyFont="1">
      <alignment horizontal="center" vertical="center"/>
    </xf>
    <xf borderId="11" fillId="8" fontId="14" numFmtId="0" xfId="0" applyAlignment="1" applyBorder="1" applyFont="1">
      <alignment horizontal="center" vertical="center"/>
    </xf>
    <xf borderId="10" fillId="11" fontId="1" numFmtId="167" xfId="0" applyAlignment="1" applyBorder="1" applyFont="1" applyNumberFormat="1">
      <alignment horizontal="center" vertical="center"/>
    </xf>
    <xf borderId="0" fillId="8" fontId="13" numFmtId="0" xfId="0" applyAlignment="1" applyFont="1">
      <alignment readingOrder="0" vertical="center"/>
    </xf>
    <xf borderId="24" fillId="10" fontId="1" numFmtId="2" xfId="0" applyAlignment="1" applyBorder="1" applyFont="1" applyNumberFormat="1">
      <alignment horizontal="center" readingOrder="0" vertical="center"/>
    </xf>
    <xf borderId="0" fillId="2" fontId="1" numFmtId="0" xfId="0" applyAlignment="1" applyFont="1">
      <alignment horizontal="center" readingOrder="0" vertical="center"/>
    </xf>
    <xf borderId="11" fillId="10" fontId="1" numFmtId="0" xfId="0" applyAlignment="1" applyBorder="1" applyFont="1">
      <alignment horizontal="right" readingOrder="0" vertical="center"/>
    </xf>
    <xf borderId="12" fillId="10" fontId="1" numFmtId="0" xfId="0" applyAlignment="1" applyBorder="1" applyFont="1">
      <alignment horizontal="right" readingOrder="0" vertical="center"/>
    </xf>
    <xf borderId="0" fillId="0" fontId="15" numFmtId="0" xfId="0" applyAlignment="1" applyFont="1">
      <alignment horizontal="center" vertical="center"/>
    </xf>
    <xf borderId="0" fillId="8" fontId="16" numFmtId="0" xfId="0" applyAlignment="1" applyFont="1">
      <alignment horizontal="center" readingOrder="0" vertical="center"/>
    </xf>
    <xf borderId="0" fillId="2" fontId="2" numFmtId="0" xfId="0" applyAlignment="1" applyFont="1">
      <alignment readingOrder="0" shrinkToFit="0" vertical="top" wrapText="1"/>
    </xf>
    <xf borderId="15" fillId="10" fontId="1" numFmtId="0" xfId="0" applyAlignment="1" applyBorder="1" applyFont="1">
      <alignment vertical="center"/>
    </xf>
    <xf borderId="17" fillId="10" fontId="1" numFmtId="0" xfId="0" applyAlignment="1" applyBorder="1" applyFont="1">
      <alignment vertical="center"/>
    </xf>
    <xf borderId="15" fillId="8" fontId="10" numFmtId="0" xfId="0" applyAlignment="1" applyBorder="1" applyFont="1">
      <alignment vertical="center"/>
    </xf>
    <xf borderId="16" fillId="8" fontId="10" numFmtId="0" xfId="0" applyAlignment="1" applyBorder="1" applyFont="1">
      <alignment vertical="center"/>
    </xf>
    <xf borderId="16" fillId="8" fontId="1" numFmtId="0" xfId="0" applyAlignment="1" applyBorder="1" applyFont="1">
      <alignment vertical="center"/>
    </xf>
    <xf borderId="17" fillId="8" fontId="10" numFmtId="0" xfId="0" applyAlignment="1" applyBorder="1" applyFont="1">
      <alignment vertical="center"/>
    </xf>
    <xf borderId="15" fillId="8" fontId="1" numFmtId="0" xfId="0" applyAlignment="1" applyBorder="1" applyFont="1">
      <alignment vertical="center"/>
    </xf>
    <xf borderId="16" fillId="8" fontId="16" numFmtId="0" xfId="0" applyAlignment="1" applyBorder="1" applyFont="1">
      <alignment horizontal="right" readingOrder="0" vertical="center"/>
    </xf>
    <xf borderId="16" fillId="8" fontId="16" numFmtId="0" xfId="0" applyAlignment="1" applyBorder="1" applyFont="1">
      <alignment horizontal="center" vertical="center"/>
    </xf>
    <xf borderId="17" fillId="8" fontId="1" numFmtId="0" xfId="0" applyAlignment="1" applyBorder="1" applyFont="1">
      <alignment vertical="center"/>
    </xf>
    <xf borderId="10" fillId="10" fontId="1" numFmtId="1" xfId="0" applyAlignment="1" applyBorder="1" applyFont="1" applyNumberFormat="1">
      <alignment horizontal="center" readingOrder="0" vertical="center"/>
    </xf>
    <xf borderId="10" fillId="10" fontId="1" numFmtId="165" xfId="0" applyAlignment="1" applyBorder="1" applyFont="1" applyNumberFormat="1">
      <alignment vertical="center"/>
    </xf>
    <xf borderId="0" fillId="0" fontId="6" numFmtId="0" xfId="0" applyAlignment="1" applyFont="1">
      <alignment readingOrder="0" vertical="center"/>
    </xf>
    <xf borderId="0" fillId="0" fontId="6" numFmtId="0" xfId="0" applyAlignment="1" applyFont="1">
      <alignment horizontal="center" readingOrder="0" vertical="center"/>
    </xf>
    <xf borderId="0" fillId="0" fontId="4" numFmtId="0" xfId="0" applyAlignment="1" applyFont="1">
      <alignment vertical="center"/>
    </xf>
    <xf borderId="0" fillId="0" fontId="1" numFmtId="165" xfId="0" applyAlignment="1" applyFont="1" applyNumberFormat="1">
      <alignment vertical="center"/>
    </xf>
    <xf borderId="26" fillId="0" fontId="4" numFmtId="0" xfId="0" applyBorder="1" applyFont="1"/>
    <xf borderId="10" fillId="10" fontId="1" numFmtId="1" xfId="0" applyAlignment="1" applyBorder="1" applyFont="1" applyNumberFormat="1">
      <alignment horizontal="center" vertical="center"/>
    </xf>
    <xf borderId="0" fillId="0" fontId="6" numFmtId="0" xfId="0" applyAlignment="1" applyFont="1">
      <alignment vertical="center"/>
    </xf>
    <xf borderId="0" fillId="0" fontId="1" numFmtId="1" xfId="0" applyAlignment="1" applyFont="1" applyNumberFormat="1">
      <alignment horizontal="center" vertical="center"/>
    </xf>
    <xf borderId="10" fillId="10" fontId="17" numFmtId="165" xfId="0" applyBorder="1" applyFont="1" applyNumberFormat="1"/>
    <xf borderId="27" fillId="2" fontId="1" numFmtId="0" xfId="0" applyAlignment="1" applyBorder="1" applyFont="1">
      <alignment vertical="center"/>
    </xf>
    <xf borderId="0" fillId="0" fontId="18" numFmtId="0" xfId="0" applyAlignment="1" applyFont="1">
      <alignment horizontal="center" vertical="center"/>
    </xf>
    <xf borderId="10" fillId="10" fontId="17" numFmtId="165" xfId="0" applyAlignment="1" applyBorder="1" applyFont="1" applyNumberFormat="1">
      <alignment vertical="center"/>
    </xf>
    <xf borderId="0" fillId="0" fontId="19" numFmtId="0" xfId="0" applyAlignment="1" applyFont="1">
      <alignment horizontal="right" readingOrder="0" vertical="center"/>
    </xf>
    <xf borderId="24" fillId="5" fontId="9" numFmtId="165" xfId="0" applyAlignment="1" applyBorder="1" applyFont="1" applyNumberFormat="1">
      <alignment readingOrder="0" vertical="center"/>
    </xf>
    <xf borderId="8" fillId="3" fontId="2" numFmtId="0" xfId="0" applyAlignment="1" applyBorder="1" applyFont="1">
      <alignment horizontal="center" readingOrder="0" shrinkToFit="0" vertical="center" wrapText="1"/>
    </xf>
    <xf borderId="9" fillId="0" fontId="4" numFmtId="0" xfId="0" applyBorder="1" applyFont="1"/>
    <xf borderId="8" fillId="6" fontId="3" numFmtId="0" xfId="0" applyAlignment="1" applyBorder="1" applyFont="1">
      <alignment horizontal="center" readingOrder="0" vertical="center"/>
    </xf>
    <xf borderId="0" fillId="0" fontId="5" numFmtId="0" xfId="0" applyAlignment="1" applyFont="1">
      <alignment horizontal="right" readingOrder="0" vertical="center"/>
    </xf>
    <xf borderId="0" fillId="0" fontId="3" numFmtId="0" xfId="0" applyAlignment="1" applyFont="1">
      <alignment vertical="center"/>
    </xf>
    <xf borderId="0" fillId="0" fontId="3" numFmtId="165" xfId="0" applyAlignment="1" applyFont="1" applyNumberFormat="1">
      <alignment horizontal="center" vertical="center"/>
    </xf>
    <xf borderId="0" fillId="0" fontId="3" numFmtId="170" xfId="0" applyAlignment="1" applyFont="1" applyNumberFormat="1">
      <alignment vertical="top"/>
    </xf>
    <xf borderId="0" fillId="2" fontId="1" numFmtId="171" xfId="0" applyAlignment="1" applyFont="1" applyNumberFormat="1">
      <alignment vertical="center"/>
    </xf>
    <xf borderId="0" fillId="2" fontId="20" numFmtId="165" xfId="0" applyAlignment="1" applyFont="1" applyNumberFormat="1">
      <alignment vertical="center"/>
    </xf>
    <xf borderId="0" fillId="0" fontId="20" numFmtId="165" xfId="0" applyAlignment="1" applyFont="1" applyNumberFormat="1">
      <alignment vertical="center"/>
    </xf>
    <xf borderId="0" fillId="2" fontId="21" numFmtId="165" xfId="0" applyAlignment="1" applyFont="1" applyNumberFormat="1">
      <alignment horizontal="center" readingOrder="0" vertical="center"/>
    </xf>
    <xf borderId="0" fillId="2" fontId="20" numFmtId="165" xfId="0" applyAlignment="1" applyFont="1" applyNumberFormat="1">
      <alignment readingOrder="0" vertical="center"/>
    </xf>
    <xf borderId="0" fillId="2" fontId="20" numFmtId="165" xfId="0" applyAlignment="1" applyFont="1" applyNumberFormat="1">
      <alignment horizontal="center" readingOrder="0" vertical="center"/>
    </xf>
    <xf borderId="0" fillId="2" fontId="21" numFmtId="167" xfId="0" applyAlignment="1" applyFont="1" applyNumberFormat="1">
      <alignment readingOrder="0" vertical="center"/>
    </xf>
    <xf borderId="0" fillId="2" fontId="21" numFmtId="165" xfId="0" applyAlignment="1" applyFont="1" applyNumberFormat="1">
      <alignment readingOrder="0" vertical="center"/>
    </xf>
    <xf borderId="0" fillId="2" fontId="21" numFmtId="10" xfId="0" applyAlignment="1" applyFont="1" applyNumberFormat="1">
      <alignment vertical="center"/>
    </xf>
    <xf borderId="0" fillId="0" fontId="22" numFmtId="171" xfId="0" applyAlignment="1" applyFont="1" applyNumberFormat="1">
      <alignment readingOrder="0" vertical="center"/>
    </xf>
    <xf borderId="0" fillId="0" fontId="22" numFmtId="165" xfId="0" applyAlignment="1" applyFont="1" applyNumberFormat="1">
      <alignment readingOrder="0" vertical="center"/>
    </xf>
    <xf borderId="0" fillId="2" fontId="21" numFmtId="165" xfId="0" applyAlignment="1" applyFont="1" applyNumberFormat="1">
      <alignment vertical="center"/>
    </xf>
    <xf borderId="0" fillId="2" fontId="20" numFmtId="3" xfId="0" applyAlignment="1" applyFont="1" applyNumberFormat="1">
      <alignment horizontal="center" vertical="center"/>
    </xf>
    <xf borderId="0" fillId="2" fontId="21" numFmtId="3" xfId="0" applyAlignment="1" applyFont="1" applyNumberFormat="1">
      <alignment vertical="center"/>
    </xf>
    <xf borderId="0" fillId="2" fontId="21" numFmtId="164" xfId="0" applyAlignment="1" applyFont="1" applyNumberFormat="1">
      <alignment horizontal="center" vertical="center"/>
    </xf>
    <xf borderId="0" fillId="2" fontId="21" numFmtId="164" xfId="0" applyAlignment="1" applyFont="1" applyNumberFormat="1">
      <alignment vertical="center"/>
    </xf>
    <xf borderId="0" fillId="2" fontId="20" numFmtId="165" xfId="0" applyAlignment="1" applyFont="1" applyNumberFormat="1">
      <alignment horizontal="center" vertical="center"/>
    </xf>
    <xf borderId="28" fillId="2" fontId="20" numFmtId="165" xfId="0" applyAlignment="1" applyBorder="1" applyFont="1" applyNumberFormat="1">
      <alignment horizontal="right" readingOrder="0" vertical="center"/>
    </xf>
    <xf borderId="29" fillId="0" fontId="4" numFmtId="0" xfId="0" applyBorder="1" applyFont="1"/>
    <xf borderId="29" fillId="2" fontId="20" numFmtId="165" xfId="0" applyAlignment="1" applyBorder="1" applyFont="1" applyNumberFormat="1">
      <alignment vertical="center"/>
    </xf>
    <xf borderId="30" fillId="2" fontId="20" numFmtId="165" xfId="0" applyAlignment="1" applyBorder="1" applyFont="1" applyNumberFormat="1">
      <alignment vertical="center"/>
    </xf>
    <xf borderId="31" fillId="10" fontId="20" numFmtId="165" xfId="0" applyAlignment="1" applyBorder="1" applyFont="1" applyNumberFormat="1">
      <alignment vertical="center"/>
    </xf>
    <xf borderId="32" fillId="0" fontId="4" numFmtId="0" xfId="0" applyBorder="1" applyFont="1"/>
    <xf borderId="33" fillId="0" fontId="4" numFmtId="0" xfId="0" applyBorder="1" applyFont="1"/>
    <xf borderId="0" fillId="2" fontId="23" numFmtId="165" xfId="0" applyAlignment="1" applyFont="1" applyNumberFormat="1">
      <alignment horizontal="center" readingOrder="0" vertical="center"/>
    </xf>
    <xf borderId="0" fillId="2" fontId="23" numFmtId="167" xfId="0" applyAlignment="1" applyFont="1" applyNumberFormat="1">
      <alignment readingOrder="0" vertical="center"/>
    </xf>
    <xf borderId="0" fillId="2" fontId="23" numFmtId="165" xfId="0" applyAlignment="1" applyFont="1" applyNumberFormat="1">
      <alignment readingOrder="0" vertical="center"/>
    </xf>
    <xf borderId="0" fillId="2" fontId="23" numFmtId="10" xfId="0" applyAlignment="1" applyFont="1" applyNumberFormat="1">
      <alignment vertical="center"/>
    </xf>
    <xf borderId="0" fillId="2" fontId="23" numFmtId="165" xfId="0" applyAlignment="1" applyFont="1" applyNumberFormat="1">
      <alignment vertical="center"/>
    </xf>
    <xf borderId="0" fillId="2" fontId="23" numFmtId="3" xfId="0" applyAlignment="1" applyFont="1" applyNumberFormat="1">
      <alignment horizontal="center" readingOrder="0" vertical="center"/>
    </xf>
    <xf borderId="0" fillId="2" fontId="23" numFmtId="3" xfId="0" applyAlignment="1" applyFont="1" applyNumberFormat="1">
      <alignment horizontal="center" vertical="center"/>
    </xf>
    <xf borderId="0" fillId="2" fontId="23" numFmtId="3" xfId="0" applyAlignment="1" applyFont="1" applyNumberFormat="1">
      <alignment vertical="center"/>
    </xf>
    <xf borderId="0" fillId="2" fontId="23" numFmtId="164" xfId="0" applyAlignment="1" applyFont="1" applyNumberFormat="1">
      <alignment horizontal="center" readingOrder="0" vertical="center"/>
    </xf>
    <xf borderId="0" fillId="2" fontId="23" numFmtId="164" xfId="0" applyAlignment="1" applyFont="1" applyNumberFormat="1">
      <alignment vertical="center"/>
    </xf>
    <xf borderId="0" fillId="2" fontId="24" numFmtId="165" xfId="0" applyAlignment="1" applyFont="1" applyNumberFormat="1">
      <alignment horizontal="center" vertical="center"/>
    </xf>
    <xf borderId="0" fillId="2" fontId="23" numFmtId="165" xfId="0" applyAlignment="1" applyFont="1" applyNumberFormat="1">
      <alignment horizontal="center" vertical="center"/>
    </xf>
  </cellXfs>
  <cellStyles count="1">
    <cellStyle xfId="0" name="Normal" builtinId="0"/>
  </cellStyles>
  <dxfs count="6">
    <dxf>
      <font>
        <color rgb="FFFFFFFF"/>
      </font>
      <fill>
        <patternFill patternType="solid">
          <fgColor rgb="FFFF0000"/>
          <bgColor rgb="FFFF0000"/>
        </patternFill>
      </fill>
      <border/>
    </dxf>
    <dxf>
      <font>
        <color rgb="FFFFFFFF"/>
      </font>
      <fill>
        <patternFill patternType="solid">
          <fgColor rgb="FF157D15"/>
          <bgColor rgb="FF157D15"/>
        </patternFill>
      </fill>
      <border/>
    </dxf>
    <dxf>
      <font>
        <color rgb="FFFFFFFF"/>
      </font>
      <fill>
        <patternFill patternType="solid">
          <fgColor rgb="FFFFFFFF"/>
          <bgColor rgb="FFFFFFFF"/>
        </patternFill>
      </fill>
      <border/>
    </dxf>
    <dxf>
      <font>
        <color rgb="FF434343"/>
      </font>
      <fill>
        <patternFill patternType="solid">
          <fgColor rgb="FF434343"/>
          <bgColor rgb="FF434343"/>
        </patternFill>
      </fill>
      <border/>
    </dxf>
    <dxf>
      <font/>
      <fill>
        <patternFill patternType="solid">
          <fgColor rgb="FF00FF00"/>
          <bgColor rgb="FF00FF00"/>
        </patternFill>
      </fill>
      <border/>
    </dxf>
    <dxf>
      <font>
        <b/>
        <color rgb="FF000000"/>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171450</xdr:colOff>
      <xdr:row>10</xdr:row>
      <xdr:rowOff>161925</xdr:rowOff>
    </xdr:from>
    <xdr:ext cx="3781425" cy="36861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71"/>
    <col customWidth="1" min="2" max="2" width="1.29"/>
    <col customWidth="1" min="3" max="3" width="13.0"/>
    <col customWidth="1" min="4" max="4" width="17.57"/>
    <col customWidth="1" min="5" max="5" width="3.14"/>
    <col customWidth="1" min="6" max="6" width="2.14"/>
    <col customWidth="1" min="7" max="7" width="3.14"/>
    <col customWidth="1" min="8" max="8" width="11.29"/>
    <col customWidth="1" min="9" max="9" width="10.86"/>
    <col customWidth="1" min="10" max="10" width="9.14"/>
    <col customWidth="1" min="11" max="11" width="14.29"/>
    <col customWidth="1" min="12" max="12" width="10.86"/>
    <col customWidth="1" min="13" max="13" width="1.57"/>
    <col customWidth="1" min="14" max="14" width="11.71"/>
    <col customWidth="1" min="15" max="15" width="6.14"/>
    <col customWidth="1" min="16" max="16" width="2.29"/>
    <col customWidth="1" min="17" max="17" width="9.71"/>
    <col customWidth="1" min="18" max="18" width="1.86"/>
    <col customWidth="1" min="19" max="19" width="1.29"/>
    <col customWidth="1" min="20" max="20" width="19.86"/>
    <col customWidth="1" min="21" max="21" width="1.71"/>
    <col customWidth="1" min="22" max="22" width="13.14"/>
    <col customWidth="1" min="23" max="23" width="1.43"/>
    <col customWidth="1" min="24" max="24" width="1.86"/>
    <col customWidth="1" min="25" max="25" width="3.57"/>
    <col customWidth="1" min="26" max="26" width="6.86"/>
    <col customWidth="1" min="27" max="27" width="10.57"/>
    <col customWidth="1" min="28" max="28" width="5.14"/>
    <col customWidth="1" min="29" max="29" width="8.57"/>
    <col customWidth="1" min="30" max="30" width="7.57"/>
    <col customWidth="1" min="31" max="31" width="33.0"/>
    <col customWidth="1" min="32" max="32" width="40.86"/>
    <col customWidth="1" min="33" max="33" width="4.0"/>
    <col customWidth="1" min="34" max="34" width="3.29"/>
    <col customWidth="1" min="35" max="35" width="19.86"/>
    <col customWidth="1" min="36" max="36" width="11.43"/>
  </cols>
  <sheetData>
    <row r="1" ht="7.5" customHeight="1">
      <c r="A1" s="1" t="s">
        <v>0</v>
      </c>
      <c r="B1" s="2"/>
      <c r="C1" s="2"/>
      <c r="D1" s="2"/>
      <c r="E1" s="2"/>
      <c r="F1" s="2"/>
      <c r="G1" s="2"/>
      <c r="H1" s="2"/>
      <c r="I1" s="2"/>
      <c r="J1" s="2"/>
      <c r="K1" s="2"/>
      <c r="L1" s="2"/>
      <c r="M1" s="2"/>
      <c r="N1" s="2"/>
      <c r="O1" s="2"/>
      <c r="P1" s="2"/>
      <c r="Q1" s="2"/>
      <c r="R1" s="2"/>
      <c r="S1" s="2"/>
      <c r="T1" s="2"/>
      <c r="U1" s="2"/>
      <c r="V1" s="2"/>
      <c r="W1" s="2"/>
      <c r="X1" s="2"/>
      <c r="Y1" s="2"/>
      <c r="Z1" s="3"/>
      <c r="AA1" s="3"/>
      <c r="AB1" s="3"/>
      <c r="AC1" s="3"/>
      <c r="AD1" s="3"/>
      <c r="AE1" s="3"/>
      <c r="AF1" s="3"/>
      <c r="AG1" s="3"/>
      <c r="AH1" s="3"/>
      <c r="AI1" s="3"/>
      <c r="AJ1" s="3"/>
    </row>
    <row r="2" ht="8.25" customHeight="1">
      <c r="A2" s="2"/>
      <c r="B2" s="4"/>
      <c r="C2" s="4"/>
      <c r="D2" s="4"/>
      <c r="E2" s="4"/>
      <c r="F2" s="4"/>
      <c r="G2" s="4"/>
      <c r="H2" s="4"/>
      <c r="I2" s="4"/>
      <c r="J2" s="4"/>
      <c r="K2" s="4"/>
      <c r="L2" s="4"/>
      <c r="M2" s="4"/>
      <c r="N2" s="4"/>
      <c r="O2" s="4"/>
      <c r="P2" s="4"/>
      <c r="Q2" s="4"/>
      <c r="R2" s="4"/>
      <c r="S2" s="4"/>
      <c r="T2" s="4"/>
      <c r="U2" s="4"/>
      <c r="V2" s="4"/>
      <c r="W2" s="4"/>
      <c r="X2" s="4"/>
      <c r="Y2" s="2"/>
      <c r="Z2" s="3"/>
      <c r="AA2" s="3"/>
      <c r="AB2" s="3"/>
      <c r="AC2" s="3"/>
      <c r="AD2" s="3"/>
      <c r="AE2" s="3"/>
      <c r="AF2" s="3"/>
      <c r="AG2" s="3"/>
      <c r="AH2" s="3"/>
      <c r="AI2" s="3"/>
      <c r="AJ2" s="3"/>
    </row>
    <row r="3" ht="20.25" customHeight="1">
      <c r="A3" s="2"/>
      <c r="B3" s="4"/>
      <c r="C3" s="5" t="s">
        <v>1</v>
      </c>
      <c r="E3" s="6">
        <v>200.0</v>
      </c>
      <c r="F3" s="7"/>
      <c r="G3" s="8"/>
      <c r="H3" s="9" t="s">
        <v>2</v>
      </c>
      <c r="I3" s="4"/>
      <c r="J3" s="10" t="str">
        <f>if(AI9&lt;0,AI12,AI17)</f>
        <v>Cashflow Positive</v>
      </c>
      <c r="K3" s="11"/>
      <c r="L3" s="11"/>
      <c r="M3" s="11"/>
      <c r="N3" s="11"/>
      <c r="O3" s="12"/>
      <c r="P3" s="4"/>
      <c r="Q3" s="13">
        <f>if(D25&gt;1,D25,0)</f>
        <v>0</v>
      </c>
      <c r="R3" s="4"/>
      <c r="S3" s="4"/>
      <c r="T3" s="14" t="s">
        <v>3</v>
      </c>
      <c r="U3" s="15"/>
      <c r="V3" s="16" t="s">
        <v>4</v>
      </c>
      <c r="W3" s="4"/>
      <c r="X3" s="4"/>
      <c r="Y3" s="2"/>
      <c r="Z3" s="3"/>
      <c r="AA3" s="3"/>
      <c r="AB3" s="3"/>
      <c r="AC3" s="3"/>
      <c r="AD3" s="3"/>
      <c r="AE3" s="3"/>
      <c r="AF3" s="3"/>
      <c r="AG3" s="3"/>
      <c r="AH3" s="3"/>
      <c r="AI3" s="17" t="s">
        <v>4</v>
      </c>
      <c r="AJ3" s="3"/>
    </row>
    <row r="4">
      <c r="A4" s="2"/>
      <c r="B4" s="4"/>
      <c r="C4" s="4"/>
      <c r="D4" s="4"/>
      <c r="E4" s="4"/>
      <c r="F4" s="4"/>
      <c r="G4" s="4"/>
      <c r="H4" s="4"/>
      <c r="I4" s="4"/>
      <c r="J4" s="18"/>
      <c r="O4" s="19"/>
      <c r="P4" s="4"/>
      <c r="Q4" s="4"/>
      <c r="R4" s="4"/>
      <c r="S4" s="4"/>
      <c r="T4" s="20"/>
      <c r="U4" s="20"/>
      <c r="V4" s="20"/>
      <c r="W4" s="4"/>
      <c r="X4" s="4"/>
      <c r="Y4" s="2"/>
      <c r="Z4" s="21" t="s">
        <v>5</v>
      </c>
      <c r="AF4" s="3"/>
      <c r="AG4" s="3"/>
      <c r="AH4" s="3"/>
      <c r="AI4" s="17" t="s">
        <v>6</v>
      </c>
      <c r="AJ4" s="3"/>
    </row>
    <row r="5">
      <c r="A5" s="2"/>
      <c r="B5" s="4"/>
      <c r="C5" s="22" t="s">
        <v>7</v>
      </c>
      <c r="E5" s="23">
        <v>0.4</v>
      </c>
      <c r="F5" s="24"/>
      <c r="G5" s="25"/>
      <c r="H5" s="4"/>
      <c r="I5" s="4"/>
      <c r="J5" s="26"/>
      <c r="K5" s="27"/>
      <c r="L5" s="27"/>
      <c r="M5" s="27"/>
      <c r="N5" s="27"/>
      <c r="O5" s="28"/>
      <c r="P5" s="4"/>
      <c r="Q5" s="29">
        <f>if(D25&gt;=1,D25/K9,0)</f>
        <v>0</v>
      </c>
      <c r="R5" s="30" t="s">
        <v>8</v>
      </c>
      <c r="U5" s="4"/>
      <c r="V5" s="4"/>
      <c r="W5" s="4"/>
      <c r="X5" s="4"/>
      <c r="Y5" s="2"/>
      <c r="AF5" s="3"/>
      <c r="AG5" s="3"/>
      <c r="AH5" s="3"/>
      <c r="AI5" s="3"/>
      <c r="AJ5" s="3"/>
    </row>
    <row r="6">
      <c r="A6" s="2"/>
      <c r="B6" s="4"/>
      <c r="E6" s="31"/>
      <c r="F6" s="31"/>
      <c r="G6" s="32"/>
      <c r="H6" s="4"/>
      <c r="I6" s="4"/>
      <c r="J6" s="4"/>
      <c r="K6" s="4"/>
      <c r="L6" s="4"/>
      <c r="M6" s="4"/>
      <c r="N6" s="4"/>
      <c r="O6" s="4"/>
      <c r="P6" s="4"/>
      <c r="Q6" s="4"/>
      <c r="R6" s="4"/>
      <c r="S6" s="33"/>
      <c r="T6" s="34"/>
      <c r="U6" s="34"/>
      <c r="V6" s="34"/>
      <c r="W6" s="35"/>
      <c r="X6" s="4"/>
      <c r="Y6" s="36"/>
      <c r="AF6" s="3"/>
      <c r="AG6" s="3"/>
      <c r="AH6" s="3"/>
      <c r="AI6" s="3"/>
      <c r="AJ6" s="3"/>
    </row>
    <row r="7">
      <c r="A7" s="2"/>
      <c r="B7" s="4"/>
      <c r="C7" s="37"/>
      <c r="D7" s="4"/>
      <c r="E7" s="4"/>
      <c r="F7" s="4"/>
      <c r="G7" s="4"/>
      <c r="H7" s="38"/>
      <c r="I7" s="38"/>
      <c r="J7" s="38"/>
      <c r="L7" s="39"/>
      <c r="M7" s="4"/>
      <c r="N7" s="40" t="s">
        <v>9</v>
      </c>
      <c r="O7" s="11"/>
      <c r="P7" s="11"/>
      <c r="Q7" s="12"/>
      <c r="R7" s="4"/>
      <c r="S7" s="41"/>
      <c r="T7" s="42" t="s">
        <v>10</v>
      </c>
      <c r="U7" s="43"/>
      <c r="V7" s="44">
        <v>1.0</v>
      </c>
      <c r="W7" s="45"/>
      <c r="X7" s="4"/>
      <c r="Y7" s="36"/>
      <c r="AF7" s="3"/>
      <c r="AG7" s="3"/>
      <c r="AH7" s="3"/>
      <c r="AI7" s="3"/>
      <c r="AJ7" s="3"/>
    </row>
    <row r="8" ht="10.5" customHeight="1">
      <c r="A8" s="2"/>
      <c r="B8" s="4"/>
      <c r="C8" s="37"/>
      <c r="D8" s="4"/>
      <c r="E8" s="4"/>
      <c r="F8" s="46"/>
      <c r="G8" s="4"/>
      <c r="H8" s="38"/>
      <c r="L8" s="39"/>
      <c r="M8" s="4"/>
      <c r="N8" s="18"/>
      <c r="Q8" s="19"/>
      <c r="R8" s="4"/>
      <c r="S8" s="41"/>
      <c r="T8" s="42"/>
      <c r="U8" s="43"/>
      <c r="V8" s="47"/>
      <c r="W8" s="45"/>
      <c r="X8" s="4"/>
      <c r="Y8" s="36"/>
      <c r="Z8" s="21" t="s">
        <v>11</v>
      </c>
      <c r="AF8" s="3"/>
      <c r="AG8" s="3"/>
      <c r="AH8" s="3"/>
      <c r="AI8" s="48"/>
      <c r="AJ8" s="3"/>
    </row>
    <row r="9" ht="18.75" customHeight="1">
      <c r="A9" s="2"/>
      <c r="B9" s="4"/>
      <c r="C9" s="37"/>
      <c r="D9" s="4"/>
      <c r="E9" s="4"/>
      <c r="F9" s="49"/>
      <c r="G9" s="4"/>
      <c r="H9" s="50" t="s">
        <v>12</v>
      </c>
      <c r="I9" s="51"/>
      <c r="J9" s="51"/>
      <c r="K9" s="52">
        <f>E3-D12</f>
        <v>120</v>
      </c>
      <c r="M9" s="4"/>
      <c r="N9" s="53">
        <f>AI9</f>
        <v>0</v>
      </c>
      <c r="Q9" s="19"/>
      <c r="R9" s="4"/>
      <c r="S9" s="41"/>
      <c r="T9" s="42" t="s">
        <v>13</v>
      </c>
      <c r="U9" s="43"/>
      <c r="V9" s="54">
        <f>(V7*V11)+V7</f>
        <v>2.5</v>
      </c>
      <c r="W9" s="45"/>
      <c r="X9" s="4"/>
      <c r="Y9" s="36"/>
      <c r="AF9" s="3"/>
      <c r="AG9" s="3"/>
      <c r="AH9" s="3"/>
      <c r="AI9" s="55">
        <f>D25</f>
        <v>0</v>
      </c>
      <c r="AJ9" s="3"/>
    </row>
    <row r="10" ht="9.75" customHeight="1">
      <c r="A10" s="2"/>
      <c r="B10" s="4"/>
      <c r="C10" s="56" t="s">
        <v>14</v>
      </c>
      <c r="D10" s="12"/>
      <c r="E10" s="4"/>
      <c r="F10" s="49"/>
      <c r="G10" s="4"/>
      <c r="H10" s="38"/>
      <c r="I10" s="38"/>
      <c r="J10" s="38"/>
      <c r="K10" s="39"/>
      <c r="L10" s="39"/>
      <c r="M10" s="4"/>
      <c r="N10" s="57"/>
      <c r="O10" s="58"/>
      <c r="P10" s="58"/>
      <c r="Q10" s="59"/>
      <c r="R10" s="4"/>
      <c r="S10" s="41"/>
      <c r="T10" s="42"/>
      <c r="U10" s="43"/>
      <c r="V10" s="43"/>
      <c r="W10" s="45"/>
      <c r="X10" s="4"/>
      <c r="Y10" s="36"/>
      <c r="AF10" s="3"/>
      <c r="AG10" s="3"/>
      <c r="AH10" s="3"/>
      <c r="AI10" s="3"/>
      <c r="AJ10" s="3"/>
    </row>
    <row r="11">
      <c r="A11" s="2"/>
      <c r="B11" s="4"/>
      <c r="C11" s="18"/>
      <c r="D11" s="19"/>
      <c r="E11" s="4"/>
      <c r="F11" s="49"/>
      <c r="G11" s="4"/>
      <c r="H11" s="4"/>
      <c r="I11" s="4"/>
      <c r="J11" s="4"/>
      <c r="K11" s="4"/>
      <c r="L11" s="4"/>
      <c r="M11" s="4"/>
      <c r="N11" s="4"/>
      <c r="O11" s="4"/>
      <c r="P11" s="4"/>
      <c r="Q11" s="4"/>
      <c r="R11" s="4"/>
      <c r="S11" s="41"/>
      <c r="T11" s="42" t="s">
        <v>15</v>
      </c>
      <c r="U11" s="43"/>
      <c r="V11" s="60">
        <v>1.5</v>
      </c>
      <c r="W11" s="45"/>
      <c r="X11" s="4"/>
      <c r="Y11" s="36"/>
      <c r="AF11" s="3"/>
      <c r="AG11" s="3"/>
      <c r="AH11" s="3"/>
      <c r="AI11" s="3"/>
      <c r="AJ11" s="3"/>
    </row>
    <row r="12" ht="24.0" customHeight="1">
      <c r="A12" s="2"/>
      <c r="B12" s="4"/>
      <c r="C12" s="61"/>
      <c r="D12" s="62">
        <f>E3*E5</f>
        <v>80</v>
      </c>
      <c r="E12" s="4"/>
      <c r="F12" s="49"/>
      <c r="G12" s="4"/>
      <c r="H12" s="63"/>
      <c r="I12" s="63"/>
      <c r="J12" s="63"/>
      <c r="K12" s="4"/>
      <c r="L12" s="4"/>
      <c r="M12" s="63"/>
      <c r="N12" s="64"/>
      <c r="O12" s="65"/>
      <c r="P12" s="34"/>
      <c r="Q12" s="66"/>
      <c r="R12" s="4"/>
      <c r="S12" s="41"/>
      <c r="T12" s="67" t="s">
        <v>16</v>
      </c>
      <c r="U12" s="68"/>
      <c r="V12" s="69">
        <f>V9-V7</f>
        <v>1.5</v>
      </c>
      <c r="W12" s="45"/>
      <c r="X12" s="4"/>
      <c r="Y12" s="36"/>
      <c r="AF12" s="3"/>
      <c r="AG12" s="3"/>
      <c r="AH12" s="3"/>
      <c r="AI12" s="70" t="s">
        <v>17</v>
      </c>
      <c r="AJ12" s="3"/>
    </row>
    <row r="13">
      <c r="A13" s="2"/>
      <c r="B13" s="4"/>
      <c r="C13" s="61"/>
      <c r="D13" s="71"/>
      <c r="E13" s="4"/>
      <c r="F13" s="49"/>
      <c r="G13" s="4"/>
      <c r="H13" s="63"/>
      <c r="I13" s="63"/>
      <c r="J13" s="63"/>
      <c r="K13" s="4"/>
      <c r="L13" s="4"/>
      <c r="M13" s="72"/>
      <c r="N13" s="73" t="s">
        <v>18</v>
      </c>
      <c r="P13" s="43"/>
      <c r="Q13" s="74">
        <v>15.0</v>
      </c>
      <c r="R13" s="4"/>
      <c r="S13" s="41"/>
      <c r="T13" s="75" t="s">
        <v>19</v>
      </c>
      <c r="U13" s="43"/>
      <c r="V13" s="60">
        <v>0.15</v>
      </c>
      <c r="W13" s="45"/>
      <c r="X13" s="4"/>
      <c r="Y13" s="36"/>
      <c r="Z13" s="3"/>
      <c r="AA13" s="3"/>
      <c r="AB13" s="3"/>
      <c r="AC13" s="3"/>
      <c r="AD13" s="3"/>
      <c r="AE13" s="3"/>
      <c r="AF13" s="3"/>
      <c r="AG13" s="3"/>
      <c r="AH13" s="3"/>
      <c r="AI13" s="3"/>
      <c r="AJ13" s="3"/>
    </row>
    <row r="14" ht="9.75" customHeight="1">
      <c r="A14" s="2"/>
      <c r="B14" s="4"/>
      <c r="C14" s="61"/>
      <c r="D14" s="71"/>
      <c r="E14" s="4"/>
      <c r="F14" s="49"/>
      <c r="G14" s="4"/>
      <c r="H14" s="63"/>
      <c r="I14" s="63"/>
      <c r="J14" s="63"/>
      <c r="K14" s="4"/>
      <c r="L14" s="4"/>
      <c r="M14" s="4"/>
      <c r="N14" s="76"/>
      <c r="O14" s="42"/>
      <c r="P14" s="43"/>
      <c r="Q14" s="77" t="s">
        <v>0</v>
      </c>
      <c r="R14" s="4"/>
      <c r="S14" s="41"/>
      <c r="T14" s="42"/>
      <c r="U14" s="43"/>
      <c r="V14" s="43"/>
      <c r="W14" s="45"/>
      <c r="X14" s="4"/>
      <c r="Y14" s="36"/>
      <c r="Z14" s="21" t="s">
        <v>20</v>
      </c>
      <c r="AF14" s="3"/>
      <c r="AG14" s="3"/>
      <c r="AH14" s="3"/>
      <c r="AI14" s="3"/>
      <c r="AJ14" s="3"/>
    </row>
    <row r="15">
      <c r="A15" s="2"/>
      <c r="B15" s="4"/>
      <c r="C15" s="78" t="s">
        <v>21</v>
      </c>
      <c r="D15" s="19"/>
      <c r="E15" s="4"/>
      <c r="F15" s="49"/>
      <c r="G15" s="4"/>
      <c r="H15" s="4"/>
      <c r="I15" s="4"/>
      <c r="J15" s="4"/>
      <c r="K15" s="4"/>
      <c r="L15" s="4"/>
      <c r="M15" s="63"/>
      <c r="N15" s="79" t="s">
        <v>22</v>
      </c>
      <c r="P15" s="80"/>
      <c r="Q15" s="81">
        <f>K9/V7</f>
        <v>120</v>
      </c>
      <c r="R15" s="4"/>
      <c r="S15" s="41"/>
      <c r="T15" s="42" t="s">
        <v>23</v>
      </c>
      <c r="U15" s="43"/>
      <c r="V15" s="54">
        <f>V9-(V9*V13)</f>
        <v>2.125</v>
      </c>
      <c r="W15" s="45"/>
      <c r="X15" s="4"/>
      <c r="Y15" s="36"/>
      <c r="AF15" s="3"/>
      <c r="AG15" s="3"/>
      <c r="AH15" s="3"/>
      <c r="AI15" s="3"/>
      <c r="AJ15" s="3"/>
    </row>
    <row r="16" ht="12.75" customHeight="1">
      <c r="A16" s="2"/>
      <c r="B16" s="4"/>
      <c r="C16" s="82"/>
      <c r="D16" s="83"/>
      <c r="E16" s="4"/>
      <c r="F16" s="49"/>
      <c r="G16" s="4"/>
      <c r="H16" s="84"/>
      <c r="I16" s="84"/>
      <c r="J16" s="84"/>
      <c r="K16" s="4"/>
      <c r="L16" s="4"/>
      <c r="M16" s="85"/>
      <c r="N16" s="86"/>
      <c r="O16" s="87"/>
      <c r="P16" s="87"/>
      <c r="Q16" s="88"/>
      <c r="R16" s="4"/>
      <c r="S16" s="41"/>
      <c r="T16" s="42"/>
      <c r="U16" s="43"/>
      <c r="V16" s="43"/>
      <c r="W16" s="45"/>
      <c r="X16" s="4"/>
      <c r="Y16" s="36"/>
      <c r="AF16" s="3"/>
      <c r="AG16" s="3"/>
      <c r="AH16" s="3"/>
      <c r="AI16" s="89"/>
      <c r="AJ16" s="3"/>
    </row>
    <row r="17" ht="22.5" customHeight="1">
      <c r="A17" s="2"/>
      <c r="B17" s="4"/>
      <c r="C17" s="82"/>
      <c r="D17" s="90">
        <v>180.0</v>
      </c>
      <c r="E17" s="4"/>
      <c r="F17" s="49"/>
      <c r="G17" s="4"/>
      <c r="H17" s="84"/>
      <c r="I17" s="84"/>
      <c r="J17" s="84"/>
      <c r="K17" s="4"/>
      <c r="L17" s="4"/>
      <c r="M17" s="85"/>
      <c r="N17" s="86" t="s">
        <v>24</v>
      </c>
      <c r="P17" s="91"/>
      <c r="Q17" s="92">
        <f>Q15*V7</f>
        <v>120</v>
      </c>
      <c r="R17" s="4"/>
      <c r="S17" s="41"/>
      <c r="T17" s="42"/>
      <c r="U17" s="43"/>
      <c r="V17" s="43"/>
      <c r="W17" s="45"/>
      <c r="X17" s="4"/>
      <c r="Y17" s="36"/>
      <c r="AF17" s="3"/>
      <c r="AG17" s="3"/>
      <c r="AH17" s="3"/>
      <c r="AI17" s="89" t="s">
        <v>25</v>
      </c>
      <c r="AJ17" s="3"/>
    </row>
    <row r="18" ht="23.25" customHeight="1">
      <c r="A18" s="2"/>
      <c r="B18" s="4"/>
      <c r="C18" s="78"/>
      <c r="D18" s="93"/>
      <c r="E18" s="4"/>
      <c r="F18" s="49"/>
      <c r="G18" s="4"/>
      <c r="H18" s="84"/>
      <c r="I18" s="84"/>
      <c r="J18" s="84"/>
      <c r="K18" s="4"/>
      <c r="L18" s="63"/>
      <c r="M18" s="85"/>
      <c r="N18" s="94"/>
      <c r="O18" s="91"/>
      <c r="P18" s="91"/>
      <c r="Q18" s="95"/>
      <c r="R18" s="4"/>
      <c r="S18" s="41"/>
      <c r="T18" s="96" t="s">
        <v>26</v>
      </c>
      <c r="W18" s="45"/>
      <c r="X18" s="4"/>
      <c r="Y18" s="36"/>
      <c r="Z18" s="3"/>
      <c r="AA18" s="3"/>
      <c r="AB18" s="3"/>
      <c r="AC18" s="3"/>
      <c r="AD18" s="3"/>
      <c r="AE18" s="3"/>
      <c r="AF18" s="3"/>
      <c r="AG18" s="3"/>
      <c r="AH18" s="3"/>
      <c r="AI18" s="97"/>
      <c r="AJ18" s="3"/>
    </row>
    <row r="19" ht="15.75" customHeight="1">
      <c r="A19" s="2"/>
      <c r="B19" s="4"/>
      <c r="C19" s="78" t="s">
        <v>27</v>
      </c>
      <c r="D19" s="19"/>
      <c r="E19" s="4"/>
      <c r="F19" s="49"/>
      <c r="G19" s="4"/>
      <c r="H19" s="84"/>
      <c r="I19" s="84"/>
      <c r="J19" s="84"/>
      <c r="K19" s="4"/>
      <c r="L19" s="63"/>
      <c r="M19" s="85"/>
      <c r="N19" s="94"/>
      <c r="O19" s="91"/>
      <c r="P19" s="91"/>
      <c r="Q19" s="95"/>
      <c r="R19" s="4"/>
      <c r="S19" s="41"/>
      <c r="T19" s="42"/>
      <c r="U19" s="43"/>
      <c r="V19" s="98">
        <v>1.0</v>
      </c>
      <c r="W19" s="45"/>
      <c r="X19" s="4"/>
      <c r="Y19" s="36"/>
      <c r="Z19" s="21" t="s">
        <v>28</v>
      </c>
      <c r="AF19" s="3"/>
      <c r="AG19" s="3"/>
      <c r="AH19" s="3"/>
      <c r="AI19" s="3"/>
      <c r="AJ19" s="3"/>
    </row>
    <row r="20" ht="23.25" customHeight="1">
      <c r="A20" s="2"/>
      <c r="B20" s="4"/>
      <c r="C20" s="82"/>
      <c r="D20" s="99">
        <f>(V29-Q15*V7)/V29</f>
        <v>0.6</v>
      </c>
      <c r="E20" s="4"/>
      <c r="F20" s="49"/>
      <c r="G20" s="4"/>
      <c r="H20" s="84"/>
      <c r="I20" s="84"/>
      <c r="J20" s="84"/>
      <c r="K20" s="4"/>
      <c r="L20" s="63"/>
      <c r="M20" s="38"/>
      <c r="N20" s="100" t="s">
        <v>29</v>
      </c>
      <c r="O20" s="12"/>
      <c r="P20" s="43"/>
      <c r="Q20" s="74">
        <v>4.0</v>
      </c>
      <c r="R20" s="4"/>
      <c r="S20" s="41"/>
      <c r="T20" s="42"/>
      <c r="U20" s="43"/>
      <c r="V20" s="43"/>
      <c r="W20" s="45"/>
      <c r="X20" s="4"/>
      <c r="Y20" s="36"/>
      <c r="AF20" s="3"/>
      <c r="AG20" s="3"/>
      <c r="AH20" s="3"/>
      <c r="AI20" s="3"/>
      <c r="AJ20" s="3"/>
    </row>
    <row r="21">
      <c r="A21" s="2"/>
      <c r="B21" s="4"/>
      <c r="C21" s="82"/>
      <c r="D21" s="83"/>
      <c r="E21" s="4"/>
      <c r="F21" s="49"/>
      <c r="G21" s="4"/>
      <c r="H21" s="4"/>
      <c r="I21" s="4"/>
      <c r="J21" s="4"/>
      <c r="K21" s="4"/>
      <c r="L21" s="4"/>
      <c r="M21" s="38"/>
      <c r="N21" s="101" t="s">
        <v>30</v>
      </c>
      <c r="O21" s="19"/>
      <c r="P21" s="43"/>
      <c r="Q21" s="45"/>
      <c r="R21" s="4"/>
      <c r="S21" s="41"/>
      <c r="T21" s="42"/>
      <c r="U21" s="43"/>
      <c r="V21" s="43"/>
      <c r="W21" s="45"/>
      <c r="X21" s="4"/>
      <c r="Y21" s="36"/>
      <c r="AF21" s="3"/>
      <c r="AG21" s="3"/>
      <c r="AH21" s="3"/>
      <c r="AI21" s="3"/>
      <c r="AJ21" s="48"/>
    </row>
    <row r="22" ht="19.5" customHeight="1">
      <c r="A22" s="2"/>
      <c r="B22" s="4"/>
      <c r="C22" s="82"/>
      <c r="D22" s="74">
        <v>35.0</v>
      </c>
      <c r="E22" s="4"/>
      <c r="F22" s="49"/>
      <c r="G22" s="4"/>
      <c r="H22" s="4"/>
      <c r="I22" s="4"/>
      <c r="J22" s="4"/>
      <c r="K22" s="4"/>
      <c r="L22" s="84"/>
      <c r="M22" s="38"/>
      <c r="N22" s="18"/>
      <c r="O22" s="19"/>
      <c r="P22" s="80"/>
      <c r="Q22" s="45"/>
      <c r="R22" s="4"/>
      <c r="S22" s="41"/>
      <c r="T22" s="42"/>
      <c r="U22" s="43"/>
      <c r="V22" s="43"/>
      <c r="W22" s="45"/>
      <c r="X22" s="4"/>
      <c r="Y22" s="36"/>
      <c r="AF22" s="3"/>
      <c r="AG22" s="3"/>
      <c r="AH22" s="3"/>
      <c r="AI22" s="3"/>
      <c r="AJ22" s="3"/>
    </row>
    <row r="23" ht="20.25" customHeight="1">
      <c r="A23" s="2"/>
      <c r="B23" s="4"/>
      <c r="C23" s="82"/>
      <c r="D23" s="102" t="s">
        <v>31</v>
      </c>
      <c r="E23" s="4"/>
      <c r="F23" s="49"/>
      <c r="G23" s="4"/>
      <c r="H23" s="4"/>
      <c r="I23" s="4"/>
      <c r="J23" s="4"/>
      <c r="K23" s="4"/>
      <c r="L23" s="84"/>
      <c r="M23" s="63"/>
      <c r="N23" s="103" t="s">
        <v>32</v>
      </c>
      <c r="O23" s="28"/>
      <c r="P23" s="104"/>
      <c r="Q23" s="74">
        <v>6.0</v>
      </c>
      <c r="R23" s="4"/>
      <c r="S23" s="41"/>
      <c r="T23" s="67" t="s">
        <v>33</v>
      </c>
      <c r="U23" s="43"/>
      <c r="V23" s="105">
        <f>(Q20+Q23+D22)-Q13</f>
        <v>30</v>
      </c>
      <c r="W23" s="45"/>
      <c r="X23" s="4"/>
      <c r="Y23" s="36"/>
      <c r="AF23" s="3"/>
      <c r="AG23" s="3"/>
      <c r="AH23" s="3"/>
      <c r="AI23" s="3"/>
      <c r="AJ23" s="3"/>
    </row>
    <row r="24" ht="14.25" customHeight="1">
      <c r="A24" s="2"/>
      <c r="B24" s="4"/>
      <c r="C24" s="82"/>
      <c r="D24" s="106"/>
      <c r="E24" s="4"/>
      <c r="F24" s="49"/>
      <c r="G24" s="4"/>
      <c r="H24" s="4"/>
      <c r="I24" s="4"/>
      <c r="J24" s="4"/>
      <c r="K24" s="4"/>
      <c r="L24" s="84"/>
      <c r="M24" s="84"/>
      <c r="N24" s="107"/>
      <c r="O24" s="104"/>
      <c r="P24" s="104"/>
      <c r="Q24" s="45"/>
      <c r="R24" s="4"/>
      <c r="S24" s="41"/>
      <c r="T24" s="42"/>
      <c r="U24" s="43"/>
      <c r="V24" s="43"/>
      <c r="W24" s="45"/>
      <c r="X24" s="4"/>
      <c r="Y24" s="36"/>
      <c r="AF24" s="3"/>
      <c r="AG24" s="3"/>
      <c r="AH24" s="3"/>
      <c r="AI24" s="3"/>
      <c r="AJ24" s="3"/>
    </row>
    <row r="25" ht="24.0" customHeight="1">
      <c r="A25" s="2"/>
      <c r="B25" s="4"/>
      <c r="C25" s="82"/>
      <c r="D25" s="108">
        <f>V31-D17</f>
        <v>0</v>
      </c>
      <c r="E25" s="4"/>
      <c r="F25" s="49"/>
      <c r="G25" s="4"/>
      <c r="H25" s="4"/>
      <c r="I25" s="4"/>
      <c r="J25" s="4"/>
      <c r="K25" s="4"/>
      <c r="L25" s="4"/>
      <c r="M25" s="4"/>
      <c r="N25" s="41"/>
      <c r="O25" s="43"/>
      <c r="P25" s="43"/>
      <c r="Q25" s="45"/>
      <c r="R25" s="4"/>
      <c r="S25" s="41"/>
      <c r="T25" s="109" t="s">
        <v>34</v>
      </c>
      <c r="U25" s="43"/>
      <c r="V25" s="110">
        <f>if(V23=0,30,if(V23&lt;0,30,30/V23))</f>
        <v>1</v>
      </c>
      <c r="W25" s="45"/>
      <c r="X25" s="4"/>
      <c r="Y25" s="36"/>
      <c r="Z25" s="3"/>
      <c r="AA25" s="111"/>
      <c r="AB25" s="3"/>
      <c r="AC25" s="3"/>
      <c r="AD25" s="3"/>
      <c r="AE25" s="3"/>
      <c r="AF25" s="3"/>
      <c r="AG25" s="3"/>
      <c r="AH25" s="3"/>
      <c r="AI25" s="3"/>
      <c r="AJ25" s="3"/>
    </row>
    <row r="26" ht="23.25" customHeight="1">
      <c r="A26" s="2"/>
      <c r="B26" s="4"/>
      <c r="C26" s="112"/>
      <c r="D26" s="113" t="s">
        <v>35</v>
      </c>
      <c r="E26" s="4"/>
      <c r="F26" s="49"/>
      <c r="G26" s="4"/>
      <c r="H26" s="114"/>
      <c r="I26" s="114"/>
      <c r="J26" s="114"/>
      <c r="K26" s="4"/>
      <c r="L26" s="4"/>
      <c r="M26" s="4"/>
      <c r="N26" s="41"/>
      <c r="O26" s="43"/>
      <c r="P26" s="43"/>
      <c r="Q26" s="45"/>
      <c r="R26" s="4"/>
      <c r="S26" s="41"/>
      <c r="T26" s="115" t="s">
        <v>36</v>
      </c>
      <c r="W26" s="45"/>
      <c r="X26" s="4"/>
      <c r="Y26" s="36"/>
      <c r="Z26" s="116" t="s">
        <v>37</v>
      </c>
      <c r="AF26" s="3"/>
      <c r="AG26" s="3"/>
      <c r="AH26" s="3"/>
      <c r="AI26" s="3"/>
      <c r="AJ26" s="3"/>
    </row>
    <row r="27" ht="11.25" customHeight="1">
      <c r="A27" s="2"/>
      <c r="B27" s="4"/>
      <c r="C27" s="117"/>
      <c r="D27" s="118"/>
      <c r="E27" s="4"/>
      <c r="F27" s="49"/>
      <c r="G27" s="4"/>
      <c r="H27" s="114"/>
      <c r="I27" s="114"/>
      <c r="J27" s="114"/>
      <c r="K27" s="4"/>
      <c r="L27" s="4"/>
      <c r="M27" s="4"/>
      <c r="N27" s="119"/>
      <c r="O27" s="120"/>
      <c r="P27" s="121"/>
      <c r="Q27" s="122"/>
      <c r="R27" s="4"/>
      <c r="S27" s="123"/>
      <c r="T27" s="124" t="s">
        <v>38</v>
      </c>
      <c r="U27" s="27"/>
      <c r="V27" s="125">
        <f>V25*12</f>
        <v>12</v>
      </c>
      <c r="W27" s="126"/>
      <c r="X27" s="4"/>
      <c r="Y27" s="36"/>
      <c r="AF27" s="3"/>
      <c r="AG27" s="3"/>
      <c r="AH27" s="3"/>
      <c r="AI27" s="3"/>
      <c r="AJ27" s="3"/>
    </row>
    <row r="28" ht="15.75" customHeight="1">
      <c r="A28" s="2"/>
      <c r="B28" s="4"/>
      <c r="C28" s="4"/>
      <c r="D28" s="4"/>
      <c r="E28" s="4"/>
      <c r="F28" s="49"/>
      <c r="G28" s="4"/>
      <c r="H28" s="4"/>
      <c r="I28" s="4"/>
      <c r="J28" s="4"/>
      <c r="K28" s="4"/>
      <c r="L28" s="4"/>
      <c r="M28" s="4"/>
      <c r="N28" s="4"/>
      <c r="O28" s="4"/>
      <c r="P28" s="4"/>
      <c r="Q28" s="4"/>
      <c r="R28" s="4"/>
      <c r="S28" s="4"/>
      <c r="T28" s="4"/>
      <c r="U28" s="4"/>
      <c r="V28" s="4"/>
      <c r="W28" s="4"/>
      <c r="X28" s="4"/>
      <c r="Y28" s="2"/>
      <c r="AF28" s="3"/>
      <c r="AG28" s="3"/>
      <c r="AH28" s="3"/>
      <c r="AI28" s="3"/>
      <c r="AJ28" s="3"/>
    </row>
    <row r="29" ht="15.75" customHeight="1">
      <c r="A29" s="2"/>
      <c r="B29" s="4"/>
      <c r="C29" s="4"/>
      <c r="D29" s="4"/>
      <c r="E29" s="4"/>
      <c r="F29" s="49"/>
      <c r="G29" s="4"/>
      <c r="H29" s="38" t="s">
        <v>39</v>
      </c>
      <c r="K29" s="19"/>
      <c r="L29" s="127">
        <f>Q15*V19</f>
        <v>120</v>
      </c>
      <c r="M29" s="4"/>
      <c r="N29" s="128">
        <f>L29*V9</f>
        <v>300</v>
      </c>
      <c r="O29" s="129" t="s">
        <v>40</v>
      </c>
      <c r="R29" s="4"/>
      <c r="S29" s="4"/>
      <c r="T29" s="130" t="s">
        <v>41</v>
      </c>
      <c r="U29" s="4"/>
      <c r="V29" s="128">
        <f>if(V23&gt;30,N33*V25,(N29+N31)*V25)</f>
        <v>300</v>
      </c>
      <c r="W29" s="4"/>
      <c r="X29" s="4"/>
      <c r="Y29" s="2"/>
      <c r="AF29" s="3"/>
      <c r="AG29" s="3"/>
      <c r="AH29" s="3"/>
      <c r="AI29" s="3"/>
      <c r="AJ29" s="3"/>
    </row>
    <row r="30" ht="9.75" customHeight="1">
      <c r="A30" s="2"/>
      <c r="B30" s="4"/>
      <c r="C30" s="4"/>
      <c r="D30" s="4"/>
      <c r="E30" s="4"/>
      <c r="F30" s="49"/>
      <c r="G30" s="4"/>
      <c r="H30" s="4"/>
      <c r="I30" s="4"/>
      <c r="J30" s="4"/>
      <c r="K30" s="131"/>
      <c r="L30" s="4"/>
      <c r="M30" s="4"/>
      <c r="N30" s="4"/>
      <c r="O30" s="129"/>
      <c r="R30" s="4"/>
      <c r="S30" s="4"/>
      <c r="T30" s="4"/>
      <c r="U30" s="4"/>
      <c r="V30" s="132"/>
      <c r="W30" s="4"/>
      <c r="X30" s="4"/>
      <c r="Y30" s="2"/>
      <c r="AF30" s="3"/>
      <c r="AG30" s="3"/>
      <c r="AH30" s="3"/>
      <c r="AI30" s="3"/>
      <c r="AJ30" s="3"/>
    </row>
    <row r="31" ht="15.75" customHeight="1">
      <c r="A31" s="2"/>
      <c r="B31" s="4"/>
      <c r="C31" s="4"/>
      <c r="D31" s="4"/>
      <c r="E31" s="4"/>
      <c r="F31" s="133"/>
      <c r="G31" s="4"/>
      <c r="H31" s="63" t="s">
        <v>42</v>
      </c>
      <c r="K31" s="19"/>
      <c r="L31" s="134">
        <f>Q15-L29</f>
        <v>0</v>
      </c>
      <c r="M31" s="4"/>
      <c r="N31" s="128">
        <f>L31*V15</f>
        <v>0</v>
      </c>
      <c r="O31" s="129" t="s">
        <v>43</v>
      </c>
      <c r="R31" s="4"/>
      <c r="S31" s="4"/>
      <c r="T31" s="130" t="s">
        <v>44</v>
      </c>
      <c r="U31" s="4"/>
      <c r="V31" s="128">
        <f>V29-(Q17*V25)</f>
        <v>180</v>
      </c>
      <c r="W31" s="4"/>
      <c r="X31" s="4"/>
      <c r="Y31" s="2"/>
      <c r="AF31" s="3"/>
      <c r="AG31" s="3"/>
      <c r="AH31" s="3"/>
      <c r="AI31" s="3"/>
      <c r="AJ31" s="3"/>
    </row>
    <row r="32" ht="9.75" customHeight="1">
      <c r="A32" s="2"/>
      <c r="B32" s="4"/>
      <c r="C32" s="4"/>
      <c r="D32" s="4"/>
      <c r="E32" s="4"/>
      <c r="F32" s="4"/>
      <c r="G32" s="4"/>
      <c r="H32" s="4"/>
      <c r="I32" s="4"/>
      <c r="J32" s="4"/>
      <c r="K32" s="4"/>
      <c r="L32" s="4"/>
      <c r="M32" s="4"/>
      <c r="N32" s="4"/>
      <c r="O32" s="135"/>
      <c r="P32" s="135"/>
      <c r="Q32" s="135"/>
      <c r="R32" s="4"/>
      <c r="S32" s="4"/>
      <c r="T32" s="130"/>
      <c r="U32" s="4"/>
      <c r="V32" s="4"/>
      <c r="W32" s="4"/>
      <c r="X32" s="4"/>
      <c r="Y32" s="2"/>
      <c r="Z32" s="3"/>
      <c r="AA32" s="3"/>
      <c r="AB32" s="3"/>
      <c r="AC32" s="3"/>
      <c r="AD32" s="3"/>
      <c r="AE32" s="3"/>
      <c r="AF32" s="3"/>
      <c r="AG32" s="3"/>
      <c r="AH32" s="3"/>
      <c r="AI32" s="3"/>
      <c r="AJ32" s="3"/>
    </row>
    <row r="33" ht="15.75" customHeight="1">
      <c r="A33" s="2"/>
      <c r="B33" s="4"/>
      <c r="C33" s="4"/>
      <c r="D33" s="4"/>
      <c r="E33" s="4"/>
      <c r="F33" s="4"/>
      <c r="G33" s="4"/>
      <c r="H33" s="4"/>
      <c r="I33" s="4"/>
      <c r="J33" s="4"/>
      <c r="K33" s="4"/>
      <c r="L33" s="136">
        <f>L29+L31</f>
        <v>120</v>
      </c>
      <c r="M33" s="4"/>
      <c r="N33" s="137">
        <f>N29+N31</f>
        <v>300</v>
      </c>
      <c r="O33" s="129" t="s">
        <v>45</v>
      </c>
      <c r="R33" s="4"/>
      <c r="S33" s="4"/>
      <c r="T33" s="130" t="s">
        <v>46</v>
      </c>
      <c r="U33" s="4"/>
      <c r="V33" s="128">
        <f>V29*12</f>
        <v>3600</v>
      </c>
      <c r="W33" s="4"/>
      <c r="X33" s="4"/>
      <c r="Y33" s="2"/>
      <c r="Z33" s="3"/>
      <c r="AA33" s="3"/>
      <c r="AB33" s="3"/>
      <c r="AC33" s="3"/>
      <c r="AD33" s="3"/>
      <c r="AE33" s="3"/>
      <c r="AF33" s="3"/>
      <c r="AG33" s="3"/>
      <c r="AH33" s="3"/>
      <c r="AI33" s="17" t="s">
        <v>0</v>
      </c>
      <c r="AJ33" s="3"/>
    </row>
    <row r="34" ht="9.75" customHeight="1">
      <c r="A34" s="2"/>
      <c r="B34" s="4"/>
      <c r="C34" s="4"/>
      <c r="D34" s="4"/>
      <c r="E34" s="4"/>
      <c r="F34" s="4"/>
      <c r="G34" s="4"/>
      <c r="H34" s="4"/>
      <c r="I34" s="4"/>
      <c r="J34" s="4"/>
      <c r="K34" s="4"/>
      <c r="L34" s="4"/>
      <c r="M34" s="4"/>
      <c r="N34" s="4"/>
      <c r="O34" s="4"/>
      <c r="P34" s="4"/>
      <c r="Q34" s="4"/>
      <c r="R34" s="4"/>
      <c r="S34" s="4"/>
      <c r="T34" s="130"/>
      <c r="U34" s="4"/>
      <c r="V34" s="4"/>
      <c r="W34" s="4"/>
      <c r="X34" s="4"/>
      <c r="Y34" s="2"/>
      <c r="Z34" s="3"/>
      <c r="AA34" s="3"/>
      <c r="AB34" s="3"/>
      <c r="AC34" s="3"/>
      <c r="AD34" s="3"/>
      <c r="AE34" s="3"/>
      <c r="AF34" s="3"/>
      <c r="AG34" s="3"/>
      <c r="AH34" s="3"/>
      <c r="AI34" s="17"/>
      <c r="AJ34" s="17"/>
    </row>
    <row r="35" ht="15.75" customHeight="1">
      <c r="A35" s="138"/>
      <c r="B35" s="139"/>
      <c r="C35" s="4"/>
      <c r="D35" s="4"/>
      <c r="E35" s="4"/>
      <c r="F35" s="4"/>
      <c r="G35" s="4"/>
      <c r="H35" s="4"/>
      <c r="I35" s="4"/>
      <c r="J35" s="4"/>
      <c r="K35" s="4"/>
      <c r="L35" s="4"/>
      <c r="M35" s="4"/>
      <c r="N35" s="140">
        <f>N33-Q17</f>
        <v>180</v>
      </c>
      <c r="O35" s="129" t="s">
        <v>47</v>
      </c>
      <c r="S35" s="4"/>
      <c r="T35" s="141" t="s">
        <v>48</v>
      </c>
      <c r="V35" s="142">
        <v>2543.0</v>
      </c>
      <c r="W35" s="4"/>
      <c r="X35" s="4"/>
      <c r="Y35" s="2"/>
      <c r="Z35" s="3"/>
      <c r="AA35" s="3"/>
      <c r="AB35" s="3"/>
      <c r="AC35" s="3"/>
      <c r="AD35" s="3"/>
      <c r="AE35" s="3"/>
      <c r="AF35" s="3"/>
      <c r="AG35" s="3"/>
      <c r="AH35" s="3"/>
      <c r="AI35" s="3"/>
      <c r="AJ35" s="3"/>
    </row>
    <row r="36" ht="24.0" customHeight="1">
      <c r="A36" s="138"/>
      <c r="B36" s="139"/>
      <c r="C36" s="143" t="s">
        <v>49</v>
      </c>
      <c r="D36" s="51"/>
      <c r="E36" s="144"/>
      <c r="F36" s="4"/>
      <c r="G36" s="4"/>
      <c r="H36" s="145" t="s">
        <v>50</v>
      </c>
      <c r="I36" s="51"/>
      <c r="J36" s="51"/>
      <c r="K36" s="51"/>
      <c r="L36" s="144"/>
      <c r="M36" s="4"/>
      <c r="N36" s="4"/>
      <c r="O36" s="4"/>
      <c r="P36" s="4"/>
      <c r="Q36" s="4"/>
      <c r="R36" s="4"/>
      <c r="S36" s="4"/>
      <c r="T36" s="146" t="s">
        <v>51</v>
      </c>
      <c r="U36" s="147"/>
      <c r="V36" s="148">
        <f>V33-V35</f>
        <v>1057</v>
      </c>
      <c r="W36" s="4"/>
      <c r="X36" s="4"/>
      <c r="Y36" s="2"/>
      <c r="Z36" s="3"/>
      <c r="AA36" s="3"/>
      <c r="AB36" s="3"/>
      <c r="AC36" s="3"/>
      <c r="AD36" s="3"/>
      <c r="AE36" s="3"/>
      <c r="AF36" s="3"/>
      <c r="AG36" s="3"/>
      <c r="AH36" s="3"/>
      <c r="AI36" s="3"/>
      <c r="AJ36" s="3"/>
    </row>
    <row r="37" ht="20.25" customHeight="1">
      <c r="A37" s="2"/>
      <c r="B37" s="4"/>
      <c r="C37" s="4"/>
      <c r="D37" s="4"/>
      <c r="E37" s="4"/>
      <c r="F37" s="4"/>
      <c r="G37" s="4"/>
      <c r="H37" s="4"/>
      <c r="I37" s="4"/>
      <c r="J37" s="4"/>
      <c r="K37" s="4"/>
      <c r="L37" s="4"/>
      <c r="M37" s="4"/>
      <c r="N37" s="4"/>
      <c r="O37" s="4"/>
      <c r="P37" s="4"/>
      <c r="Q37" s="4"/>
      <c r="R37" s="4"/>
      <c r="S37" s="4"/>
      <c r="T37" s="147"/>
      <c r="U37" s="147"/>
      <c r="V37" s="149">
        <f>V36/V35</f>
        <v>0.4156508061</v>
      </c>
      <c r="W37" s="4"/>
      <c r="X37" s="4"/>
      <c r="Y37" s="2"/>
      <c r="Z37" s="3"/>
      <c r="AA37" s="3"/>
      <c r="AB37" s="3"/>
      <c r="AC37" s="3"/>
      <c r="AD37" s="3"/>
      <c r="AE37" s="3"/>
      <c r="AF37" s="3"/>
      <c r="AG37" s="3"/>
      <c r="AH37" s="3"/>
      <c r="AI37" s="3"/>
      <c r="AJ37" s="3"/>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3"/>
      <c r="AA38" s="3"/>
      <c r="AB38" s="3"/>
      <c r="AC38" s="3"/>
      <c r="AD38" s="3"/>
      <c r="AE38" s="3"/>
      <c r="AF38" s="3"/>
      <c r="AG38" s="3"/>
      <c r="AH38" s="3"/>
      <c r="AI38" s="3"/>
      <c r="AJ38" s="3"/>
    </row>
    <row r="39" ht="15.75" customHeight="1">
      <c r="A39" s="3"/>
      <c r="B39" s="3"/>
      <c r="C39" s="3"/>
      <c r="D39" s="3"/>
      <c r="E39" s="3"/>
      <c r="F39" s="3"/>
      <c r="G39" s="3"/>
      <c r="H39" s="3"/>
      <c r="I39" s="3"/>
      <c r="J39" s="3"/>
      <c r="K39" s="3"/>
      <c r="L39" s="3"/>
      <c r="M39" s="3"/>
      <c r="N39" s="150"/>
      <c r="O39" s="3"/>
      <c r="P39" s="3"/>
      <c r="Q39" s="3"/>
      <c r="R39" s="3"/>
      <c r="S39" s="3"/>
      <c r="T39" s="3"/>
      <c r="U39" s="3"/>
      <c r="V39" s="3"/>
      <c r="W39" s="3"/>
      <c r="X39" s="3"/>
      <c r="Y39" s="3"/>
      <c r="Z39" s="3"/>
      <c r="AA39" s="3"/>
      <c r="AB39" s="3"/>
      <c r="AC39" s="3"/>
      <c r="AD39" s="3"/>
      <c r="AE39" s="3"/>
      <c r="AF39" s="3"/>
      <c r="AG39" s="3"/>
      <c r="AH39" s="3"/>
      <c r="AI39" s="3"/>
      <c r="AJ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row>
    <row r="45" ht="196.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row>
    <row r="46" ht="196.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row>
    <row r="47" ht="196.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row>
    <row r="48" ht="196.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row>
    <row r="49" ht="196.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row>
    <row r="243"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row>
    <row r="2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row>
    <row r="245"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row>
    <row r="246"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row>
    <row r="247"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row>
    <row r="248"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row>
    <row r="249"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row>
    <row r="250"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row>
    <row r="251"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row>
    <row r="252"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row>
    <row r="253"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row>
    <row r="25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row>
    <row r="255"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row>
    <row r="256"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row>
    <row r="257"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row>
    <row r="258"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row>
    <row r="259"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row>
    <row r="260"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row>
    <row r="261"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row>
    <row r="262"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row>
    <row r="263"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row>
    <row r="26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row>
    <row r="265"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row>
    <row r="266"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row>
    <row r="267"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row>
    <row r="268"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row>
    <row r="269"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row>
    <row r="270"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row>
    <row r="271"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row>
    <row r="272"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row>
    <row r="273"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row>
    <row r="27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row>
    <row r="275"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row>
    <row r="276"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row>
    <row r="277"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row>
    <row r="278"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row>
    <row r="279"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row>
    <row r="280"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row>
    <row r="281"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row>
    <row r="282"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row>
    <row r="283"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row>
    <row r="28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row>
    <row r="285"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row>
    <row r="286"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row>
    <row r="287"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row>
    <row r="288"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row>
    <row r="289"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row>
    <row r="290"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row>
    <row r="291"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row>
    <row r="292"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row>
    <row r="293"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row>
    <row r="29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row>
    <row r="295"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row>
    <row r="296"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row>
    <row r="297"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row>
    <row r="298"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row>
    <row r="299"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row>
    <row r="300"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row>
    <row r="301"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row>
    <row r="302"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row>
    <row r="303"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row>
    <row r="30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row>
    <row r="305"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row>
    <row r="306"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row>
    <row r="307"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row>
    <row r="308"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row>
    <row r="309"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row>
    <row r="310"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row>
    <row r="311"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row>
    <row r="312"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row>
    <row r="313"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row>
    <row r="31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row>
    <row r="315"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row>
    <row r="316"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row>
    <row r="317"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row>
    <row r="318"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row>
    <row r="319"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row>
    <row r="320"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row>
    <row r="321"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row>
    <row r="322"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row>
    <row r="323"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row>
    <row r="32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row>
    <row r="325"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row>
    <row r="326"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row>
    <row r="327"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row>
    <row r="328"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row>
    <row r="329"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row>
    <row r="330"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row>
    <row r="331"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row>
    <row r="332"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row>
    <row r="333"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row>
    <row r="33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row>
    <row r="335"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row>
    <row r="336"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row>
    <row r="337"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row>
    <row r="338"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row>
    <row r="339"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row>
    <row r="340"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row>
    <row r="341"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row>
    <row r="342"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row>
    <row r="343"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row>
    <row r="3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row>
    <row r="345"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row>
    <row r="346"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row>
    <row r="347"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row>
    <row r="348"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row>
    <row r="349"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row>
    <row r="350"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row>
    <row r="351"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row>
    <row r="352"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row>
    <row r="353"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row>
    <row r="35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row>
    <row r="355"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row>
    <row r="356"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row>
    <row r="357"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row>
    <row r="358"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row>
    <row r="359"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row>
    <row r="360"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row>
    <row r="361"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row>
    <row r="362"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row>
    <row r="363"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row>
    <row r="36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row>
    <row r="365"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row>
    <row r="366"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row>
    <row r="367"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row>
    <row r="368"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row>
    <row r="369"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row>
    <row r="370"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row>
    <row r="371"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row>
    <row r="372"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row>
    <row r="373"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row>
    <row r="37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row>
    <row r="375"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row>
    <row r="376"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row>
    <row r="377"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row>
    <row r="378"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row>
    <row r="379"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row>
    <row r="380"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row>
    <row r="381"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row>
    <row r="382"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row>
    <row r="383"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row>
    <row r="38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row>
    <row r="385"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row>
    <row r="386"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row>
    <row r="387"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row>
    <row r="388"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row>
    <row r="389"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row>
    <row r="390"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row>
    <row r="391"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row>
    <row r="392"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row>
    <row r="393"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row>
    <row r="39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row>
    <row r="395"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row>
    <row r="396"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row>
    <row r="397"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row>
    <row r="398"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row>
    <row r="399"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row>
    <row r="400"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row>
    <row r="401"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row>
    <row r="402"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row>
    <row r="403"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row>
    <row r="40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row>
    <row r="405"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row>
    <row r="406"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row>
    <row r="407"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row>
    <row r="408"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row>
    <row r="409"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row>
    <row r="410"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row>
    <row r="411"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row>
    <row r="412"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row>
    <row r="413"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row>
    <row r="41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row>
    <row r="415"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row>
    <row r="416"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row>
    <row r="417"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row>
    <row r="418"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row>
    <row r="419"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row>
    <row r="420"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row>
    <row r="421"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row>
    <row r="422"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row>
    <row r="423"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row>
    <row r="42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row>
    <row r="425"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row>
    <row r="426"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row>
    <row r="427"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row>
    <row r="428"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row>
    <row r="429"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row>
    <row r="430"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row>
    <row r="431"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row>
    <row r="432"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row>
    <row r="433"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row>
    <row r="43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row>
    <row r="435"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row>
    <row r="436"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row>
    <row r="437"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row>
    <row r="438"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row>
    <row r="439"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row>
    <row r="440"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row>
    <row r="441"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row>
    <row r="442"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row>
    <row r="443"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row>
    <row r="4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row>
    <row r="445"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row>
    <row r="446"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row>
    <row r="447"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row>
    <row r="448"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row>
    <row r="449"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row>
    <row r="450"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row>
    <row r="451"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row>
    <row r="452"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row>
    <row r="453"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row>
    <row r="45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row>
    <row r="455"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row>
    <row r="456"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row>
    <row r="457"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row>
    <row r="458"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row>
    <row r="459"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row>
    <row r="460"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row>
    <row r="461"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row>
    <row r="462"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row>
    <row r="463"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row>
    <row r="46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row>
    <row r="465"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row>
    <row r="466"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row>
    <row r="467"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row>
    <row r="468"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row>
    <row r="469"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row>
    <row r="470"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row>
    <row r="471"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row>
    <row r="472"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row>
    <row r="473"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row>
    <row r="47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row>
    <row r="475"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row>
    <row r="476"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row>
    <row r="477"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row>
    <row r="478"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row>
    <row r="479"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row>
    <row r="480"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row>
    <row r="481"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row>
    <row r="482"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row>
    <row r="483"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row>
    <row r="48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row>
    <row r="485"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row>
    <row r="486"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row>
    <row r="487"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row>
    <row r="488"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row>
    <row r="489"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row>
    <row r="490"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row>
    <row r="491"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row>
    <row r="492"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row>
    <row r="493"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row>
    <row r="49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row>
    <row r="495"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row>
    <row r="496"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row>
    <row r="497"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row>
    <row r="498"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row>
    <row r="499"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row>
    <row r="500"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row>
    <row r="501"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row>
    <row r="502"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row>
    <row r="503"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row>
    <row r="50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row>
    <row r="505"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row>
    <row r="506"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row>
    <row r="507"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row>
    <row r="508"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row>
    <row r="509"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row>
    <row r="510"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row>
    <row r="511"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row>
    <row r="512"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row>
    <row r="513"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row>
    <row r="51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row>
    <row r="515"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row>
    <row r="516"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row>
    <row r="517"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row>
    <row r="518"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row>
    <row r="519"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row>
    <row r="520"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row>
    <row r="521"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row>
    <row r="522"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row>
    <row r="523"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row>
    <row r="52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row>
    <row r="525"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row>
    <row r="526"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row>
    <row r="527"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row>
    <row r="528"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row>
    <row r="529"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row>
    <row r="530"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row>
    <row r="531"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row>
    <row r="532"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row>
    <row r="533"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row>
    <row r="53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row>
    <row r="535"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row>
    <row r="536"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row>
    <row r="537"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row>
    <row r="538"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row>
    <row r="539"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row>
    <row r="540"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row>
    <row r="541"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row>
    <row r="542"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row>
    <row r="543"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row>
    <row r="5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row>
    <row r="545"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row>
    <row r="546"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row>
    <row r="547"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row>
    <row r="548"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row>
    <row r="549"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row>
    <row r="550"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row>
    <row r="551"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row>
    <row r="552"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row>
    <row r="553"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row>
    <row r="55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row>
    <row r="555"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row>
    <row r="556"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row>
    <row r="557"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row>
    <row r="558"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row>
    <row r="559"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row>
    <row r="560"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row>
    <row r="561"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row>
    <row r="562"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row>
    <row r="563"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row>
    <row r="56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row>
    <row r="565"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row>
    <row r="566"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row>
    <row r="567"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row>
    <row r="568"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row>
    <row r="569"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row>
    <row r="570"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row>
    <row r="571"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row>
    <row r="572"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row>
    <row r="573"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row>
    <row r="57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row>
    <row r="575"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row>
    <row r="576"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row>
    <row r="577"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row>
    <row r="578"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row>
    <row r="579"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row>
    <row r="580"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row>
    <row r="581"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row>
    <row r="582"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row>
    <row r="583"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row>
    <row r="58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row>
    <row r="585"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row>
    <row r="586"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row>
    <row r="587"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row>
    <row r="588"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row>
    <row r="589"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row>
    <row r="590"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row>
    <row r="591"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row>
    <row r="592"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row>
    <row r="593"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row>
    <row r="59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row>
    <row r="595"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row>
    <row r="596"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row>
    <row r="597"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row>
    <row r="598"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row>
    <row r="599"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row>
    <row r="600"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row>
    <row r="601"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row>
    <row r="602"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row>
    <row r="603"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row>
    <row r="60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row>
    <row r="605"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row>
    <row r="606"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row>
    <row r="607"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row>
    <row r="608"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row>
    <row r="609"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row>
    <row r="610"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row>
    <row r="611"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row>
    <row r="612"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row>
    <row r="613"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row>
    <row r="61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row>
    <row r="615"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row>
    <row r="616"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row>
    <row r="617"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row>
    <row r="618"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row>
    <row r="619"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row>
    <row r="620"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row>
    <row r="621"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row>
    <row r="622"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row>
    <row r="623"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row>
    <row r="62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row>
    <row r="625"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row>
    <row r="626"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row>
    <row r="627"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row>
    <row r="628"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row>
    <row r="629"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row>
    <row r="630"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row>
    <row r="631"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row>
    <row r="632"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row>
    <row r="633"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row>
    <row r="63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row>
    <row r="635"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row>
    <row r="636"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row>
    <row r="637"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row>
    <row r="638"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row>
    <row r="639"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row>
    <row r="640"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row>
    <row r="641"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row>
    <row r="642"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row>
    <row r="643"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row>
    <row r="6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row>
    <row r="645"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row>
    <row r="646"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row>
    <row r="647"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row>
    <row r="648"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row>
    <row r="649"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row>
    <row r="650"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row>
    <row r="651"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row>
    <row r="652"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row>
    <row r="653"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row>
    <row r="65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row>
    <row r="655"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row>
    <row r="656"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row>
    <row r="657"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row>
    <row r="658"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row>
    <row r="659"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row>
    <row r="660"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row>
    <row r="661"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row>
    <row r="662"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row>
    <row r="663"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row>
    <row r="66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row>
    <row r="665"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row>
    <row r="666"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row>
    <row r="667"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row>
    <row r="668"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row>
    <row r="669"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row>
    <row r="670"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row>
    <row r="671"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row>
    <row r="672"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row>
    <row r="673"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row>
    <row r="67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row>
    <row r="675"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row>
    <row r="676"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row>
    <row r="677"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row>
    <row r="678"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row>
    <row r="679"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row>
    <row r="680"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row>
    <row r="681"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row>
    <row r="682"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row>
    <row r="683"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row>
    <row r="68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row>
    <row r="685"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row>
    <row r="686"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row>
    <row r="687"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row>
    <row r="688"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row>
    <row r="689"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row>
    <row r="690"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row>
    <row r="691"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row>
    <row r="692"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row>
    <row r="693"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row>
    <row r="69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row>
    <row r="695"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row>
    <row r="696"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row>
    <row r="697"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row>
    <row r="698"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row>
    <row r="699"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row>
    <row r="700"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row>
    <row r="701"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row>
    <row r="702"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row>
    <row r="703"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row>
    <row r="70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row>
    <row r="705"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row>
    <row r="706"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row>
    <row r="707"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row>
    <row r="708"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row>
    <row r="709"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row>
    <row r="710"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row>
    <row r="711"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row>
    <row r="712"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row>
    <row r="713"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row>
    <row r="71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row>
    <row r="715"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row>
    <row r="716"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row>
    <row r="717"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row>
    <row r="718"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row>
    <row r="719"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row>
    <row r="720"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row>
    <row r="721"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row>
    <row r="722"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row>
    <row r="723"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row>
    <row r="72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row>
    <row r="725"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row>
    <row r="726"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row>
    <row r="727"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row>
    <row r="728"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row>
    <row r="729"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row>
    <row r="730"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row>
    <row r="731"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row>
    <row r="732"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row>
    <row r="733"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row>
    <row r="73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row>
    <row r="735"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row>
    <row r="736"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row>
    <row r="737"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row>
    <row r="738"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row>
    <row r="739"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row>
    <row r="740"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row>
    <row r="741"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row>
    <row r="742"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row>
    <row r="743"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row>
    <row r="7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row>
    <row r="745"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row>
    <row r="746"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row>
    <row r="747"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row>
    <row r="748"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row>
    <row r="749"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row>
    <row r="750"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row>
    <row r="751"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row>
    <row r="752"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row>
    <row r="753"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row>
    <row r="75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row>
    <row r="755"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row>
    <row r="756"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row>
    <row r="757"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row>
    <row r="758"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row>
    <row r="759"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row>
    <row r="760"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row>
    <row r="761"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row>
    <row r="762"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row>
    <row r="763"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row>
    <row r="76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row>
    <row r="765"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row>
    <row r="766"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row>
    <row r="767"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row>
    <row r="768"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row>
    <row r="769"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row>
    <row r="770"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row>
    <row r="771"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row>
    <row r="772"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row>
    <row r="773"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row>
    <row r="77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row>
    <row r="775"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row>
    <row r="776"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row>
    <row r="777"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row>
    <row r="778"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row>
    <row r="779"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row>
    <row r="780"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row>
    <row r="781"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row>
    <row r="782"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row>
    <row r="783"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row>
    <row r="78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row>
    <row r="785"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row>
    <row r="786"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row>
    <row r="787"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row>
    <row r="788"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row>
    <row r="789"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row>
    <row r="790"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row>
    <row r="791"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row>
    <row r="792"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row>
    <row r="793"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row>
    <row r="79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row>
    <row r="795"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row>
    <row r="796"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row>
    <row r="797"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row>
    <row r="798"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row>
    <row r="799"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row>
    <row r="800"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row>
    <row r="801"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row>
    <row r="802"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row>
    <row r="803"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row>
    <row r="80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row>
    <row r="805"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row>
    <row r="806"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row>
    <row r="807"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row>
    <row r="808"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row>
    <row r="809"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row>
    <row r="810"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row>
    <row r="811"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row>
    <row r="812"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row>
    <row r="813"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row>
    <row r="81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row>
    <row r="815"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row>
    <row r="816"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row>
    <row r="817"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row>
    <row r="818"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row>
    <row r="819"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row>
    <row r="820"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row>
    <row r="821"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row>
    <row r="822"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row>
    <row r="823"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row>
    <row r="82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row>
    <row r="825"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row>
    <row r="826"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row>
    <row r="827"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row>
    <row r="828"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row>
    <row r="829"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row>
    <row r="830"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row>
    <row r="831"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row>
    <row r="832"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row>
    <row r="833"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row>
    <row r="83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row>
    <row r="835"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row>
    <row r="836"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row>
    <row r="837"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row>
    <row r="838"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row>
    <row r="839"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row>
    <row r="840"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row>
    <row r="841"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row>
    <row r="842"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row>
    <row r="843"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row>
    <row r="8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row>
    <row r="845"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row>
    <row r="846"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row>
    <row r="847"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row>
    <row r="848"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row>
    <row r="849"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row>
    <row r="850"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row>
    <row r="851"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row>
    <row r="852"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row>
    <row r="853"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row>
    <row r="85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row>
    <row r="855"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row>
    <row r="856"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row>
    <row r="857"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row>
    <row r="858"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row>
    <row r="859"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row>
    <row r="860"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row>
    <row r="861"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row>
    <row r="862"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row>
    <row r="863"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row>
    <row r="86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row>
    <row r="865"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row>
    <row r="866"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row>
    <row r="867"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row>
    <row r="868"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row>
    <row r="869"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row>
    <row r="870"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row>
    <row r="871"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row>
    <row r="872"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row>
    <row r="873"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row>
    <row r="87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row>
    <row r="875"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row>
    <row r="876"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row>
    <row r="877"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row>
    <row r="878"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row>
    <row r="879"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row>
    <row r="880"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row>
    <row r="881"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row>
    <row r="882"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row>
    <row r="883"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row>
    <row r="88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row>
    <row r="885"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row>
    <row r="886"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row>
    <row r="887"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row>
    <row r="888"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row>
    <row r="889"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row>
    <row r="890"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row>
    <row r="891"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row>
    <row r="892"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row>
    <row r="893"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row>
    <row r="89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row>
    <row r="895"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row>
    <row r="896"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row>
    <row r="897"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row>
    <row r="898"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row>
    <row r="899"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row>
    <row r="900"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row>
    <row r="901"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row>
    <row r="902"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row>
    <row r="903"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row>
    <row r="90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row>
    <row r="905"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row>
    <row r="906"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row>
    <row r="907"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row>
    <row r="908"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row>
    <row r="909"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row>
    <row r="910"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row>
    <row r="911"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row>
    <row r="912"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row>
    <row r="913"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row>
    <row r="91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row>
    <row r="915"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row>
    <row r="916"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row>
    <row r="917"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row>
    <row r="918"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row>
    <row r="919"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row>
    <row r="920"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row>
    <row r="921"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row>
    <row r="922"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row>
    <row r="923"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row>
    <row r="92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row>
    <row r="925"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row>
    <row r="926"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row>
    <row r="927"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row>
    <row r="928"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row>
    <row r="929"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row>
    <row r="930"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row>
    <row r="931"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row>
    <row r="932"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row>
    <row r="933"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row>
    <row r="93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row>
    <row r="935"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row>
    <row r="936"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row>
    <row r="937"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row>
    <row r="938"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row>
    <row r="939"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row>
    <row r="940"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row>
    <row r="941"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row>
    <row r="942"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row>
    <row r="943"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row>
    <row r="9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row>
    <row r="945"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row>
    <row r="946"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row>
    <row r="947"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row>
    <row r="948"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row>
    <row r="949"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row>
    <row r="950"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row>
    <row r="951"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row>
    <row r="952"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row>
    <row r="953"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row>
    <row r="95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row>
    <row r="955"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row>
    <row r="956"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row>
    <row r="957"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row>
    <row r="958"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row>
    <row r="959"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row>
    <row r="960"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row>
    <row r="961"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row>
    <row r="962"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row>
    <row r="963"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row>
    <row r="96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row>
    <row r="965"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row>
    <row r="966"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row>
    <row r="967"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row>
    <row r="968"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row>
    <row r="969"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row>
    <row r="970"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row>
    <row r="971"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row>
    <row r="972"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row>
    <row r="973"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row>
    <row r="97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row>
    <row r="975"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row>
    <row r="976"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row>
    <row r="977"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row>
    <row r="978"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row>
    <row r="979"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row>
    <row r="980"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row>
    <row r="981"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row>
    <row r="982"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row>
    <row r="983"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row>
    <row r="98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row>
    <row r="985"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row>
    <row r="986"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row>
    <row r="987"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row>
    <row r="988"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row>
    <row r="989"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row>
    <row r="990"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row>
    <row r="991"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row>
    <row r="992"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row>
    <row r="993"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row>
    <row r="99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row>
    <row r="995"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row>
    <row r="996"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row>
    <row r="997"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row>
    <row r="998"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row>
    <row r="999"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row>
    <row r="1000"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row>
    <row r="1001" ht="15.75" customHeight="1">
      <c r="A1001" s="85"/>
      <c r="B1001" s="85"/>
      <c r="C1001" s="85"/>
      <c r="D1001" s="85"/>
      <c r="E1001" s="85"/>
      <c r="F1001" s="85"/>
      <c r="G1001" s="85"/>
      <c r="H1001" s="85"/>
      <c r="I1001" s="85"/>
      <c r="J1001" s="85"/>
      <c r="K1001" s="85"/>
      <c r="L1001" s="85"/>
      <c r="M1001" s="85"/>
      <c r="N1001" s="85"/>
      <c r="O1001" s="85"/>
      <c r="P1001" s="85"/>
      <c r="Q1001" s="85"/>
      <c r="R1001" s="85"/>
      <c r="S1001" s="85"/>
      <c r="T1001" s="85"/>
      <c r="U1001" s="85"/>
      <c r="V1001" s="85"/>
      <c r="W1001" s="85"/>
      <c r="X1001" s="85"/>
      <c r="Y1001" s="85"/>
      <c r="Z1001" s="85"/>
      <c r="AA1001" s="85"/>
      <c r="AB1001" s="85"/>
      <c r="AC1001" s="85"/>
      <c r="AD1001" s="85"/>
      <c r="AE1001" s="85"/>
      <c r="AF1001" s="85"/>
      <c r="AG1001" s="85"/>
      <c r="AH1001" s="85"/>
      <c r="AI1001" s="85"/>
      <c r="AJ1001" s="85"/>
    </row>
    <row r="1002" ht="15.75" customHeight="1">
      <c r="A1002" s="85"/>
      <c r="B1002" s="85"/>
      <c r="C1002" s="85"/>
      <c r="D1002" s="85"/>
      <c r="E1002" s="85"/>
      <c r="F1002" s="85"/>
      <c r="G1002" s="85"/>
      <c r="H1002" s="85"/>
      <c r="I1002" s="85"/>
      <c r="J1002" s="85"/>
      <c r="K1002" s="85"/>
      <c r="L1002" s="85"/>
      <c r="M1002" s="85"/>
      <c r="N1002" s="85"/>
      <c r="O1002" s="85"/>
      <c r="P1002" s="85"/>
      <c r="Q1002" s="85"/>
      <c r="R1002" s="85"/>
      <c r="S1002" s="85"/>
      <c r="T1002" s="85"/>
      <c r="U1002" s="85"/>
      <c r="V1002" s="85"/>
      <c r="W1002" s="85"/>
      <c r="X1002" s="85"/>
      <c r="Y1002" s="85"/>
      <c r="Z1002" s="85"/>
      <c r="AA1002" s="85"/>
      <c r="AB1002" s="85"/>
      <c r="AC1002" s="85"/>
      <c r="AD1002" s="85"/>
      <c r="AE1002" s="85"/>
      <c r="AF1002" s="85"/>
      <c r="AG1002" s="85"/>
      <c r="AH1002" s="85"/>
      <c r="AI1002" s="85"/>
      <c r="AJ1002" s="85"/>
    </row>
    <row r="1003" ht="15.75" customHeight="1">
      <c r="A1003" s="85"/>
      <c r="B1003" s="85"/>
      <c r="C1003" s="85"/>
      <c r="D1003" s="85"/>
      <c r="E1003" s="85"/>
      <c r="F1003" s="85"/>
      <c r="G1003" s="85"/>
      <c r="H1003" s="85"/>
      <c r="I1003" s="85"/>
      <c r="J1003" s="85"/>
      <c r="K1003" s="85"/>
      <c r="L1003" s="85"/>
      <c r="M1003" s="85"/>
      <c r="N1003" s="85"/>
      <c r="O1003" s="85"/>
      <c r="P1003" s="85"/>
      <c r="Q1003" s="85"/>
      <c r="R1003" s="85"/>
      <c r="S1003" s="85"/>
      <c r="T1003" s="85"/>
      <c r="U1003" s="85"/>
      <c r="V1003" s="85"/>
      <c r="W1003" s="85"/>
      <c r="X1003" s="85"/>
      <c r="Y1003" s="85"/>
      <c r="Z1003" s="85"/>
      <c r="AA1003" s="85"/>
      <c r="AB1003" s="85"/>
      <c r="AC1003" s="85"/>
      <c r="AD1003" s="85"/>
      <c r="AE1003" s="85"/>
      <c r="AF1003" s="85"/>
      <c r="AG1003" s="85"/>
      <c r="AH1003" s="85"/>
      <c r="AI1003" s="85"/>
      <c r="AJ1003" s="85"/>
    </row>
    <row r="1004" ht="15.75" customHeight="1">
      <c r="A1004" s="85"/>
      <c r="B1004" s="85"/>
      <c r="C1004" s="85"/>
      <c r="D1004" s="85"/>
      <c r="E1004" s="85"/>
      <c r="F1004" s="85"/>
      <c r="G1004" s="85"/>
      <c r="H1004" s="85"/>
      <c r="I1004" s="85"/>
      <c r="J1004" s="85"/>
      <c r="K1004" s="85"/>
      <c r="L1004" s="85"/>
      <c r="M1004" s="85"/>
      <c r="N1004" s="85"/>
      <c r="O1004" s="85"/>
      <c r="P1004" s="85"/>
      <c r="Q1004" s="85"/>
      <c r="R1004" s="85"/>
      <c r="S1004" s="85"/>
      <c r="T1004" s="85"/>
      <c r="U1004" s="85"/>
      <c r="V1004" s="85"/>
      <c r="W1004" s="85"/>
      <c r="X1004" s="85"/>
      <c r="Y1004" s="85"/>
      <c r="Z1004" s="85"/>
      <c r="AA1004" s="85"/>
      <c r="AB1004" s="85"/>
      <c r="AC1004" s="85"/>
      <c r="AD1004" s="85"/>
      <c r="AE1004" s="85"/>
      <c r="AF1004" s="85"/>
      <c r="AG1004" s="85"/>
      <c r="AH1004" s="85"/>
      <c r="AI1004" s="85"/>
      <c r="AJ1004" s="85"/>
    </row>
    <row r="1005" ht="15.75" customHeight="1">
      <c r="A1005" s="85"/>
      <c r="B1005" s="85"/>
      <c r="C1005" s="85"/>
      <c r="D1005" s="85"/>
      <c r="E1005" s="85"/>
      <c r="F1005" s="85"/>
      <c r="G1005" s="85"/>
      <c r="H1005" s="85"/>
      <c r="I1005" s="85"/>
      <c r="J1005" s="85"/>
      <c r="K1005" s="85"/>
      <c r="L1005" s="85"/>
      <c r="M1005" s="85"/>
      <c r="N1005" s="85"/>
      <c r="O1005" s="85"/>
      <c r="P1005" s="85"/>
      <c r="Q1005" s="85"/>
      <c r="R1005" s="85"/>
      <c r="S1005" s="85"/>
      <c r="T1005" s="85"/>
      <c r="U1005" s="85"/>
      <c r="V1005" s="85"/>
      <c r="W1005" s="85"/>
      <c r="X1005" s="85"/>
      <c r="Y1005" s="85"/>
      <c r="Z1005" s="85"/>
      <c r="AA1005" s="85"/>
      <c r="AB1005" s="85"/>
      <c r="AC1005" s="85"/>
      <c r="AD1005" s="85"/>
      <c r="AE1005" s="85"/>
      <c r="AF1005" s="85"/>
      <c r="AG1005" s="85"/>
      <c r="AH1005" s="85"/>
      <c r="AI1005" s="85"/>
      <c r="AJ1005" s="85"/>
    </row>
    <row r="1006" ht="15.75" customHeight="1">
      <c r="A1006" s="85"/>
      <c r="B1006" s="85"/>
      <c r="C1006" s="85"/>
      <c r="D1006" s="85"/>
      <c r="E1006" s="85"/>
      <c r="F1006" s="85"/>
      <c r="G1006" s="85"/>
      <c r="H1006" s="85"/>
      <c r="I1006" s="85"/>
      <c r="J1006" s="85"/>
      <c r="K1006" s="85"/>
      <c r="L1006" s="85"/>
      <c r="M1006" s="85"/>
      <c r="N1006" s="85"/>
      <c r="O1006" s="85"/>
      <c r="P1006" s="85"/>
      <c r="Q1006" s="85"/>
      <c r="R1006" s="85"/>
      <c r="S1006" s="85"/>
      <c r="T1006" s="85"/>
      <c r="U1006" s="85"/>
      <c r="V1006" s="85"/>
      <c r="W1006" s="85"/>
      <c r="X1006" s="85"/>
      <c r="Y1006" s="85"/>
      <c r="Z1006" s="85"/>
      <c r="AA1006" s="85"/>
      <c r="AB1006" s="85"/>
      <c r="AC1006" s="85"/>
      <c r="AD1006" s="85"/>
      <c r="AE1006" s="85"/>
      <c r="AF1006" s="85"/>
      <c r="AG1006" s="85"/>
      <c r="AH1006" s="85"/>
      <c r="AI1006" s="85"/>
      <c r="AJ1006" s="85"/>
    </row>
    <row r="1007" ht="15.75" customHeight="1">
      <c r="A1007" s="85"/>
      <c r="B1007" s="85"/>
      <c r="C1007" s="85"/>
      <c r="D1007" s="85"/>
      <c r="E1007" s="85"/>
      <c r="F1007" s="85"/>
      <c r="G1007" s="85"/>
      <c r="H1007" s="85"/>
      <c r="I1007" s="85"/>
      <c r="J1007" s="85"/>
      <c r="K1007" s="85"/>
      <c r="L1007" s="85"/>
      <c r="M1007" s="85"/>
      <c r="N1007" s="85"/>
      <c r="O1007" s="85"/>
      <c r="P1007" s="85"/>
      <c r="Q1007" s="85"/>
      <c r="R1007" s="85"/>
      <c r="S1007" s="85"/>
      <c r="T1007" s="85"/>
      <c r="U1007" s="85"/>
      <c r="V1007" s="85"/>
      <c r="W1007" s="85"/>
      <c r="X1007" s="85"/>
      <c r="Y1007" s="85"/>
      <c r="Z1007" s="85"/>
      <c r="AA1007" s="85"/>
      <c r="AB1007" s="85"/>
      <c r="AC1007" s="85"/>
      <c r="AD1007" s="85"/>
      <c r="AE1007" s="85"/>
      <c r="AF1007" s="85"/>
      <c r="AG1007" s="85"/>
      <c r="AH1007" s="85"/>
      <c r="AI1007" s="85"/>
      <c r="AJ1007" s="85"/>
    </row>
  </sheetData>
  <mergeCells count="37">
    <mergeCell ref="E5:G6"/>
    <mergeCell ref="F8:F31"/>
    <mergeCell ref="C15:D15"/>
    <mergeCell ref="C19:D19"/>
    <mergeCell ref="C36:E36"/>
    <mergeCell ref="Z4:AE7"/>
    <mergeCell ref="Z8:AE12"/>
    <mergeCell ref="Z14:AE17"/>
    <mergeCell ref="Z19:AE24"/>
    <mergeCell ref="Z26:AE31"/>
    <mergeCell ref="C3:D3"/>
    <mergeCell ref="E3:G3"/>
    <mergeCell ref="J3:O5"/>
    <mergeCell ref="C5:D6"/>
    <mergeCell ref="R5:T5"/>
    <mergeCell ref="H8:J8"/>
    <mergeCell ref="H9:J9"/>
    <mergeCell ref="C10:D11"/>
    <mergeCell ref="N7:Q8"/>
    <mergeCell ref="N9:Q9"/>
    <mergeCell ref="N13:O13"/>
    <mergeCell ref="N15:O15"/>
    <mergeCell ref="N17:O17"/>
    <mergeCell ref="T18:V18"/>
    <mergeCell ref="N20:O20"/>
    <mergeCell ref="O30:Q30"/>
    <mergeCell ref="O31:Q31"/>
    <mergeCell ref="O33:Q33"/>
    <mergeCell ref="O35:R35"/>
    <mergeCell ref="H36:L36"/>
    <mergeCell ref="N21:O22"/>
    <mergeCell ref="N23:O23"/>
    <mergeCell ref="T26:V26"/>
    <mergeCell ref="T27:U27"/>
    <mergeCell ref="H29:K29"/>
    <mergeCell ref="O29:Q29"/>
    <mergeCell ref="H31:K31"/>
  </mergeCells>
  <conditionalFormatting sqref="D25">
    <cfRule type="cellIs" dxfId="0" priority="1" operator="lessThan">
      <formula>1</formula>
    </cfRule>
  </conditionalFormatting>
  <conditionalFormatting sqref="D25">
    <cfRule type="cellIs" dxfId="1" priority="2" operator="greaterThan">
      <formula>1</formula>
    </cfRule>
  </conditionalFormatting>
  <conditionalFormatting sqref="J3:O5">
    <cfRule type="cellIs" dxfId="0" priority="3" operator="equal">
      <formula>"Cashflow Negative"</formula>
    </cfRule>
  </conditionalFormatting>
  <conditionalFormatting sqref="J3:O5">
    <cfRule type="cellIs" dxfId="1" priority="4" operator="equal">
      <formula>"Cashflow Positive"</formula>
    </cfRule>
  </conditionalFormatting>
  <conditionalFormatting sqref="N9:Q9">
    <cfRule type="cellIs" dxfId="0" priority="5" operator="lessThan">
      <formula>0</formula>
    </cfRule>
  </conditionalFormatting>
  <conditionalFormatting sqref="N9:Q9">
    <cfRule type="cellIs" dxfId="2" priority="6" operator="greaterThan">
      <formula>1</formula>
    </cfRule>
  </conditionalFormatting>
  <conditionalFormatting sqref="Z4:AE7">
    <cfRule type="expression" dxfId="3" priority="7">
      <formula>if(V3="No",True)</formula>
    </cfRule>
  </conditionalFormatting>
  <conditionalFormatting sqref="Z8:AE12">
    <cfRule type="expression" dxfId="3" priority="8">
      <formula>if(V3="No",True)</formula>
    </cfRule>
  </conditionalFormatting>
  <conditionalFormatting sqref="Z14:AE17">
    <cfRule type="expression" dxfId="3" priority="9">
      <formula>if(V3="No",True)</formula>
    </cfRule>
  </conditionalFormatting>
  <conditionalFormatting sqref="Z19:AE24">
    <cfRule type="expression" dxfId="3" priority="10">
      <formula>if(V3="No",True)</formula>
    </cfRule>
  </conditionalFormatting>
  <conditionalFormatting sqref="Z26:AE31">
    <cfRule type="expression" dxfId="3" priority="11">
      <formula>if(V3="No",True)</formula>
    </cfRule>
  </conditionalFormatting>
  <conditionalFormatting sqref="Q3">
    <cfRule type="expression" dxfId="1" priority="12">
      <formula>if(D25&gt;1,True)</formula>
    </cfRule>
  </conditionalFormatting>
  <conditionalFormatting sqref="Q5">
    <cfRule type="expression" dxfId="1" priority="13">
      <formula>if(D25&gt;1,True)</formula>
    </cfRule>
  </conditionalFormatting>
  <dataValidations>
    <dataValidation type="list" allowBlank="1" showErrorMessage="1" sqref="V3">
      <formula1>'Cycle Model'!$AI$3:$AI$4</formula1>
    </dataValidation>
  </dataValidations>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86"/>
    <col customWidth="1" min="2" max="2" width="2.0"/>
    <col customWidth="1" min="3" max="3" width="3.43"/>
    <col customWidth="1" min="4" max="4" width="16.0"/>
    <col customWidth="1" min="5" max="16" width="15.57"/>
    <col customWidth="1" min="17" max="17" width="2.57"/>
    <col customWidth="1" min="18" max="18" width="14.29"/>
    <col customWidth="1" min="19" max="19" width="2.43"/>
    <col customWidth="1" min="20" max="20" width="2.14"/>
    <col customWidth="1" min="21" max="21" width="2.43"/>
  </cols>
  <sheetData>
    <row r="1" ht="8.25" customHeight="1">
      <c r="A1" s="151"/>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c r="AB1" s="152"/>
      <c r="AC1" s="152"/>
      <c r="AD1" s="152"/>
      <c r="AE1" s="152"/>
      <c r="AF1" s="152"/>
      <c r="AG1" s="152"/>
      <c r="AH1" s="152"/>
    </row>
    <row r="2" ht="11.25" customHeight="1">
      <c r="A2" s="151"/>
      <c r="B2" s="152"/>
      <c r="C2" s="152"/>
      <c r="D2" s="152"/>
      <c r="E2" s="152"/>
      <c r="F2" s="152"/>
      <c r="G2" s="152"/>
      <c r="H2" s="152"/>
      <c r="I2" s="152"/>
      <c r="J2" s="152"/>
      <c r="K2" s="152"/>
      <c r="L2" s="152"/>
      <c r="M2" s="152"/>
      <c r="N2" s="152"/>
      <c r="O2" s="152"/>
      <c r="P2" s="152"/>
      <c r="Q2" s="152"/>
      <c r="R2" s="152"/>
      <c r="S2" s="152"/>
      <c r="T2" s="152"/>
      <c r="U2" s="151"/>
      <c r="V2" s="151"/>
      <c r="W2" s="151"/>
      <c r="X2" s="151"/>
      <c r="Y2" s="151"/>
      <c r="Z2" s="151"/>
      <c r="AA2" s="152"/>
      <c r="AB2" s="152"/>
      <c r="AC2" s="152"/>
      <c r="AD2" s="152"/>
      <c r="AE2" s="152"/>
      <c r="AF2" s="152"/>
      <c r="AG2" s="152"/>
      <c r="AH2" s="152"/>
    </row>
    <row r="3">
      <c r="A3" s="151"/>
      <c r="B3" s="152"/>
      <c r="C3" s="151"/>
      <c r="D3" s="151"/>
      <c r="E3" s="151"/>
      <c r="F3" s="151"/>
      <c r="G3" s="151"/>
      <c r="H3" s="151"/>
      <c r="I3" s="151"/>
      <c r="J3" s="151"/>
      <c r="K3" s="151"/>
      <c r="L3" s="151"/>
      <c r="M3" s="151"/>
      <c r="N3" s="151"/>
      <c r="O3" s="151"/>
      <c r="P3" s="151"/>
      <c r="Q3" s="151"/>
      <c r="R3" s="151"/>
      <c r="S3" s="151"/>
      <c r="T3" s="152"/>
      <c r="U3" s="151"/>
      <c r="V3" s="151"/>
      <c r="W3" s="151"/>
      <c r="X3" s="151"/>
      <c r="Y3" s="151"/>
      <c r="Z3" s="151"/>
      <c r="AA3" s="152"/>
      <c r="AB3" s="152"/>
      <c r="AC3" s="152"/>
      <c r="AD3" s="152"/>
      <c r="AE3" s="152"/>
      <c r="AF3" s="152"/>
      <c r="AG3" s="152"/>
      <c r="AH3" s="152"/>
    </row>
    <row r="4">
      <c r="A4" s="151"/>
      <c r="B4" s="152"/>
      <c r="C4" s="151"/>
      <c r="D4" s="153" t="s">
        <v>52</v>
      </c>
      <c r="F4" s="154"/>
      <c r="G4" s="154"/>
      <c r="H4" s="155" t="s">
        <v>53</v>
      </c>
      <c r="J4" s="156">
        <f>G6-E6</f>
        <v>1</v>
      </c>
      <c r="K4" s="154"/>
      <c r="L4" s="157" t="s">
        <v>54</v>
      </c>
      <c r="N4" s="158">
        <f>(G6-E6)/E6</f>
        <v>1</v>
      </c>
      <c r="O4" s="151"/>
      <c r="P4" s="151"/>
      <c r="Q4" s="151"/>
      <c r="R4" s="151"/>
      <c r="S4" s="151"/>
      <c r="T4" s="152"/>
      <c r="U4" s="151"/>
      <c r="V4" s="151"/>
      <c r="W4" s="151"/>
      <c r="X4" s="151"/>
      <c r="Y4" s="151"/>
      <c r="Z4" s="151"/>
      <c r="AA4" s="152"/>
      <c r="AB4" s="152"/>
      <c r="AC4" s="152"/>
      <c r="AD4" s="152"/>
      <c r="AE4" s="152"/>
      <c r="AF4" s="152"/>
      <c r="AG4" s="152"/>
      <c r="AH4" s="152"/>
    </row>
    <row r="5">
      <c r="A5" s="151"/>
      <c r="B5" s="152"/>
      <c r="C5" s="151"/>
      <c r="D5" s="154"/>
      <c r="E5" s="154"/>
      <c r="F5" s="154"/>
      <c r="G5" s="154"/>
      <c r="H5" s="154"/>
      <c r="I5" s="154"/>
      <c r="J5" s="154"/>
      <c r="K5" s="154"/>
      <c r="L5" s="157" t="s">
        <v>55</v>
      </c>
      <c r="N5" s="158">
        <f>(G6-E6)/G6</f>
        <v>0.5</v>
      </c>
      <c r="O5" s="151"/>
      <c r="P5" s="151"/>
      <c r="Q5" s="151"/>
      <c r="R5" s="151"/>
      <c r="S5" s="151"/>
      <c r="T5" s="152"/>
      <c r="U5" s="151"/>
      <c r="V5" s="151"/>
      <c r="W5" s="151"/>
      <c r="X5" s="151"/>
      <c r="Y5" s="151"/>
      <c r="Z5" s="151"/>
      <c r="AA5" s="152"/>
      <c r="AB5" s="152"/>
      <c r="AC5" s="152"/>
      <c r="AD5" s="152"/>
      <c r="AE5" s="152"/>
      <c r="AF5" s="152"/>
      <c r="AG5" s="152"/>
      <c r="AH5" s="152"/>
    </row>
    <row r="6" ht="20.25" customHeight="1">
      <c r="A6" s="151"/>
      <c r="B6" s="152"/>
      <c r="C6" s="151"/>
      <c r="D6" s="154" t="s">
        <v>56</v>
      </c>
      <c r="E6" s="159">
        <v>1.0</v>
      </c>
      <c r="F6" s="154" t="s">
        <v>57</v>
      </c>
      <c r="G6" s="159">
        <v>2.0</v>
      </c>
      <c r="H6" s="155" t="s">
        <v>58</v>
      </c>
      <c r="J6" s="160">
        <v>50.0</v>
      </c>
      <c r="K6" s="151"/>
      <c r="L6" s="151"/>
      <c r="M6" s="151"/>
      <c r="N6" s="151"/>
      <c r="O6" s="151"/>
      <c r="P6" s="151"/>
      <c r="Q6" s="151"/>
      <c r="R6" s="151"/>
      <c r="S6" s="151"/>
      <c r="T6" s="152"/>
      <c r="U6" s="151"/>
      <c r="V6" s="151"/>
      <c r="W6" s="151"/>
      <c r="X6" s="151"/>
      <c r="Y6" s="151"/>
      <c r="Z6" s="151"/>
      <c r="AA6" s="152"/>
      <c r="AB6" s="152"/>
      <c r="AC6" s="152"/>
      <c r="AD6" s="152"/>
      <c r="AE6" s="152"/>
      <c r="AF6" s="152"/>
      <c r="AG6" s="152"/>
      <c r="AH6" s="152"/>
    </row>
    <row r="7">
      <c r="A7" s="151"/>
      <c r="B7" s="152"/>
      <c r="C7" s="151"/>
      <c r="D7" s="151"/>
      <c r="E7" s="151"/>
      <c r="F7" s="151"/>
      <c r="G7" s="151"/>
      <c r="H7" s="151"/>
      <c r="I7" s="151"/>
      <c r="J7" s="151"/>
      <c r="K7" s="151"/>
      <c r="L7" s="151"/>
      <c r="M7" s="151"/>
      <c r="N7" s="151"/>
      <c r="O7" s="151"/>
      <c r="P7" s="151"/>
      <c r="Q7" s="151"/>
      <c r="R7" s="151"/>
      <c r="S7" s="151"/>
      <c r="T7" s="152"/>
      <c r="U7" s="151"/>
      <c r="V7" s="151"/>
      <c r="W7" s="151"/>
      <c r="X7" s="151"/>
      <c r="Y7" s="151"/>
      <c r="Z7" s="151"/>
      <c r="AA7" s="152"/>
      <c r="AB7" s="152"/>
      <c r="AC7" s="152"/>
      <c r="AD7" s="152"/>
      <c r="AE7" s="152"/>
      <c r="AF7" s="152"/>
      <c r="AG7" s="152"/>
      <c r="AH7" s="152"/>
    </row>
    <row r="8" ht="26.25" customHeight="1">
      <c r="A8" s="151"/>
      <c r="B8" s="152"/>
      <c r="C8" s="151"/>
      <c r="D8" s="155"/>
      <c r="E8" s="155" t="s">
        <v>59</v>
      </c>
      <c r="F8" s="155" t="s">
        <v>60</v>
      </c>
      <c r="G8" s="155" t="s">
        <v>61</v>
      </c>
      <c r="H8" s="155" t="s">
        <v>62</v>
      </c>
      <c r="I8" s="155" t="s">
        <v>63</v>
      </c>
      <c r="J8" s="155" t="s">
        <v>64</v>
      </c>
      <c r="K8" s="155" t="s">
        <v>65</v>
      </c>
      <c r="L8" s="155" t="s">
        <v>66</v>
      </c>
      <c r="M8" s="155" t="s">
        <v>67</v>
      </c>
      <c r="N8" s="155" t="s">
        <v>68</v>
      </c>
      <c r="O8" s="155" t="s">
        <v>69</v>
      </c>
      <c r="P8" s="155" t="s">
        <v>70</v>
      </c>
      <c r="Q8" s="151"/>
      <c r="R8" s="151"/>
      <c r="S8" s="151"/>
      <c r="T8" s="152"/>
      <c r="U8" s="151"/>
      <c r="V8" s="151"/>
      <c r="W8" s="151"/>
      <c r="X8" s="151"/>
      <c r="Y8" s="151"/>
      <c r="Z8" s="151"/>
      <c r="AA8" s="152"/>
      <c r="AB8" s="152"/>
      <c r="AC8" s="152"/>
      <c r="AD8" s="152"/>
      <c r="AE8" s="152"/>
      <c r="AF8" s="152"/>
      <c r="AG8" s="152"/>
      <c r="AH8" s="152"/>
    </row>
    <row r="9" ht="26.25" customHeight="1">
      <c r="A9" s="151"/>
      <c r="B9" s="152"/>
      <c r="C9" s="151"/>
      <c r="D9" s="154" t="s">
        <v>71</v>
      </c>
      <c r="E9" s="160">
        <v>125.0</v>
      </c>
      <c r="F9" s="151">
        <f>E14+(E13-E11)</f>
        <v>75</v>
      </c>
      <c r="G9" s="151">
        <f t="shared" ref="G9:P9" si="1">F9+F14+(F13-F11)</f>
        <v>100</v>
      </c>
      <c r="H9" s="151">
        <f t="shared" si="1"/>
        <v>150</v>
      </c>
      <c r="I9" s="151">
        <f t="shared" si="1"/>
        <v>250</v>
      </c>
      <c r="J9" s="151">
        <f t="shared" si="1"/>
        <v>450</v>
      </c>
      <c r="K9" s="151">
        <f t="shared" si="1"/>
        <v>850</v>
      </c>
      <c r="L9" s="151">
        <f t="shared" si="1"/>
        <v>1650</v>
      </c>
      <c r="M9" s="151">
        <f t="shared" si="1"/>
        <v>3250</v>
      </c>
      <c r="N9" s="151">
        <f t="shared" si="1"/>
        <v>6450</v>
      </c>
      <c r="O9" s="151">
        <f t="shared" si="1"/>
        <v>12850</v>
      </c>
      <c r="P9" s="151">
        <f t="shared" si="1"/>
        <v>25650</v>
      </c>
      <c r="Q9" s="151"/>
      <c r="R9" s="161"/>
      <c r="S9" s="151"/>
      <c r="T9" s="152"/>
      <c r="U9" s="151"/>
      <c r="V9" s="151"/>
      <c r="W9" s="151"/>
      <c r="X9" s="151"/>
      <c r="Y9" s="151"/>
      <c r="Z9" s="151"/>
      <c r="AA9" s="152"/>
      <c r="AB9" s="152"/>
      <c r="AC9" s="152"/>
      <c r="AD9" s="152"/>
      <c r="AE9" s="152"/>
      <c r="AF9" s="152"/>
      <c r="AG9" s="152"/>
      <c r="AH9" s="152"/>
    </row>
    <row r="10" ht="26.25" customHeight="1">
      <c r="A10" s="151"/>
      <c r="B10" s="152"/>
      <c r="C10" s="151"/>
      <c r="D10" s="154" t="s">
        <v>72</v>
      </c>
      <c r="E10" s="162">
        <f>E9/$E$6</f>
        <v>125</v>
      </c>
      <c r="F10" s="162">
        <f t="shared" ref="F10:P10" si="2">if(F9&lt;0,0,F9/$E$6)</f>
        <v>75</v>
      </c>
      <c r="G10" s="162">
        <f t="shared" si="2"/>
        <v>100</v>
      </c>
      <c r="H10" s="162">
        <f t="shared" si="2"/>
        <v>150</v>
      </c>
      <c r="I10" s="162">
        <f t="shared" si="2"/>
        <v>250</v>
      </c>
      <c r="J10" s="162">
        <f t="shared" si="2"/>
        <v>450</v>
      </c>
      <c r="K10" s="162">
        <f t="shared" si="2"/>
        <v>850</v>
      </c>
      <c r="L10" s="162">
        <f t="shared" si="2"/>
        <v>1650</v>
      </c>
      <c r="M10" s="162">
        <f t="shared" si="2"/>
        <v>3250</v>
      </c>
      <c r="N10" s="162">
        <f t="shared" si="2"/>
        <v>6450</v>
      </c>
      <c r="O10" s="162">
        <f t="shared" si="2"/>
        <v>12850</v>
      </c>
      <c r="P10" s="162">
        <f t="shared" si="2"/>
        <v>25650</v>
      </c>
      <c r="Q10" s="151"/>
      <c r="R10" s="163">
        <f t="shared" ref="R10:R14" si="4">sum(E10:P10)</f>
        <v>51850</v>
      </c>
      <c r="S10" s="151"/>
      <c r="T10" s="152"/>
      <c r="U10" s="151"/>
      <c r="V10" s="151"/>
      <c r="W10" s="151"/>
      <c r="X10" s="151"/>
      <c r="Y10" s="151"/>
      <c r="Z10" s="151"/>
      <c r="AA10" s="152"/>
      <c r="AB10" s="152"/>
      <c r="AC10" s="152"/>
      <c r="AD10" s="152"/>
      <c r="AE10" s="152"/>
      <c r="AF10" s="152"/>
      <c r="AG10" s="152"/>
      <c r="AH10" s="152"/>
    </row>
    <row r="11" ht="26.25" customHeight="1">
      <c r="A11" s="151"/>
      <c r="B11" s="152"/>
      <c r="C11" s="151"/>
      <c r="D11" s="154" t="s">
        <v>73</v>
      </c>
      <c r="E11" s="164">
        <f t="shared" ref="E11:P11" si="3">E10*$E$6</f>
        <v>125</v>
      </c>
      <c r="F11" s="164">
        <f t="shared" si="3"/>
        <v>75</v>
      </c>
      <c r="G11" s="164">
        <f t="shared" si="3"/>
        <v>100</v>
      </c>
      <c r="H11" s="164">
        <f t="shared" si="3"/>
        <v>150</v>
      </c>
      <c r="I11" s="164">
        <f t="shared" si="3"/>
        <v>250</v>
      </c>
      <c r="J11" s="164">
        <f t="shared" si="3"/>
        <v>450</v>
      </c>
      <c r="K11" s="164">
        <f t="shared" si="3"/>
        <v>850</v>
      </c>
      <c r="L11" s="164">
        <f t="shared" si="3"/>
        <v>1650</v>
      </c>
      <c r="M11" s="164">
        <f t="shared" si="3"/>
        <v>3250</v>
      </c>
      <c r="N11" s="164">
        <f t="shared" si="3"/>
        <v>6450</v>
      </c>
      <c r="O11" s="164">
        <f t="shared" si="3"/>
        <v>12850</v>
      </c>
      <c r="P11" s="164">
        <f t="shared" si="3"/>
        <v>25650</v>
      </c>
      <c r="Q11" s="151"/>
      <c r="R11" s="165">
        <f t="shared" si="4"/>
        <v>51850</v>
      </c>
      <c r="S11" s="151"/>
      <c r="T11" s="152"/>
      <c r="U11" s="151"/>
      <c r="V11" s="151"/>
      <c r="W11" s="151"/>
      <c r="X11" s="151"/>
      <c r="Y11" s="151"/>
      <c r="Z11" s="151"/>
      <c r="AA11" s="152"/>
      <c r="AB11" s="152"/>
      <c r="AC11" s="152"/>
      <c r="AD11" s="152"/>
      <c r="AE11" s="152"/>
      <c r="AF11" s="152"/>
      <c r="AG11" s="152"/>
      <c r="AH11" s="152"/>
    </row>
    <row r="12" ht="26.25" customHeight="1">
      <c r="A12" s="151"/>
      <c r="B12" s="152"/>
      <c r="C12" s="151"/>
      <c r="D12" s="154" t="s">
        <v>74</v>
      </c>
      <c r="E12" s="151">
        <f t="shared" ref="E12:P12" si="5">E10*$G$6</f>
        <v>250</v>
      </c>
      <c r="F12" s="151">
        <f t="shared" si="5"/>
        <v>150</v>
      </c>
      <c r="G12" s="151">
        <f t="shared" si="5"/>
        <v>200</v>
      </c>
      <c r="H12" s="151">
        <f t="shared" si="5"/>
        <v>300</v>
      </c>
      <c r="I12" s="151">
        <f t="shared" si="5"/>
        <v>500</v>
      </c>
      <c r="J12" s="151">
        <f t="shared" si="5"/>
        <v>900</v>
      </c>
      <c r="K12" s="151">
        <f t="shared" si="5"/>
        <v>1700</v>
      </c>
      <c r="L12" s="151">
        <f t="shared" si="5"/>
        <v>3300</v>
      </c>
      <c r="M12" s="151">
        <f t="shared" si="5"/>
        <v>6500</v>
      </c>
      <c r="N12" s="151">
        <f t="shared" si="5"/>
        <v>12900</v>
      </c>
      <c r="O12" s="151">
        <f t="shared" si="5"/>
        <v>25700</v>
      </c>
      <c r="P12" s="151">
        <f t="shared" si="5"/>
        <v>51300</v>
      </c>
      <c r="Q12" s="151"/>
      <c r="R12" s="161">
        <f t="shared" si="4"/>
        <v>103700</v>
      </c>
      <c r="S12" s="151"/>
      <c r="T12" s="152"/>
      <c r="U12" s="151"/>
      <c r="V12" s="151"/>
      <c r="W12" s="151"/>
      <c r="X12" s="151"/>
      <c r="Y12" s="151"/>
      <c r="Z12" s="151"/>
      <c r="AA12" s="152"/>
      <c r="AB12" s="152"/>
      <c r="AC12" s="152"/>
      <c r="AD12" s="152"/>
      <c r="AE12" s="152"/>
      <c r="AF12" s="152"/>
      <c r="AG12" s="152"/>
      <c r="AH12" s="152"/>
    </row>
    <row r="13" ht="26.25" customHeight="1">
      <c r="A13" s="151"/>
      <c r="B13" s="152"/>
      <c r="C13" s="151"/>
      <c r="D13" s="154" t="s">
        <v>75</v>
      </c>
      <c r="E13" s="151">
        <f t="shared" ref="E13:P13" si="6">E12</f>
        <v>250</v>
      </c>
      <c r="F13" s="151">
        <f t="shared" si="6"/>
        <v>150</v>
      </c>
      <c r="G13" s="151">
        <f t="shared" si="6"/>
        <v>200</v>
      </c>
      <c r="H13" s="151">
        <f t="shared" si="6"/>
        <v>300</v>
      </c>
      <c r="I13" s="151">
        <f t="shared" si="6"/>
        <v>500</v>
      </c>
      <c r="J13" s="151">
        <f t="shared" si="6"/>
        <v>900</v>
      </c>
      <c r="K13" s="151">
        <f t="shared" si="6"/>
        <v>1700</v>
      </c>
      <c r="L13" s="151">
        <f t="shared" si="6"/>
        <v>3300</v>
      </c>
      <c r="M13" s="151">
        <f t="shared" si="6"/>
        <v>6500</v>
      </c>
      <c r="N13" s="151">
        <f t="shared" si="6"/>
        <v>12900</v>
      </c>
      <c r="O13" s="151">
        <f t="shared" si="6"/>
        <v>25700</v>
      </c>
      <c r="P13" s="151">
        <f t="shared" si="6"/>
        <v>51300</v>
      </c>
      <c r="Q13" s="151"/>
      <c r="R13" s="161">
        <f t="shared" si="4"/>
        <v>103700</v>
      </c>
      <c r="S13" s="151"/>
      <c r="T13" s="152"/>
      <c r="U13" s="151"/>
      <c r="V13" s="151"/>
      <c r="W13" s="151"/>
      <c r="X13" s="151"/>
      <c r="Y13" s="151"/>
      <c r="Z13" s="151"/>
      <c r="AA13" s="152"/>
      <c r="AB13" s="152"/>
      <c r="AC13" s="152"/>
      <c r="AD13" s="152"/>
      <c r="AE13" s="152"/>
      <c r="AF13" s="152"/>
      <c r="AG13" s="152"/>
      <c r="AH13" s="152"/>
    </row>
    <row r="14" ht="26.25" customHeight="1">
      <c r="A14" s="151"/>
      <c r="B14" s="152"/>
      <c r="C14" s="151"/>
      <c r="D14" s="154" t="s">
        <v>76</v>
      </c>
      <c r="E14" s="166">
        <f t="shared" ref="E14:P14" si="7">-$J$6</f>
        <v>-50</v>
      </c>
      <c r="F14" s="166">
        <f t="shared" si="7"/>
        <v>-50</v>
      </c>
      <c r="G14" s="166">
        <f t="shared" si="7"/>
        <v>-50</v>
      </c>
      <c r="H14" s="166">
        <f t="shared" si="7"/>
        <v>-50</v>
      </c>
      <c r="I14" s="166">
        <f t="shared" si="7"/>
        <v>-50</v>
      </c>
      <c r="J14" s="166">
        <f t="shared" si="7"/>
        <v>-50</v>
      </c>
      <c r="K14" s="166">
        <f t="shared" si="7"/>
        <v>-50</v>
      </c>
      <c r="L14" s="166">
        <f t="shared" si="7"/>
        <v>-50</v>
      </c>
      <c r="M14" s="166">
        <f t="shared" si="7"/>
        <v>-50</v>
      </c>
      <c r="N14" s="166">
        <f t="shared" si="7"/>
        <v>-50</v>
      </c>
      <c r="O14" s="166">
        <f t="shared" si="7"/>
        <v>-50</v>
      </c>
      <c r="P14" s="166">
        <f t="shared" si="7"/>
        <v>-50</v>
      </c>
      <c r="Q14" s="151"/>
      <c r="R14" s="161">
        <f t="shared" si="4"/>
        <v>-600</v>
      </c>
      <c r="S14" s="151"/>
      <c r="T14" s="152"/>
      <c r="U14" s="151"/>
      <c r="V14" s="151"/>
      <c r="W14" s="151"/>
      <c r="X14" s="151"/>
      <c r="Y14" s="151"/>
      <c r="Z14" s="151"/>
      <c r="AA14" s="152"/>
      <c r="AB14" s="152"/>
      <c r="AC14" s="152"/>
      <c r="AD14" s="152"/>
      <c r="AE14" s="152"/>
      <c r="AF14" s="152"/>
      <c r="AG14" s="152"/>
      <c r="AH14" s="152"/>
    </row>
    <row r="15" ht="22.5" customHeight="1">
      <c r="A15" s="151"/>
      <c r="B15" s="152"/>
      <c r="C15" s="151"/>
      <c r="D15" s="151"/>
      <c r="E15" s="151"/>
      <c r="F15" s="151"/>
      <c r="G15" s="151"/>
      <c r="H15" s="151"/>
      <c r="I15" s="151"/>
      <c r="J15" s="151"/>
      <c r="K15" s="151"/>
      <c r="L15" s="151"/>
      <c r="M15" s="151"/>
      <c r="N15" s="151"/>
      <c r="O15" s="167" t="s">
        <v>77</v>
      </c>
      <c r="P15" s="168"/>
      <c r="Q15" s="169"/>
      <c r="R15" s="170">
        <f>R14+(R12-R11)</f>
        <v>51250</v>
      </c>
      <c r="S15" s="151"/>
      <c r="T15" s="152"/>
      <c r="U15" s="151"/>
      <c r="V15" s="151"/>
      <c r="W15" s="151"/>
      <c r="X15" s="151"/>
      <c r="Y15" s="151"/>
      <c r="Z15" s="151"/>
      <c r="AA15" s="152"/>
      <c r="AB15" s="152"/>
      <c r="AC15" s="152"/>
      <c r="AD15" s="152"/>
      <c r="AE15" s="152"/>
      <c r="AF15" s="152"/>
      <c r="AG15" s="152"/>
      <c r="AH15" s="152"/>
    </row>
    <row r="16" ht="12.0" customHeight="1">
      <c r="A16" s="151"/>
      <c r="B16" s="152"/>
      <c r="C16" s="151"/>
      <c r="D16" s="151"/>
      <c r="E16" s="151"/>
      <c r="F16" s="151"/>
      <c r="G16" s="151"/>
      <c r="H16" s="151"/>
      <c r="I16" s="151"/>
      <c r="J16" s="151"/>
      <c r="K16" s="151"/>
      <c r="L16" s="151"/>
      <c r="M16" s="151"/>
      <c r="N16" s="151"/>
      <c r="O16" s="151"/>
      <c r="P16" s="151"/>
      <c r="Q16" s="151"/>
      <c r="R16" s="151"/>
      <c r="S16" s="151"/>
      <c r="T16" s="152"/>
      <c r="U16" s="151"/>
      <c r="V16" s="151"/>
      <c r="W16" s="151"/>
      <c r="X16" s="151"/>
      <c r="Y16" s="151"/>
      <c r="Z16" s="151"/>
      <c r="AA16" s="152"/>
      <c r="AB16" s="152"/>
      <c r="AC16" s="152"/>
      <c r="AD16" s="152"/>
      <c r="AE16" s="152"/>
      <c r="AF16" s="152"/>
      <c r="AG16" s="152"/>
      <c r="AH16" s="152"/>
    </row>
    <row r="17" ht="7.5" customHeight="1">
      <c r="A17" s="151"/>
      <c r="B17" s="152"/>
      <c r="C17" s="151"/>
      <c r="D17" s="171"/>
      <c r="E17" s="172"/>
      <c r="F17" s="172"/>
      <c r="G17" s="172"/>
      <c r="H17" s="172"/>
      <c r="I17" s="172"/>
      <c r="J17" s="172"/>
      <c r="K17" s="172"/>
      <c r="L17" s="172"/>
      <c r="M17" s="172"/>
      <c r="N17" s="172"/>
      <c r="O17" s="172"/>
      <c r="P17" s="172"/>
      <c r="Q17" s="172"/>
      <c r="R17" s="173"/>
      <c r="S17" s="151"/>
      <c r="T17" s="152"/>
      <c r="U17" s="151"/>
      <c r="V17" s="151"/>
      <c r="W17" s="151"/>
      <c r="X17" s="151"/>
      <c r="Y17" s="151"/>
      <c r="Z17" s="151"/>
      <c r="AA17" s="152"/>
      <c r="AB17" s="152"/>
      <c r="AC17" s="152"/>
      <c r="AD17" s="152"/>
      <c r="AE17" s="152"/>
      <c r="AF17" s="152"/>
      <c r="AG17" s="152"/>
      <c r="AH17" s="152"/>
    </row>
    <row r="18" ht="16.5" customHeight="1">
      <c r="A18" s="151"/>
      <c r="B18" s="152"/>
      <c r="C18" s="151"/>
      <c r="D18" s="151"/>
      <c r="E18" s="151"/>
      <c r="F18" s="151"/>
      <c r="G18" s="151"/>
      <c r="H18" s="151"/>
      <c r="I18" s="151"/>
      <c r="J18" s="151"/>
      <c r="K18" s="151"/>
      <c r="L18" s="151"/>
      <c r="M18" s="151"/>
      <c r="N18" s="151"/>
      <c r="O18" s="151"/>
      <c r="P18" s="151"/>
      <c r="Q18" s="151"/>
      <c r="R18" s="151"/>
      <c r="S18" s="151"/>
      <c r="T18" s="152"/>
      <c r="U18" s="151"/>
      <c r="V18" s="151"/>
      <c r="W18" s="151"/>
      <c r="X18" s="151"/>
      <c r="Y18" s="151"/>
      <c r="Z18" s="151"/>
      <c r="AA18" s="152"/>
      <c r="AB18" s="152"/>
      <c r="AC18" s="152"/>
      <c r="AD18" s="152"/>
      <c r="AE18" s="152"/>
      <c r="AF18" s="152"/>
      <c r="AG18" s="152"/>
      <c r="AH18" s="152"/>
    </row>
    <row r="19">
      <c r="A19" s="151"/>
      <c r="B19" s="152"/>
      <c r="C19" s="151"/>
      <c r="D19" s="174" t="s">
        <v>78</v>
      </c>
      <c r="F19" s="154"/>
      <c r="G19" s="154"/>
      <c r="H19" s="155" t="s">
        <v>53</v>
      </c>
      <c r="J19" s="175">
        <f>G21-E21</f>
        <v>1.57</v>
      </c>
      <c r="K19" s="154"/>
      <c r="L19" s="176" t="s">
        <v>54</v>
      </c>
      <c r="N19" s="177">
        <f>(G21-E21)/E21</f>
        <v>2.308823529</v>
      </c>
      <c r="O19" s="151"/>
      <c r="P19" s="151"/>
      <c r="Q19" s="151"/>
      <c r="R19" s="151"/>
      <c r="S19" s="151"/>
      <c r="T19" s="152"/>
      <c r="U19" s="151"/>
      <c r="V19" s="151"/>
      <c r="W19" s="151"/>
      <c r="X19" s="151"/>
      <c r="Y19" s="151"/>
      <c r="Z19" s="151"/>
      <c r="AA19" s="152"/>
      <c r="AB19" s="152"/>
      <c r="AC19" s="152"/>
      <c r="AD19" s="152"/>
      <c r="AE19" s="152"/>
      <c r="AF19" s="152"/>
      <c r="AG19" s="152"/>
      <c r="AH19" s="152"/>
    </row>
    <row r="20">
      <c r="A20" s="151"/>
      <c r="B20" s="152"/>
      <c r="C20" s="151"/>
      <c r="D20" s="154"/>
      <c r="E20" s="154"/>
      <c r="F20" s="154"/>
      <c r="G20" s="154"/>
      <c r="H20" s="154"/>
      <c r="I20" s="154"/>
      <c r="J20" s="154"/>
      <c r="K20" s="154"/>
      <c r="L20" s="176" t="s">
        <v>79</v>
      </c>
      <c r="N20" s="177">
        <f>(G21-E21)/G21</f>
        <v>0.6977777778</v>
      </c>
      <c r="O20" s="151"/>
      <c r="P20" s="151"/>
      <c r="Q20" s="151"/>
      <c r="R20" s="151"/>
      <c r="S20" s="151"/>
      <c r="T20" s="152"/>
      <c r="U20" s="151"/>
      <c r="V20" s="151"/>
      <c r="W20" s="151"/>
      <c r="X20" s="151"/>
      <c r="Y20" s="151"/>
      <c r="Z20" s="151"/>
      <c r="AA20" s="152"/>
      <c r="AB20" s="152"/>
      <c r="AC20" s="152"/>
      <c r="AD20" s="152"/>
      <c r="AE20" s="152"/>
      <c r="AF20" s="152"/>
      <c r="AG20" s="152"/>
      <c r="AH20" s="152"/>
    </row>
    <row r="21" ht="20.25" customHeight="1">
      <c r="A21" s="151"/>
      <c r="B21" s="152"/>
      <c r="C21" s="151"/>
      <c r="D21" s="154" t="s">
        <v>56</v>
      </c>
      <c r="E21" s="159">
        <v>0.68</v>
      </c>
      <c r="F21" s="154" t="s">
        <v>57</v>
      </c>
      <c r="G21" s="159">
        <v>2.25</v>
      </c>
      <c r="H21" s="155" t="s">
        <v>58</v>
      </c>
      <c r="J21" s="160">
        <v>50.0</v>
      </c>
      <c r="K21" s="151"/>
      <c r="L21" s="151"/>
      <c r="M21" s="151"/>
      <c r="N21" s="151"/>
      <c r="O21" s="151"/>
      <c r="P21" s="151"/>
      <c r="Q21" s="151"/>
      <c r="R21" s="151"/>
      <c r="S21" s="151"/>
      <c r="T21" s="152"/>
      <c r="U21" s="151"/>
      <c r="V21" s="151"/>
      <c r="W21" s="151"/>
      <c r="X21" s="151"/>
      <c r="Y21" s="151"/>
      <c r="Z21" s="151"/>
      <c r="AA21" s="152"/>
      <c r="AB21" s="152"/>
      <c r="AC21" s="152"/>
      <c r="AD21" s="152"/>
      <c r="AE21" s="152"/>
      <c r="AF21" s="152"/>
      <c r="AG21" s="152"/>
      <c r="AH21" s="152"/>
    </row>
    <row r="22">
      <c r="A22" s="151"/>
      <c r="B22" s="152"/>
      <c r="C22" s="151"/>
      <c r="D22" s="151"/>
      <c r="E22" s="151"/>
      <c r="F22" s="151"/>
      <c r="G22" s="151"/>
      <c r="H22" s="151"/>
      <c r="I22" s="151"/>
      <c r="J22" s="151"/>
      <c r="K22" s="151"/>
      <c r="L22" s="151"/>
      <c r="M22" s="151"/>
      <c r="N22" s="151"/>
      <c r="O22" s="151"/>
      <c r="P22" s="151"/>
      <c r="Q22" s="151"/>
      <c r="R22" s="151"/>
      <c r="S22" s="151"/>
      <c r="T22" s="152"/>
      <c r="U22" s="151"/>
      <c r="V22" s="151"/>
      <c r="W22" s="151"/>
      <c r="X22" s="151"/>
      <c r="Y22" s="151"/>
      <c r="Z22" s="151"/>
      <c r="AA22" s="152"/>
      <c r="AB22" s="152"/>
      <c r="AC22" s="152"/>
      <c r="AD22" s="152"/>
      <c r="AE22" s="152"/>
      <c r="AF22" s="152"/>
      <c r="AG22" s="152"/>
      <c r="AH22" s="152"/>
    </row>
    <row r="23" ht="26.25" customHeight="1">
      <c r="A23" s="151"/>
      <c r="B23" s="152"/>
      <c r="C23" s="151"/>
      <c r="D23" s="155"/>
      <c r="E23" s="155" t="s">
        <v>59</v>
      </c>
      <c r="F23" s="155" t="s">
        <v>60</v>
      </c>
      <c r="G23" s="155" t="s">
        <v>61</v>
      </c>
      <c r="H23" s="155" t="s">
        <v>62</v>
      </c>
      <c r="I23" s="155" t="s">
        <v>63</v>
      </c>
      <c r="J23" s="155" t="s">
        <v>64</v>
      </c>
      <c r="K23" s="155" t="s">
        <v>65</v>
      </c>
      <c r="L23" s="155" t="s">
        <v>66</v>
      </c>
      <c r="M23" s="155" t="s">
        <v>67</v>
      </c>
      <c r="N23" s="155" t="s">
        <v>68</v>
      </c>
      <c r="O23" s="155" t="s">
        <v>69</v>
      </c>
      <c r="P23" s="155" t="s">
        <v>70</v>
      </c>
      <c r="Q23" s="151"/>
      <c r="R23" s="151"/>
      <c r="S23" s="151"/>
      <c r="T23" s="152"/>
      <c r="U23" s="151"/>
      <c r="V23" s="151"/>
      <c r="W23" s="151"/>
      <c r="X23" s="151"/>
      <c r="Y23" s="151"/>
      <c r="Z23" s="151"/>
      <c r="AA23" s="152"/>
      <c r="AB23" s="152"/>
      <c r="AC23" s="152"/>
      <c r="AD23" s="152"/>
      <c r="AE23" s="152"/>
      <c r="AF23" s="152"/>
      <c r="AG23" s="152"/>
      <c r="AH23" s="152"/>
    </row>
    <row r="24" ht="26.25" customHeight="1">
      <c r="A24" s="151"/>
      <c r="B24" s="152"/>
      <c r="C24" s="151"/>
      <c r="D24" s="154" t="s">
        <v>71</v>
      </c>
      <c r="E24" s="160">
        <v>125.0</v>
      </c>
      <c r="F24" s="151">
        <f>E29+(E28-E26)</f>
        <v>-175</v>
      </c>
      <c r="G24" s="151">
        <f t="shared" ref="G24:P24" si="8">F24+F29+(F28-F26)</f>
        <v>142.6470588</v>
      </c>
      <c r="H24" s="151">
        <f t="shared" si="8"/>
        <v>-50</v>
      </c>
      <c r="I24" s="151">
        <f t="shared" si="8"/>
        <v>319.550173</v>
      </c>
      <c r="J24" s="151">
        <f t="shared" si="8"/>
        <v>-50</v>
      </c>
      <c r="K24" s="151">
        <f t="shared" si="8"/>
        <v>839.85345</v>
      </c>
      <c r="L24" s="151">
        <f t="shared" si="8"/>
        <v>-50</v>
      </c>
      <c r="M24" s="151">
        <f t="shared" si="8"/>
        <v>2370.157206</v>
      </c>
      <c r="N24" s="151">
        <f t="shared" si="8"/>
        <v>-50</v>
      </c>
      <c r="O24" s="151">
        <f t="shared" si="8"/>
        <v>6871.050606</v>
      </c>
      <c r="P24" s="151">
        <f t="shared" si="8"/>
        <v>-50</v>
      </c>
      <c r="Q24" s="151"/>
      <c r="R24" s="178"/>
      <c r="S24" s="151"/>
      <c r="T24" s="152"/>
      <c r="U24" s="151"/>
      <c r="V24" s="151"/>
      <c r="W24" s="151"/>
      <c r="X24" s="151"/>
      <c r="Y24" s="151"/>
      <c r="Z24" s="151"/>
      <c r="AA24" s="152"/>
      <c r="AB24" s="152"/>
      <c r="AC24" s="152"/>
      <c r="AD24" s="152"/>
      <c r="AE24" s="152"/>
      <c r="AF24" s="152"/>
      <c r="AG24" s="152"/>
      <c r="AH24" s="152"/>
    </row>
    <row r="25" ht="26.25" customHeight="1">
      <c r="A25" s="151"/>
      <c r="B25" s="152"/>
      <c r="C25" s="151"/>
      <c r="D25" s="154" t="s">
        <v>72</v>
      </c>
      <c r="E25" s="179">
        <f>E24/E21</f>
        <v>183.8235294</v>
      </c>
      <c r="F25" s="180">
        <f t="shared" ref="F25:P25" si="9">if(F24&lt;0,0,F24/$E$21)</f>
        <v>0</v>
      </c>
      <c r="G25" s="162">
        <f t="shared" si="9"/>
        <v>209.7750865</v>
      </c>
      <c r="H25" s="162">
        <f t="shared" si="9"/>
        <v>0</v>
      </c>
      <c r="I25" s="162">
        <f t="shared" si="9"/>
        <v>469.926725</v>
      </c>
      <c r="J25" s="162">
        <f t="shared" si="9"/>
        <v>0</v>
      </c>
      <c r="K25" s="162">
        <f t="shared" si="9"/>
        <v>1235.078603</v>
      </c>
      <c r="L25" s="162">
        <f t="shared" si="9"/>
        <v>0</v>
      </c>
      <c r="M25" s="162">
        <f t="shared" si="9"/>
        <v>3485.525303</v>
      </c>
      <c r="N25" s="162">
        <f t="shared" si="9"/>
        <v>0</v>
      </c>
      <c r="O25" s="162">
        <f t="shared" si="9"/>
        <v>10104.48619</v>
      </c>
      <c r="P25" s="162">
        <f t="shared" si="9"/>
        <v>0</v>
      </c>
      <c r="Q25" s="151"/>
      <c r="R25" s="181">
        <f t="shared" ref="R25:R29" si="11">sum(E25:P25)</f>
        <v>15688.61543</v>
      </c>
      <c r="S25" s="151"/>
      <c r="T25" s="152"/>
      <c r="U25" s="151"/>
      <c r="V25" s="151"/>
      <c r="W25" s="151"/>
      <c r="X25" s="151"/>
      <c r="Y25" s="151"/>
      <c r="Z25" s="151"/>
      <c r="AA25" s="152"/>
      <c r="AB25" s="152"/>
      <c r="AC25" s="152"/>
      <c r="AD25" s="152"/>
      <c r="AE25" s="152"/>
      <c r="AF25" s="152"/>
      <c r="AG25" s="152"/>
      <c r="AH25" s="152"/>
    </row>
    <row r="26" ht="26.25" customHeight="1">
      <c r="A26" s="151"/>
      <c r="B26" s="152"/>
      <c r="C26" s="151"/>
      <c r="D26" s="154" t="s">
        <v>73</v>
      </c>
      <c r="E26" s="182">
        <f t="shared" ref="E26:P26" si="10">E25*$E$21</f>
        <v>125</v>
      </c>
      <c r="F26" s="182">
        <f t="shared" si="10"/>
        <v>0</v>
      </c>
      <c r="G26" s="182">
        <f t="shared" si="10"/>
        <v>142.6470588</v>
      </c>
      <c r="H26" s="182">
        <f t="shared" si="10"/>
        <v>0</v>
      </c>
      <c r="I26" s="182">
        <f t="shared" si="10"/>
        <v>319.550173</v>
      </c>
      <c r="J26" s="182">
        <f t="shared" si="10"/>
        <v>0</v>
      </c>
      <c r="K26" s="182">
        <f t="shared" si="10"/>
        <v>839.85345</v>
      </c>
      <c r="L26" s="182">
        <f t="shared" si="10"/>
        <v>0</v>
      </c>
      <c r="M26" s="182">
        <f t="shared" si="10"/>
        <v>2370.157206</v>
      </c>
      <c r="N26" s="182">
        <f t="shared" si="10"/>
        <v>0</v>
      </c>
      <c r="O26" s="182">
        <f t="shared" si="10"/>
        <v>6871.050606</v>
      </c>
      <c r="P26" s="182">
        <f t="shared" si="10"/>
        <v>0</v>
      </c>
      <c r="Q26" s="151"/>
      <c r="R26" s="183">
        <f t="shared" si="11"/>
        <v>10668.25849</v>
      </c>
      <c r="S26" s="151"/>
      <c r="T26" s="152"/>
      <c r="U26" s="151"/>
      <c r="V26" s="151"/>
      <c r="W26" s="151"/>
      <c r="X26" s="151"/>
      <c r="Y26" s="151"/>
      <c r="Z26" s="151"/>
      <c r="AA26" s="152"/>
      <c r="AB26" s="152"/>
      <c r="AC26" s="152"/>
      <c r="AD26" s="152"/>
      <c r="AE26" s="152"/>
      <c r="AF26" s="152"/>
      <c r="AG26" s="152"/>
      <c r="AH26" s="152"/>
    </row>
    <row r="27" ht="26.25" customHeight="1">
      <c r="A27" s="151"/>
      <c r="B27" s="152"/>
      <c r="C27" s="151"/>
      <c r="D27" s="154" t="s">
        <v>74</v>
      </c>
      <c r="E27" s="151">
        <f t="shared" ref="E27:P27" si="12">E25*$G$6</f>
        <v>367.6470588</v>
      </c>
      <c r="F27" s="178">
        <f t="shared" si="12"/>
        <v>0</v>
      </c>
      <c r="G27" s="151">
        <f t="shared" si="12"/>
        <v>419.550173</v>
      </c>
      <c r="H27" s="178">
        <f t="shared" si="12"/>
        <v>0</v>
      </c>
      <c r="I27" s="151">
        <f t="shared" si="12"/>
        <v>939.85345</v>
      </c>
      <c r="J27" s="178">
        <f t="shared" si="12"/>
        <v>0</v>
      </c>
      <c r="K27" s="151">
        <f t="shared" si="12"/>
        <v>2470.157206</v>
      </c>
      <c r="L27" s="178">
        <f t="shared" si="12"/>
        <v>0</v>
      </c>
      <c r="M27" s="151">
        <f t="shared" si="12"/>
        <v>6971.050606</v>
      </c>
      <c r="N27" s="178">
        <f t="shared" si="12"/>
        <v>0</v>
      </c>
      <c r="O27" s="151">
        <f t="shared" si="12"/>
        <v>20208.97237</v>
      </c>
      <c r="P27" s="178">
        <f t="shared" si="12"/>
        <v>0</v>
      </c>
      <c r="Q27" s="151"/>
      <c r="R27" s="178">
        <f t="shared" si="11"/>
        <v>31377.23086</v>
      </c>
      <c r="S27" s="151"/>
      <c r="T27" s="152"/>
      <c r="U27" s="151"/>
      <c r="V27" s="151"/>
      <c r="W27" s="151"/>
      <c r="X27" s="151"/>
      <c r="Y27" s="151"/>
      <c r="Z27" s="151"/>
      <c r="AA27" s="152"/>
      <c r="AB27" s="152"/>
      <c r="AC27" s="152"/>
      <c r="AD27" s="152"/>
      <c r="AE27" s="152"/>
      <c r="AF27" s="152"/>
      <c r="AG27" s="152"/>
      <c r="AH27" s="152"/>
    </row>
    <row r="28" ht="26.25" customHeight="1">
      <c r="A28" s="151"/>
      <c r="B28" s="152"/>
      <c r="C28" s="151"/>
      <c r="D28" s="154" t="s">
        <v>75</v>
      </c>
      <c r="E28" s="176">
        <v>0.0</v>
      </c>
      <c r="F28" s="178">
        <f t="shared" ref="F28:P28" si="13">E27</f>
        <v>367.6470588</v>
      </c>
      <c r="G28" s="178">
        <f t="shared" si="13"/>
        <v>0</v>
      </c>
      <c r="H28" s="178">
        <f t="shared" si="13"/>
        <v>419.550173</v>
      </c>
      <c r="I28" s="178">
        <f t="shared" si="13"/>
        <v>0</v>
      </c>
      <c r="J28" s="178">
        <f t="shared" si="13"/>
        <v>939.85345</v>
      </c>
      <c r="K28" s="178">
        <f t="shared" si="13"/>
        <v>0</v>
      </c>
      <c r="L28" s="178">
        <f t="shared" si="13"/>
        <v>2470.157206</v>
      </c>
      <c r="M28" s="178">
        <f t="shared" si="13"/>
        <v>0</v>
      </c>
      <c r="N28" s="178">
        <f t="shared" si="13"/>
        <v>6971.050606</v>
      </c>
      <c r="O28" s="178">
        <f t="shared" si="13"/>
        <v>0</v>
      </c>
      <c r="P28" s="178">
        <f t="shared" si="13"/>
        <v>20208.97237</v>
      </c>
      <c r="Q28" s="151"/>
      <c r="R28" s="178">
        <f t="shared" si="11"/>
        <v>31377.23086</v>
      </c>
      <c r="S28" s="151"/>
      <c r="T28" s="152"/>
      <c r="U28" s="151"/>
      <c r="V28" s="151"/>
      <c r="W28" s="151"/>
      <c r="X28" s="151"/>
      <c r="Y28" s="151"/>
      <c r="Z28" s="151"/>
      <c r="AA28" s="152"/>
      <c r="AB28" s="152"/>
      <c r="AC28" s="152"/>
      <c r="AD28" s="152"/>
      <c r="AE28" s="152"/>
      <c r="AF28" s="152"/>
      <c r="AG28" s="152"/>
      <c r="AH28" s="152"/>
    </row>
    <row r="29" ht="26.25" customHeight="1">
      <c r="A29" s="151"/>
      <c r="B29" s="152"/>
      <c r="C29" s="151"/>
      <c r="D29" s="154" t="s">
        <v>76</v>
      </c>
      <c r="E29" s="184">
        <f t="shared" ref="E29:P29" si="14">-$J$21</f>
        <v>-50</v>
      </c>
      <c r="F29" s="185">
        <f t="shared" si="14"/>
        <v>-50</v>
      </c>
      <c r="G29" s="184">
        <f t="shared" si="14"/>
        <v>-50</v>
      </c>
      <c r="H29" s="185">
        <f t="shared" si="14"/>
        <v>-50</v>
      </c>
      <c r="I29" s="184">
        <f t="shared" si="14"/>
        <v>-50</v>
      </c>
      <c r="J29" s="185">
        <f t="shared" si="14"/>
        <v>-50</v>
      </c>
      <c r="K29" s="184">
        <f t="shared" si="14"/>
        <v>-50</v>
      </c>
      <c r="L29" s="185">
        <f t="shared" si="14"/>
        <v>-50</v>
      </c>
      <c r="M29" s="184">
        <f t="shared" si="14"/>
        <v>-50</v>
      </c>
      <c r="N29" s="185">
        <f t="shared" si="14"/>
        <v>-50</v>
      </c>
      <c r="O29" s="184">
        <f t="shared" si="14"/>
        <v>-50</v>
      </c>
      <c r="P29" s="185">
        <f t="shared" si="14"/>
        <v>-50</v>
      </c>
      <c r="Q29" s="151"/>
      <c r="R29" s="178">
        <f t="shared" si="11"/>
        <v>-600</v>
      </c>
      <c r="S29" s="151"/>
      <c r="T29" s="152"/>
      <c r="U29" s="151"/>
      <c r="V29" s="151"/>
      <c r="W29" s="151"/>
      <c r="X29" s="151"/>
      <c r="Y29" s="151"/>
      <c r="Z29" s="151"/>
      <c r="AA29" s="152"/>
      <c r="AB29" s="152"/>
      <c r="AC29" s="152"/>
      <c r="AD29" s="152"/>
      <c r="AE29" s="152"/>
      <c r="AF29" s="152"/>
      <c r="AG29" s="152"/>
      <c r="AH29" s="152"/>
    </row>
    <row r="30" ht="28.5" customHeight="1">
      <c r="A30" s="151"/>
      <c r="B30" s="152"/>
      <c r="C30" s="151"/>
      <c r="D30" s="151"/>
      <c r="E30" s="151"/>
      <c r="F30" s="151"/>
      <c r="G30" s="151"/>
      <c r="H30" s="151"/>
      <c r="I30" s="151"/>
      <c r="J30" s="151"/>
      <c r="K30" s="151"/>
      <c r="L30" s="151"/>
      <c r="M30" s="151"/>
      <c r="N30" s="151"/>
      <c r="O30" s="167" t="s">
        <v>77</v>
      </c>
      <c r="P30" s="168"/>
      <c r="Q30" s="169"/>
      <c r="R30" s="170">
        <f>R27-R26</f>
        <v>20708.97237</v>
      </c>
      <c r="S30" s="151"/>
      <c r="T30" s="152"/>
      <c r="U30" s="151"/>
      <c r="V30" s="151"/>
      <c r="W30" s="151"/>
      <c r="X30" s="151"/>
      <c r="Y30" s="151"/>
      <c r="Z30" s="151"/>
      <c r="AA30" s="152"/>
      <c r="AB30" s="152"/>
      <c r="AC30" s="152"/>
      <c r="AD30" s="152"/>
      <c r="AE30" s="152"/>
      <c r="AF30" s="152"/>
      <c r="AG30" s="152"/>
      <c r="AH30" s="152"/>
    </row>
    <row r="31" ht="11.25" customHeight="1">
      <c r="A31" s="151"/>
      <c r="B31" s="152"/>
      <c r="C31" s="151"/>
      <c r="D31" s="151"/>
      <c r="E31" s="151"/>
      <c r="F31" s="151"/>
      <c r="G31" s="151"/>
      <c r="H31" s="151"/>
      <c r="I31" s="151"/>
      <c r="J31" s="151"/>
      <c r="K31" s="151"/>
      <c r="L31" s="151"/>
      <c r="M31" s="151"/>
      <c r="N31" s="151"/>
      <c r="O31" s="151"/>
      <c r="P31" s="151"/>
      <c r="Q31" s="151"/>
      <c r="R31" s="151"/>
      <c r="S31" s="151"/>
      <c r="T31" s="152"/>
      <c r="U31" s="151"/>
      <c r="V31" s="151"/>
      <c r="W31" s="151"/>
      <c r="X31" s="151"/>
      <c r="Y31" s="151"/>
      <c r="Z31" s="151"/>
      <c r="AA31" s="152"/>
      <c r="AB31" s="152"/>
      <c r="AC31" s="152"/>
      <c r="AD31" s="152"/>
      <c r="AE31" s="152"/>
      <c r="AF31" s="152"/>
      <c r="AG31" s="152"/>
      <c r="AH31" s="152"/>
    </row>
    <row r="32" ht="9.75" customHeight="1">
      <c r="A32" s="151"/>
      <c r="B32" s="152"/>
      <c r="C32" s="152"/>
      <c r="D32" s="152"/>
      <c r="E32" s="152"/>
      <c r="F32" s="152"/>
      <c r="G32" s="152"/>
      <c r="H32" s="152"/>
      <c r="I32" s="152"/>
      <c r="J32" s="152"/>
      <c r="K32" s="152"/>
      <c r="L32" s="152"/>
      <c r="M32" s="152"/>
      <c r="N32" s="152"/>
      <c r="O32" s="152"/>
      <c r="P32" s="152"/>
      <c r="Q32" s="152"/>
      <c r="R32" s="152"/>
      <c r="S32" s="152"/>
      <c r="T32" s="152"/>
      <c r="U32" s="151"/>
      <c r="V32" s="151"/>
      <c r="W32" s="151"/>
      <c r="X32" s="151"/>
      <c r="Y32" s="151"/>
      <c r="Z32" s="151"/>
      <c r="AA32" s="152"/>
      <c r="AB32" s="152"/>
      <c r="AC32" s="152"/>
      <c r="AD32" s="152"/>
      <c r="AE32" s="152"/>
      <c r="AF32" s="152"/>
      <c r="AG32" s="152"/>
      <c r="AH32" s="152"/>
    </row>
    <row r="33">
      <c r="A33" s="151"/>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2"/>
      <c r="AB33" s="152"/>
      <c r="AC33" s="152"/>
      <c r="AD33" s="152"/>
      <c r="AE33" s="152"/>
      <c r="AF33" s="152"/>
      <c r="AG33" s="152"/>
      <c r="AH33" s="152"/>
    </row>
    <row r="34">
      <c r="A34" s="151"/>
      <c r="B34" s="151"/>
      <c r="C34" s="151"/>
      <c r="D34" s="151"/>
      <c r="E34" s="151"/>
      <c r="F34" s="151"/>
      <c r="G34" s="151"/>
      <c r="H34" s="151"/>
      <c r="I34" s="151"/>
      <c r="J34" s="151"/>
      <c r="K34" s="151"/>
      <c r="L34" s="151"/>
      <c r="M34" s="151"/>
      <c r="N34" s="151"/>
      <c r="O34" s="151"/>
      <c r="P34" s="151"/>
      <c r="Q34" s="151"/>
      <c r="R34" s="151"/>
      <c r="S34" s="151"/>
      <c r="T34" s="151"/>
      <c r="U34" s="151"/>
      <c r="V34" s="151"/>
      <c r="W34" s="151"/>
      <c r="X34" s="151"/>
      <c r="Y34" s="151"/>
      <c r="Z34" s="151"/>
      <c r="AA34" s="152"/>
      <c r="AB34" s="152"/>
      <c r="AC34" s="152"/>
      <c r="AD34" s="152"/>
      <c r="AE34" s="152"/>
      <c r="AF34" s="152"/>
      <c r="AG34" s="152"/>
      <c r="AH34" s="152"/>
    </row>
    <row r="35">
      <c r="A35" s="151"/>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2"/>
      <c r="AB35" s="152"/>
      <c r="AC35" s="152"/>
      <c r="AD35" s="152"/>
      <c r="AE35" s="152"/>
      <c r="AF35" s="152"/>
      <c r="AG35" s="152"/>
      <c r="AH35" s="152"/>
    </row>
    <row r="36">
      <c r="A36" s="151"/>
      <c r="B36" s="151"/>
      <c r="C36" s="151"/>
      <c r="D36" s="151"/>
      <c r="E36" s="151"/>
      <c r="F36" s="151"/>
      <c r="G36" s="151"/>
      <c r="H36" s="151"/>
      <c r="I36" s="151"/>
      <c r="J36" s="151"/>
      <c r="K36" s="151"/>
      <c r="L36" s="151"/>
      <c r="M36" s="151"/>
      <c r="N36" s="151"/>
      <c r="O36" s="151"/>
      <c r="P36" s="151"/>
      <c r="Q36" s="151"/>
      <c r="R36" s="151"/>
      <c r="S36" s="151"/>
      <c r="T36" s="151"/>
      <c r="U36" s="151"/>
      <c r="V36" s="151"/>
      <c r="W36" s="151"/>
      <c r="X36" s="151"/>
      <c r="Y36" s="151"/>
      <c r="Z36" s="151"/>
      <c r="AA36" s="152"/>
      <c r="AB36" s="152"/>
      <c r="AC36" s="152"/>
      <c r="AD36" s="152"/>
      <c r="AE36" s="152"/>
      <c r="AF36" s="152"/>
      <c r="AG36" s="152"/>
      <c r="AH36" s="152"/>
    </row>
    <row r="37">
      <c r="A37" s="151"/>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2"/>
      <c r="AB37" s="152"/>
      <c r="AC37" s="152"/>
      <c r="AD37" s="152"/>
      <c r="AE37" s="152"/>
      <c r="AF37" s="152"/>
      <c r="AG37" s="152"/>
      <c r="AH37" s="152"/>
    </row>
    <row r="38">
      <c r="A38" s="151"/>
      <c r="B38" s="151"/>
      <c r="C38" s="151"/>
      <c r="D38" s="151"/>
      <c r="E38" s="151"/>
      <c r="F38" s="151"/>
      <c r="G38" s="151"/>
      <c r="H38" s="151"/>
      <c r="I38" s="151"/>
      <c r="J38" s="151"/>
      <c r="K38" s="151"/>
      <c r="L38" s="151"/>
      <c r="M38" s="151"/>
      <c r="N38" s="151"/>
      <c r="O38" s="151"/>
      <c r="P38" s="151"/>
      <c r="Q38" s="151"/>
      <c r="R38" s="151"/>
      <c r="S38" s="151"/>
      <c r="T38" s="151"/>
      <c r="U38" s="151"/>
      <c r="V38" s="151"/>
      <c r="W38" s="151"/>
      <c r="X38" s="151"/>
      <c r="Y38" s="151"/>
      <c r="Z38" s="151"/>
      <c r="AA38" s="152"/>
      <c r="AB38" s="152"/>
      <c r="AC38" s="152"/>
      <c r="AD38" s="152"/>
      <c r="AE38" s="152"/>
      <c r="AF38" s="152"/>
      <c r="AG38" s="152"/>
      <c r="AH38" s="152"/>
    </row>
    <row r="39">
      <c r="A39" s="151"/>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2"/>
      <c r="AB39" s="152"/>
      <c r="AC39" s="152"/>
      <c r="AD39" s="152"/>
      <c r="AE39" s="152"/>
      <c r="AF39" s="152"/>
      <c r="AG39" s="152"/>
      <c r="AH39" s="152"/>
    </row>
    <row r="40">
      <c r="A40" s="151"/>
      <c r="B40" s="151"/>
      <c r="C40" s="151"/>
      <c r="D40" s="151"/>
      <c r="E40" s="151"/>
      <c r="F40" s="151"/>
      <c r="G40" s="151"/>
      <c r="H40" s="151"/>
      <c r="I40" s="151"/>
      <c r="J40" s="151"/>
      <c r="K40" s="151"/>
      <c r="L40" s="151"/>
      <c r="M40" s="151"/>
      <c r="N40" s="151"/>
      <c r="O40" s="151"/>
      <c r="P40" s="151"/>
      <c r="Q40" s="151"/>
      <c r="R40" s="151"/>
      <c r="S40" s="151"/>
      <c r="T40" s="151"/>
      <c r="U40" s="151"/>
      <c r="V40" s="151"/>
      <c r="W40" s="151"/>
      <c r="X40" s="151"/>
      <c r="Y40" s="151"/>
      <c r="Z40" s="151"/>
      <c r="AA40" s="152"/>
      <c r="AB40" s="152"/>
      <c r="AC40" s="152"/>
      <c r="AD40" s="152"/>
      <c r="AE40" s="152"/>
      <c r="AF40" s="152"/>
      <c r="AG40" s="152"/>
      <c r="AH40" s="152"/>
    </row>
    <row r="41">
      <c r="A41" s="151"/>
      <c r="B41" s="151"/>
      <c r="C41" s="151"/>
      <c r="D41" s="151"/>
      <c r="E41" s="151"/>
      <c r="F41" s="151"/>
      <c r="G41" s="151"/>
      <c r="H41" s="151"/>
      <c r="I41" s="151"/>
      <c r="J41" s="151"/>
      <c r="K41" s="151"/>
      <c r="L41" s="151"/>
      <c r="M41" s="151"/>
      <c r="N41" s="151"/>
      <c r="O41" s="151"/>
      <c r="P41" s="151"/>
      <c r="Q41" s="151"/>
      <c r="R41" s="151"/>
      <c r="S41" s="151"/>
      <c r="T41" s="151"/>
      <c r="U41" s="151"/>
      <c r="V41" s="151"/>
      <c r="W41" s="151"/>
      <c r="X41" s="151"/>
      <c r="Y41" s="151"/>
      <c r="Z41" s="151"/>
      <c r="AA41" s="152"/>
      <c r="AB41" s="152"/>
      <c r="AC41" s="152"/>
      <c r="AD41" s="152"/>
      <c r="AE41" s="152"/>
      <c r="AF41" s="152"/>
      <c r="AG41" s="152"/>
      <c r="AH41" s="152"/>
    </row>
    <row r="42">
      <c r="A42" s="151"/>
      <c r="B42" s="151"/>
      <c r="C42" s="151"/>
      <c r="D42" s="151"/>
      <c r="E42" s="151"/>
      <c r="F42" s="151"/>
      <c r="G42" s="151"/>
      <c r="H42" s="151"/>
      <c r="I42" s="151"/>
      <c r="J42" s="151"/>
      <c r="K42" s="151"/>
      <c r="L42" s="151"/>
      <c r="M42" s="151"/>
      <c r="N42" s="151"/>
      <c r="O42" s="151"/>
      <c r="P42" s="151"/>
      <c r="Q42" s="151"/>
      <c r="R42" s="151"/>
      <c r="S42" s="151"/>
      <c r="T42" s="151"/>
      <c r="U42" s="151"/>
      <c r="V42" s="151"/>
      <c r="W42" s="151"/>
      <c r="X42" s="151"/>
      <c r="Y42" s="151"/>
      <c r="Z42" s="151"/>
      <c r="AA42" s="152"/>
      <c r="AB42" s="152"/>
      <c r="AC42" s="152"/>
      <c r="AD42" s="152"/>
      <c r="AE42" s="152"/>
      <c r="AF42" s="152"/>
      <c r="AG42" s="152"/>
      <c r="AH42" s="152"/>
    </row>
    <row r="43">
      <c r="A43" s="151"/>
      <c r="B43" s="151"/>
      <c r="C43" s="151"/>
      <c r="D43" s="151"/>
      <c r="E43" s="151"/>
      <c r="F43" s="151"/>
      <c r="G43" s="151"/>
      <c r="H43" s="151"/>
      <c r="I43" s="151"/>
      <c r="J43" s="151"/>
      <c r="K43" s="151"/>
      <c r="L43" s="151"/>
      <c r="M43" s="151"/>
      <c r="N43" s="151"/>
      <c r="O43" s="151"/>
      <c r="P43" s="151"/>
      <c r="Q43" s="151"/>
      <c r="R43" s="151"/>
      <c r="S43" s="151"/>
      <c r="T43" s="151"/>
      <c r="U43" s="151"/>
      <c r="V43" s="151"/>
      <c r="W43" s="151"/>
      <c r="X43" s="151"/>
      <c r="Y43" s="151"/>
      <c r="Z43" s="151"/>
      <c r="AA43" s="152"/>
      <c r="AB43" s="152"/>
      <c r="AC43" s="152"/>
      <c r="AD43" s="152"/>
      <c r="AE43" s="152"/>
      <c r="AF43" s="152"/>
      <c r="AG43" s="152"/>
      <c r="AH43" s="152"/>
    </row>
    <row r="44">
      <c r="A44" s="151"/>
      <c r="B44" s="151"/>
      <c r="C44" s="151"/>
      <c r="D44" s="151"/>
      <c r="E44" s="151"/>
      <c r="F44" s="151"/>
      <c r="G44" s="151"/>
      <c r="H44" s="151"/>
      <c r="I44" s="151"/>
      <c r="J44" s="151"/>
      <c r="K44" s="151"/>
      <c r="L44" s="151"/>
      <c r="M44" s="151"/>
      <c r="N44" s="151"/>
      <c r="O44" s="151"/>
      <c r="P44" s="151"/>
      <c r="Q44" s="151"/>
      <c r="R44" s="151"/>
      <c r="S44" s="151"/>
      <c r="T44" s="151"/>
      <c r="U44" s="151"/>
      <c r="V44" s="151"/>
      <c r="W44" s="151"/>
      <c r="X44" s="151"/>
      <c r="Y44" s="151"/>
      <c r="Z44" s="151"/>
      <c r="AA44" s="152"/>
      <c r="AB44" s="152"/>
      <c r="AC44" s="152"/>
      <c r="AD44" s="152"/>
      <c r="AE44" s="152"/>
      <c r="AF44" s="152"/>
      <c r="AG44" s="152"/>
      <c r="AH44" s="152"/>
    </row>
    <row r="45">
      <c r="A45" s="151"/>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2"/>
      <c r="AB45" s="152"/>
      <c r="AC45" s="152"/>
      <c r="AD45" s="152"/>
      <c r="AE45" s="152"/>
      <c r="AF45" s="152"/>
      <c r="AG45" s="152"/>
      <c r="AH45" s="152"/>
    </row>
    <row r="46">
      <c r="A46" s="151"/>
      <c r="B46" s="151"/>
      <c r="C46" s="151"/>
      <c r="D46" s="151"/>
      <c r="E46" s="151"/>
      <c r="F46" s="151"/>
      <c r="G46" s="151"/>
      <c r="H46" s="151"/>
      <c r="I46" s="151"/>
      <c r="J46" s="151"/>
      <c r="K46" s="151"/>
      <c r="L46" s="151"/>
      <c r="M46" s="151"/>
      <c r="N46" s="151"/>
      <c r="O46" s="151"/>
      <c r="P46" s="151"/>
      <c r="Q46" s="151"/>
      <c r="R46" s="151"/>
      <c r="S46" s="151"/>
      <c r="T46" s="151"/>
      <c r="U46" s="151"/>
      <c r="V46" s="151"/>
      <c r="W46" s="151"/>
      <c r="X46" s="151"/>
      <c r="Y46" s="151"/>
      <c r="Z46" s="151"/>
      <c r="AA46" s="152"/>
      <c r="AB46" s="152"/>
      <c r="AC46" s="152"/>
      <c r="AD46" s="152"/>
      <c r="AE46" s="152"/>
      <c r="AF46" s="152"/>
      <c r="AG46" s="152"/>
      <c r="AH46" s="152"/>
    </row>
    <row r="47">
      <c r="A47" s="151"/>
      <c r="B47" s="151"/>
      <c r="C47" s="151"/>
      <c r="D47" s="151"/>
      <c r="E47" s="151"/>
      <c r="F47" s="151"/>
      <c r="G47" s="151"/>
      <c r="H47" s="151"/>
      <c r="I47" s="151"/>
      <c r="J47" s="151"/>
      <c r="K47" s="151"/>
      <c r="L47" s="151"/>
      <c r="M47" s="151"/>
      <c r="N47" s="151"/>
      <c r="O47" s="151"/>
      <c r="P47" s="151"/>
      <c r="Q47" s="151"/>
      <c r="R47" s="151"/>
      <c r="S47" s="151"/>
      <c r="T47" s="151"/>
      <c r="U47" s="151"/>
      <c r="V47" s="151"/>
      <c r="W47" s="151"/>
      <c r="X47" s="151"/>
      <c r="Y47" s="151"/>
      <c r="Z47" s="151"/>
      <c r="AA47" s="152"/>
      <c r="AB47" s="152"/>
      <c r="AC47" s="152"/>
      <c r="AD47" s="152"/>
      <c r="AE47" s="152"/>
      <c r="AF47" s="152"/>
      <c r="AG47" s="152"/>
      <c r="AH47" s="152"/>
    </row>
    <row r="48">
      <c r="A48" s="152"/>
      <c r="B48" s="152"/>
      <c r="C48" s="152"/>
      <c r="D48" s="152"/>
      <c r="E48" s="152"/>
      <c r="F48" s="152"/>
      <c r="G48" s="152"/>
      <c r="H48" s="152"/>
      <c r="I48" s="152"/>
      <c r="J48" s="152"/>
      <c r="K48" s="152"/>
      <c r="L48" s="152"/>
      <c r="M48" s="152"/>
      <c r="N48" s="152"/>
      <c r="O48" s="152"/>
      <c r="P48" s="152"/>
      <c r="Q48" s="152"/>
      <c r="R48" s="152"/>
      <c r="S48" s="152"/>
      <c r="T48" s="152"/>
      <c r="U48" s="151"/>
      <c r="V48" s="151"/>
      <c r="W48" s="151"/>
      <c r="X48" s="151"/>
      <c r="Y48" s="151"/>
      <c r="Z48" s="151"/>
      <c r="AA48" s="152"/>
      <c r="AB48" s="152"/>
      <c r="AC48" s="152"/>
      <c r="AD48" s="152"/>
      <c r="AE48" s="152"/>
      <c r="AF48" s="152"/>
      <c r="AG48" s="152"/>
      <c r="AH48" s="152"/>
    </row>
    <row r="49">
      <c r="A49" s="152"/>
      <c r="B49" s="152"/>
      <c r="C49" s="152"/>
      <c r="D49" s="152"/>
      <c r="E49" s="152"/>
      <c r="F49" s="152"/>
      <c r="G49" s="152"/>
      <c r="H49" s="152"/>
      <c r="I49" s="152"/>
      <c r="J49" s="152"/>
      <c r="K49" s="152"/>
      <c r="L49" s="152"/>
      <c r="M49" s="152"/>
      <c r="N49" s="152"/>
      <c r="O49" s="152"/>
      <c r="P49" s="152"/>
      <c r="Q49" s="152"/>
      <c r="R49" s="152"/>
      <c r="S49" s="152"/>
      <c r="T49" s="152"/>
      <c r="U49" s="151"/>
      <c r="V49" s="151"/>
      <c r="W49" s="151"/>
      <c r="X49" s="151"/>
      <c r="Y49" s="151"/>
      <c r="Z49" s="151"/>
      <c r="AA49" s="152"/>
      <c r="AB49" s="152"/>
      <c r="AC49" s="152"/>
      <c r="AD49" s="152"/>
      <c r="AE49" s="152"/>
      <c r="AF49" s="152"/>
      <c r="AG49" s="152"/>
      <c r="AH49" s="152"/>
    </row>
    <row r="50">
      <c r="A50" s="152"/>
      <c r="B50" s="152"/>
      <c r="C50" s="152"/>
      <c r="D50" s="152"/>
      <c r="E50" s="152"/>
      <c r="F50" s="152"/>
      <c r="G50" s="152"/>
      <c r="H50" s="152"/>
      <c r="I50" s="152"/>
      <c r="J50" s="152"/>
      <c r="K50" s="152"/>
      <c r="L50" s="152"/>
      <c r="M50" s="152"/>
      <c r="N50" s="152"/>
      <c r="O50" s="152"/>
      <c r="P50" s="152"/>
      <c r="Q50" s="152"/>
      <c r="R50" s="152"/>
      <c r="S50" s="152"/>
      <c r="T50" s="152"/>
      <c r="U50" s="151"/>
      <c r="V50" s="151"/>
      <c r="W50" s="151"/>
      <c r="X50" s="151"/>
      <c r="Y50" s="151"/>
      <c r="Z50" s="151"/>
      <c r="AA50" s="152"/>
      <c r="AB50" s="152"/>
      <c r="AC50" s="152"/>
      <c r="AD50" s="152"/>
      <c r="AE50" s="152"/>
      <c r="AF50" s="152"/>
      <c r="AG50" s="152"/>
      <c r="AH50" s="152"/>
    </row>
    <row r="51">
      <c r="A51" s="152"/>
      <c r="B51" s="152"/>
      <c r="C51" s="152"/>
      <c r="D51" s="152"/>
      <c r="E51" s="152"/>
      <c r="F51" s="152"/>
      <c r="G51" s="152"/>
      <c r="H51" s="152"/>
      <c r="I51" s="152"/>
      <c r="J51" s="152"/>
      <c r="K51" s="152"/>
      <c r="L51" s="152"/>
      <c r="M51" s="152"/>
      <c r="N51" s="152"/>
      <c r="O51" s="152"/>
      <c r="P51" s="152"/>
      <c r="Q51" s="152"/>
      <c r="R51" s="152"/>
      <c r="S51" s="152"/>
      <c r="T51" s="152"/>
      <c r="U51" s="151"/>
      <c r="V51" s="151"/>
      <c r="W51" s="151"/>
      <c r="X51" s="151"/>
      <c r="Y51" s="151"/>
      <c r="Z51" s="151"/>
      <c r="AA51" s="152"/>
      <c r="AB51" s="152"/>
      <c r="AC51" s="152"/>
      <c r="AD51" s="152"/>
      <c r="AE51" s="152"/>
      <c r="AF51" s="152"/>
      <c r="AG51" s="152"/>
      <c r="AH51" s="152"/>
    </row>
    <row r="52">
      <c r="A52" s="152"/>
      <c r="B52" s="152"/>
      <c r="C52" s="152"/>
      <c r="D52" s="152"/>
      <c r="E52" s="152"/>
      <c r="F52" s="152"/>
      <c r="G52" s="152"/>
      <c r="H52" s="152"/>
      <c r="I52" s="152"/>
      <c r="J52" s="152"/>
      <c r="K52" s="152"/>
      <c r="L52" s="152"/>
      <c r="M52" s="152"/>
      <c r="N52" s="152"/>
      <c r="O52" s="152"/>
      <c r="P52" s="152"/>
      <c r="Q52" s="152"/>
      <c r="R52" s="152"/>
      <c r="S52" s="152"/>
      <c r="T52" s="152"/>
      <c r="U52" s="151"/>
      <c r="V52" s="151"/>
      <c r="W52" s="151"/>
      <c r="X52" s="151"/>
      <c r="Y52" s="151"/>
      <c r="Z52" s="151"/>
      <c r="AA52" s="152"/>
      <c r="AB52" s="152"/>
      <c r="AC52" s="152"/>
      <c r="AD52" s="152"/>
      <c r="AE52" s="152"/>
      <c r="AF52" s="152"/>
      <c r="AG52" s="152"/>
      <c r="AH52" s="152"/>
    </row>
    <row r="53">
      <c r="A53" s="152"/>
      <c r="B53" s="152"/>
      <c r="C53" s="152"/>
      <c r="D53" s="152"/>
      <c r="E53" s="152"/>
      <c r="F53" s="152"/>
      <c r="G53" s="152"/>
      <c r="H53" s="152"/>
      <c r="I53" s="152"/>
      <c r="J53" s="152"/>
      <c r="K53" s="152"/>
      <c r="L53" s="152"/>
      <c r="M53" s="152"/>
      <c r="N53" s="152"/>
      <c r="O53" s="152"/>
      <c r="P53" s="152"/>
      <c r="Q53" s="152"/>
      <c r="R53" s="152"/>
      <c r="S53" s="152"/>
      <c r="T53" s="152"/>
      <c r="U53" s="151"/>
      <c r="V53" s="151"/>
      <c r="W53" s="151"/>
      <c r="X53" s="151"/>
      <c r="Y53" s="151"/>
      <c r="Z53" s="151"/>
      <c r="AA53" s="152"/>
      <c r="AB53" s="152"/>
      <c r="AC53" s="152"/>
      <c r="AD53" s="152"/>
      <c r="AE53" s="152"/>
      <c r="AF53" s="152"/>
      <c r="AG53" s="152"/>
      <c r="AH53" s="152"/>
    </row>
    <row r="54">
      <c r="A54" s="152"/>
      <c r="B54" s="152"/>
      <c r="C54" s="152"/>
      <c r="D54" s="152"/>
      <c r="E54" s="152"/>
      <c r="F54" s="152"/>
      <c r="G54" s="152"/>
      <c r="H54" s="152"/>
      <c r="I54" s="152"/>
      <c r="J54" s="152"/>
      <c r="K54" s="152"/>
      <c r="L54" s="152"/>
      <c r="M54" s="152"/>
      <c r="N54" s="152"/>
      <c r="O54" s="152"/>
      <c r="P54" s="152"/>
      <c r="Q54" s="152"/>
      <c r="R54" s="152"/>
      <c r="S54" s="152"/>
      <c r="T54" s="152"/>
      <c r="U54" s="151"/>
      <c r="V54" s="151"/>
      <c r="W54" s="151"/>
      <c r="X54" s="151"/>
      <c r="Y54" s="151"/>
      <c r="Z54" s="151"/>
      <c r="AA54" s="152"/>
      <c r="AB54" s="152"/>
      <c r="AC54" s="152"/>
      <c r="AD54" s="152"/>
      <c r="AE54" s="152"/>
      <c r="AF54" s="152"/>
      <c r="AG54" s="152"/>
      <c r="AH54" s="152"/>
    </row>
    <row r="55">
      <c r="A55" s="152"/>
      <c r="B55" s="152"/>
      <c r="C55" s="152"/>
      <c r="D55" s="152"/>
      <c r="E55" s="152"/>
      <c r="F55" s="152"/>
      <c r="G55" s="152"/>
      <c r="H55" s="152"/>
      <c r="I55" s="152"/>
      <c r="J55" s="152"/>
      <c r="K55" s="152"/>
      <c r="L55" s="152"/>
      <c r="M55" s="152"/>
      <c r="N55" s="152"/>
      <c r="O55" s="152"/>
      <c r="P55" s="152"/>
      <c r="Q55" s="152"/>
      <c r="R55" s="152"/>
      <c r="S55" s="152"/>
      <c r="T55" s="152"/>
      <c r="U55" s="151"/>
      <c r="V55" s="151"/>
      <c r="W55" s="151"/>
      <c r="X55" s="151"/>
      <c r="Y55" s="151"/>
      <c r="Z55" s="151"/>
      <c r="AA55" s="152"/>
      <c r="AB55" s="152"/>
      <c r="AC55" s="152"/>
      <c r="AD55" s="152"/>
      <c r="AE55" s="152"/>
      <c r="AF55" s="152"/>
      <c r="AG55" s="152"/>
      <c r="AH55" s="152"/>
    </row>
    <row r="56">
      <c r="A56" s="152"/>
      <c r="B56" s="152"/>
      <c r="C56" s="152"/>
      <c r="D56" s="152"/>
      <c r="E56" s="152"/>
      <c r="F56" s="152"/>
      <c r="G56" s="152"/>
      <c r="H56" s="152"/>
      <c r="I56" s="152"/>
      <c r="J56" s="152"/>
      <c r="K56" s="152"/>
      <c r="L56" s="152"/>
      <c r="M56" s="152"/>
      <c r="N56" s="152"/>
      <c r="O56" s="152"/>
      <c r="P56" s="152"/>
      <c r="Q56" s="152"/>
      <c r="R56" s="152"/>
      <c r="S56" s="152"/>
      <c r="T56" s="152"/>
      <c r="U56" s="151"/>
      <c r="V56" s="151"/>
      <c r="W56" s="151"/>
      <c r="X56" s="151"/>
      <c r="Y56" s="151"/>
      <c r="Z56" s="151"/>
      <c r="AA56" s="152"/>
      <c r="AB56" s="152"/>
      <c r="AC56" s="152"/>
      <c r="AD56" s="152"/>
      <c r="AE56" s="152"/>
      <c r="AF56" s="152"/>
      <c r="AG56" s="152"/>
      <c r="AH56" s="152"/>
    </row>
    <row r="57">
      <c r="A57" s="152"/>
      <c r="B57" s="152"/>
      <c r="C57" s="152"/>
      <c r="D57" s="152"/>
      <c r="E57" s="152"/>
      <c r="F57" s="152"/>
      <c r="G57" s="152"/>
      <c r="H57" s="152"/>
      <c r="I57" s="152"/>
      <c r="J57" s="152"/>
      <c r="K57" s="152"/>
      <c r="L57" s="152"/>
      <c r="M57" s="152"/>
      <c r="N57" s="152"/>
      <c r="O57" s="152"/>
      <c r="P57" s="152"/>
      <c r="Q57" s="152"/>
      <c r="R57" s="152"/>
      <c r="S57" s="152"/>
      <c r="T57" s="152"/>
      <c r="U57" s="151"/>
      <c r="V57" s="151"/>
      <c r="W57" s="151"/>
      <c r="X57" s="151"/>
      <c r="Y57" s="151"/>
      <c r="Z57" s="151"/>
      <c r="AA57" s="152"/>
      <c r="AB57" s="152"/>
      <c r="AC57" s="152"/>
      <c r="AD57" s="152"/>
      <c r="AE57" s="152"/>
      <c r="AF57" s="152"/>
      <c r="AG57" s="152"/>
      <c r="AH57" s="152"/>
    </row>
    <row r="58">
      <c r="A58" s="152"/>
      <c r="B58" s="152"/>
      <c r="C58" s="152"/>
      <c r="D58" s="152"/>
      <c r="E58" s="152"/>
      <c r="F58" s="152"/>
      <c r="G58" s="152"/>
      <c r="H58" s="152"/>
      <c r="I58" s="152"/>
      <c r="J58" s="152"/>
      <c r="K58" s="152"/>
      <c r="L58" s="152"/>
      <c r="M58" s="152"/>
      <c r="N58" s="152"/>
      <c r="O58" s="152"/>
      <c r="P58" s="152"/>
      <c r="Q58" s="152"/>
      <c r="R58" s="152"/>
      <c r="S58" s="152"/>
      <c r="T58" s="152"/>
      <c r="U58" s="151"/>
      <c r="V58" s="151"/>
      <c r="W58" s="151"/>
      <c r="X58" s="151"/>
      <c r="Y58" s="151"/>
      <c r="Z58" s="151"/>
      <c r="AA58" s="152"/>
      <c r="AB58" s="152"/>
      <c r="AC58" s="152"/>
      <c r="AD58" s="152"/>
      <c r="AE58" s="152"/>
      <c r="AF58" s="152"/>
      <c r="AG58" s="152"/>
      <c r="AH58" s="152"/>
    </row>
    <row r="59">
      <c r="A59" s="152"/>
      <c r="B59" s="152"/>
      <c r="C59" s="152"/>
      <c r="D59" s="152"/>
      <c r="E59" s="152"/>
      <c r="F59" s="152"/>
      <c r="G59" s="152"/>
      <c r="H59" s="152"/>
      <c r="I59" s="152"/>
      <c r="J59" s="152"/>
      <c r="K59" s="152"/>
      <c r="L59" s="152"/>
      <c r="M59" s="152"/>
      <c r="N59" s="152"/>
      <c r="O59" s="152"/>
      <c r="P59" s="152"/>
      <c r="Q59" s="152"/>
      <c r="R59" s="152"/>
      <c r="S59" s="152"/>
      <c r="T59" s="152"/>
      <c r="U59" s="151"/>
      <c r="V59" s="151"/>
      <c r="W59" s="151"/>
      <c r="X59" s="151"/>
      <c r="Y59" s="151"/>
      <c r="Z59" s="151"/>
      <c r="AA59" s="152"/>
      <c r="AB59" s="152"/>
      <c r="AC59" s="152"/>
      <c r="AD59" s="152"/>
      <c r="AE59" s="152"/>
      <c r="AF59" s="152"/>
      <c r="AG59" s="152"/>
      <c r="AH59" s="152"/>
    </row>
    <row r="60">
      <c r="A60" s="152"/>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c r="AB60" s="152"/>
      <c r="AC60" s="152"/>
      <c r="AD60" s="152"/>
      <c r="AE60" s="152"/>
      <c r="AF60" s="152"/>
      <c r="AG60" s="152"/>
      <c r="AH60" s="152"/>
    </row>
    <row r="61">
      <c r="A61" s="152"/>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c r="AB61" s="152"/>
      <c r="AC61" s="152"/>
      <c r="AD61" s="152"/>
      <c r="AE61" s="152"/>
      <c r="AF61" s="152"/>
      <c r="AG61" s="152"/>
      <c r="AH61" s="152"/>
    </row>
    <row r="62">
      <c r="A62" s="152"/>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c r="AB62" s="152"/>
      <c r="AC62" s="152"/>
      <c r="AD62" s="152"/>
      <c r="AE62" s="152"/>
      <c r="AF62" s="152"/>
      <c r="AG62" s="152"/>
      <c r="AH62" s="152"/>
    </row>
    <row r="63">
      <c r="A63" s="152"/>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c r="AB63" s="152"/>
      <c r="AC63" s="152"/>
      <c r="AD63" s="152"/>
      <c r="AE63" s="152"/>
      <c r="AF63" s="152"/>
      <c r="AG63" s="152"/>
      <c r="AH63" s="152"/>
    </row>
    <row r="64">
      <c r="A64" s="152"/>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c r="AB64" s="152"/>
      <c r="AC64" s="152"/>
      <c r="AD64" s="152"/>
      <c r="AE64" s="152"/>
      <c r="AF64" s="152"/>
      <c r="AG64" s="152"/>
      <c r="AH64" s="152"/>
    </row>
    <row r="65">
      <c r="A65" s="152"/>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c r="AC65" s="152"/>
      <c r="AD65" s="152"/>
      <c r="AE65" s="152"/>
      <c r="AF65" s="152"/>
      <c r="AG65" s="152"/>
      <c r="AH65" s="152"/>
    </row>
    <row r="66">
      <c r="A66" s="152"/>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c r="AC66" s="152"/>
      <c r="AD66" s="152"/>
      <c r="AE66" s="152"/>
      <c r="AF66" s="152"/>
      <c r="AG66" s="152"/>
      <c r="AH66" s="152"/>
    </row>
    <row r="67">
      <c r="A67" s="152"/>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c r="AC67" s="152"/>
      <c r="AD67" s="152"/>
      <c r="AE67" s="152"/>
      <c r="AF67" s="152"/>
      <c r="AG67" s="152"/>
      <c r="AH67" s="152"/>
    </row>
    <row r="68">
      <c r="A68" s="152"/>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c r="AB68" s="152"/>
      <c r="AC68" s="152"/>
      <c r="AD68" s="152"/>
      <c r="AE68" s="152"/>
      <c r="AF68" s="152"/>
      <c r="AG68" s="152"/>
      <c r="AH68" s="152"/>
    </row>
    <row r="69">
      <c r="A69" s="152"/>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c r="AC69" s="152"/>
      <c r="AD69" s="152"/>
      <c r="AE69" s="152"/>
      <c r="AF69" s="152"/>
      <c r="AG69" s="152"/>
      <c r="AH69" s="152"/>
    </row>
    <row r="70">
      <c r="A70" s="152"/>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c r="AB70" s="152"/>
      <c r="AC70" s="152"/>
      <c r="AD70" s="152"/>
      <c r="AE70" s="152"/>
      <c r="AF70" s="152"/>
      <c r="AG70" s="152"/>
      <c r="AH70" s="152"/>
    </row>
    <row r="71">
      <c r="A71" s="152"/>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c r="AC71" s="152"/>
      <c r="AD71" s="152"/>
      <c r="AE71" s="152"/>
      <c r="AF71" s="152"/>
      <c r="AG71" s="152"/>
      <c r="AH71" s="152"/>
    </row>
    <row r="72">
      <c r="A72" s="152"/>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c r="AB72" s="152"/>
      <c r="AC72" s="152"/>
      <c r="AD72" s="152"/>
      <c r="AE72" s="152"/>
      <c r="AF72" s="152"/>
      <c r="AG72" s="152"/>
      <c r="AH72" s="152"/>
    </row>
    <row r="73">
      <c r="A73" s="152"/>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152"/>
      <c r="AH73" s="152"/>
    </row>
    <row r="74">
      <c r="A74" s="152"/>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c r="AB74" s="152"/>
      <c r="AC74" s="152"/>
      <c r="AD74" s="152"/>
      <c r="AE74" s="152"/>
      <c r="AF74" s="152"/>
      <c r="AG74" s="152"/>
      <c r="AH74" s="152"/>
    </row>
    <row r="75">
      <c r="A75" s="15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c r="AC75" s="152"/>
      <c r="AD75" s="152"/>
      <c r="AE75" s="152"/>
      <c r="AF75" s="152"/>
      <c r="AG75" s="152"/>
      <c r="AH75" s="152"/>
    </row>
    <row r="76">
      <c r="A76" s="152"/>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c r="AB76" s="152"/>
      <c r="AC76" s="152"/>
      <c r="AD76" s="152"/>
      <c r="AE76" s="152"/>
      <c r="AF76" s="152"/>
      <c r="AG76" s="152"/>
      <c r="AH76" s="152"/>
    </row>
    <row r="77">
      <c r="A77" s="152"/>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c r="AB77" s="152"/>
      <c r="AC77" s="152"/>
      <c r="AD77" s="152"/>
      <c r="AE77" s="152"/>
      <c r="AF77" s="152"/>
      <c r="AG77" s="152"/>
      <c r="AH77" s="152"/>
    </row>
    <row r="78">
      <c r="A78" s="152"/>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c r="AB78" s="152"/>
      <c r="AC78" s="152"/>
      <c r="AD78" s="152"/>
      <c r="AE78" s="152"/>
      <c r="AF78" s="152"/>
      <c r="AG78" s="152"/>
      <c r="AH78" s="152"/>
    </row>
    <row r="79">
      <c r="A79" s="152"/>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c r="AB79" s="152"/>
      <c r="AC79" s="152"/>
      <c r="AD79" s="152"/>
      <c r="AE79" s="152"/>
      <c r="AF79" s="152"/>
      <c r="AG79" s="152"/>
      <c r="AH79" s="152"/>
    </row>
    <row r="80">
      <c r="A80" s="152"/>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c r="AB80" s="152"/>
      <c r="AC80" s="152"/>
      <c r="AD80" s="152"/>
      <c r="AE80" s="152"/>
      <c r="AF80" s="152"/>
      <c r="AG80" s="152"/>
      <c r="AH80" s="152"/>
    </row>
    <row r="81">
      <c r="A81" s="152"/>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c r="AB81" s="152"/>
      <c r="AC81" s="152"/>
      <c r="AD81" s="152"/>
      <c r="AE81" s="152"/>
      <c r="AF81" s="152"/>
      <c r="AG81" s="152"/>
      <c r="AH81" s="152"/>
    </row>
    <row r="82">
      <c r="A82" s="152"/>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c r="AC82" s="152"/>
      <c r="AD82" s="152"/>
      <c r="AE82" s="152"/>
      <c r="AF82" s="152"/>
      <c r="AG82" s="152"/>
      <c r="AH82" s="152"/>
    </row>
    <row r="83">
      <c r="A83" s="152"/>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c r="AC83" s="152"/>
      <c r="AD83" s="152"/>
      <c r="AE83" s="152"/>
      <c r="AF83" s="152"/>
      <c r="AG83" s="152"/>
      <c r="AH83" s="152"/>
    </row>
    <row r="84">
      <c r="A84" s="152"/>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c r="AC84" s="152"/>
      <c r="AD84" s="152"/>
      <c r="AE84" s="152"/>
      <c r="AF84" s="152"/>
      <c r="AG84" s="152"/>
      <c r="AH84" s="152"/>
    </row>
    <row r="85">
      <c r="A85" s="152"/>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c r="AC85" s="152"/>
      <c r="AD85" s="152"/>
      <c r="AE85" s="152"/>
      <c r="AF85" s="152"/>
      <c r="AG85" s="152"/>
      <c r="AH85" s="152"/>
    </row>
    <row r="86">
      <c r="A86" s="152"/>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c r="AB86" s="152"/>
      <c r="AC86" s="152"/>
      <c r="AD86" s="152"/>
      <c r="AE86" s="152"/>
      <c r="AF86" s="152"/>
      <c r="AG86" s="152"/>
      <c r="AH86" s="152"/>
    </row>
    <row r="87">
      <c r="A87" s="152"/>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c r="AB87" s="152"/>
      <c r="AC87" s="152"/>
      <c r="AD87" s="152"/>
      <c r="AE87" s="152"/>
      <c r="AF87" s="152"/>
      <c r="AG87" s="152"/>
      <c r="AH87" s="152"/>
    </row>
    <row r="88">
      <c r="A88" s="152"/>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c r="AB88" s="152"/>
      <c r="AC88" s="152"/>
      <c r="AD88" s="152"/>
      <c r="AE88" s="152"/>
      <c r="AF88" s="152"/>
      <c r="AG88" s="152"/>
      <c r="AH88" s="152"/>
    </row>
    <row r="89">
      <c r="A89" s="152"/>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c r="A90" s="152"/>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c r="AB90" s="152"/>
      <c r="AC90" s="152"/>
      <c r="AD90" s="152"/>
      <c r="AE90" s="152"/>
      <c r="AF90" s="152"/>
      <c r="AG90" s="152"/>
      <c r="AH90" s="152"/>
    </row>
    <row r="91">
      <c r="A91" s="152"/>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c r="AB91" s="152"/>
      <c r="AC91" s="152"/>
      <c r="AD91" s="152"/>
      <c r="AE91" s="152"/>
      <c r="AF91" s="152"/>
      <c r="AG91" s="152"/>
      <c r="AH91" s="152"/>
    </row>
    <row r="92">
      <c r="A92" s="152"/>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c r="AB92" s="152"/>
      <c r="AC92" s="152"/>
      <c r="AD92" s="152"/>
      <c r="AE92" s="152"/>
      <c r="AF92" s="152"/>
      <c r="AG92" s="152"/>
      <c r="AH92" s="152"/>
    </row>
    <row r="93">
      <c r="A93" s="152"/>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c r="AC93" s="152"/>
      <c r="AD93" s="152"/>
      <c r="AE93" s="152"/>
      <c r="AF93" s="152"/>
      <c r="AG93" s="152"/>
      <c r="AH93" s="152"/>
    </row>
    <row r="94">
      <c r="A94" s="152"/>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c r="AC94" s="152"/>
      <c r="AD94" s="152"/>
      <c r="AE94" s="152"/>
      <c r="AF94" s="152"/>
      <c r="AG94" s="152"/>
      <c r="AH94" s="152"/>
    </row>
    <row r="95">
      <c r="A95" s="152"/>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c r="AC95" s="152"/>
      <c r="AD95" s="152"/>
      <c r="AE95" s="152"/>
      <c r="AF95" s="152"/>
      <c r="AG95" s="152"/>
      <c r="AH95" s="152"/>
    </row>
    <row r="96">
      <c r="A96" s="152"/>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c r="AC96" s="152"/>
      <c r="AD96" s="152"/>
      <c r="AE96" s="152"/>
      <c r="AF96" s="152"/>
      <c r="AG96" s="152"/>
      <c r="AH96" s="152"/>
    </row>
    <row r="97">
      <c r="A97" s="152"/>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c r="AC97" s="152"/>
      <c r="AD97" s="152"/>
      <c r="AE97" s="152"/>
      <c r="AF97" s="152"/>
      <c r="AG97" s="152"/>
      <c r="AH97" s="152"/>
    </row>
    <row r="98">
      <c r="A98" s="152"/>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c r="AB98" s="152"/>
      <c r="AC98" s="152"/>
      <c r="AD98" s="152"/>
      <c r="AE98" s="152"/>
      <c r="AF98" s="152"/>
      <c r="AG98" s="152"/>
      <c r="AH98" s="152"/>
    </row>
    <row r="99">
      <c r="A99" s="152"/>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c r="AB99" s="152"/>
      <c r="AC99" s="152"/>
      <c r="AD99" s="152"/>
      <c r="AE99" s="152"/>
      <c r="AF99" s="152"/>
      <c r="AG99" s="152"/>
      <c r="AH99" s="152"/>
    </row>
    <row r="100">
      <c r="A100" s="152"/>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row>
    <row r="101">
      <c r="A101" s="152"/>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row>
    <row r="102">
      <c r="A102" s="152"/>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row>
    <row r="103">
      <c r="A103" s="152"/>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row>
    <row r="104">
      <c r="A104" s="152"/>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row>
    <row r="105">
      <c r="A105" s="152"/>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row>
    <row r="106">
      <c r="A106" s="152"/>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row>
    <row r="107">
      <c r="A107" s="152"/>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row>
    <row r="108">
      <c r="A108" s="152"/>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row>
    <row r="109">
      <c r="A109" s="152"/>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row>
    <row r="110">
      <c r="A110" s="152"/>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row>
    <row r="111">
      <c r="A111" s="152"/>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row>
    <row r="112">
      <c r="A112" s="152"/>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row>
    <row r="113">
      <c r="A113" s="152"/>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row>
    <row r="114">
      <c r="A114" s="152"/>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row>
    <row r="115">
      <c r="A115" s="152"/>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row>
    <row r="116">
      <c r="A116" s="152"/>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row>
    <row r="117">
      <c r="A117" s="152"/>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row>
    <row r="118">
      <c r="A118" s="152"/>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row>
    <row r="119">
      <c r="A119" s="152"/>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row>
    <row r="120">
      <c r="A120" s="152"/>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row>
    <row r="121">
      <c r="A121" s="152"/>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row>
    <row r="122">
      <c r="A122" s="152"/>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row>
    <row r="123">
      <c r="A123" s="152"/>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row>
    <row r="124">
      <c r="A124" s="152"/>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row>
    <row r="125">
      <c r="A125" s="152"/>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row>
    <row r="126">
      <c r="A126" s="152"/>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row>
    <row r="127">
      <c r="A127" s="152"/>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row>
    <row r="128">
      <c r="A128" s="152"/>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row>
    <row r="129">
      <c r="A129" s="152"/>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row>
    <row r="130">
      <c r="A130" s="152"/>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row>
    <row r="131">
      <c r="A131" s="152"/>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row>
    <row r="132">
      <c r="A132" s="152"/>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row>
    <row r="133">
      <c r="A133" s="152"/>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row>
    <row r="134">
      <c r="A134" s="152"/>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row>
    <row r="135">
      <c r="A135" s="152"/>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row>
    <row r="136">
      <c r="A136" s="152"/>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row>
    <row r="137">
      <c r="A137" s="152"/>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row>
    <row r="138">
      <c r="A138" s="152"/>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row>
    <row r="139">
      <c r="A139" s="152"/>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row>
    <row r="140">
      <c r="A140" s="152"/>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row>
    <row r="141">
      <c r="A141" s="152"/>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row>
    <row r="142">
      <c r="A142" s="152"/>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row>
    <row r="143">
      <c r="A143" s="152"/>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row>
    <row r="144">
      <c r="A144" s="152"/>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row>
    <row r="145">
      <c r="A145" s="152"/>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row>
    <row r="146">
      <c r="A146" s="152"/>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row>
    <row r="147">
      <c r="A147" s="152"/>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row>
    <row r="148">
      <c r="A148" s="152"/>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row>
    <row r="149">
      <c r="A149" s="152"/>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row>
    <row r="150">
      <c r="A150" s="152"/>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row>
    <row r="151">
      <c r="A151" s="152"/>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row>
    <row r="152">
      <c r="A152" s="152"/>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row>
    <row r="153">
      <c r="A153" s="152"/>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row>
    <row r="154">
      <c r="A154" s="152"/>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row>
    <row r="155">
      <c r="A155" s="152"/>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row>
    <row r="156">
      <c r="A156" s="152"/>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row>
    <row r="157">
      <c r="A157" s="152"/>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row>
    <row r="158">
      <c r="A158" s="152"/>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row>
    <row r="159">
      <c r="A159" s="152"/>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row>
    <row r="160">
      <c r="A160" s="152"/>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row>
    <row r="161">
      <c r="A161" s="152"/>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row>
    <row r="162">
      <c r="A162" s="152"/>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row>
    <row r="163">
      <c r="A163" s="152"/>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row>
    <row r="164">
      <c r="A164" s="152"/>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row>
    <row r="165">
      <c r="A165" s="152"/>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row>
    <row r="166">
      <c r="A166" s="152"/>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row>
    <row r="167">
      <c r="A167" s="152"/>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row>
    <row r="168">
      <c r="A168" s="152"/>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row>
    <row r="169">
      <c r="A169" s="152"/>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row>
    <row r="170">
      <c r="A170" s="152"/>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row>
    <row r="171">
      <c r="A171" s="152"/>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row>
    <row r="172">
      <c r="A172" s="152"/>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row>
    <row r="173">
      <c r="A173" s="152"/>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c r="AB173" s="152"/>
      <c r="AC173" s="152"/>
      <c r="AD173" s="152"/>
      <c r="AE173" s="152"/>
      <c r="AF173" s="152"/>
      <c r="AG173" s="152"/>
      <c r="AH173" s="152"/>
    </row>
    <row r="174">
      <c r="A174" s="152"/>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c r="AB174" s="152"/>
      <c r="AC174" s="152"/>
      <c r="AD174" s="152"/>
      <c r="AE174" s="152"/>
      <c r="AF174" s="152"/>
      <c r="AG174" s="152"/>
      <c r="AH174" s="152"/>
    </row>
    <row r="175">
      <c r="A175" s="152"/>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c r="AB175" s="152"/>
      <c r="AC175" s="152"/>
      <c r="AD175" s="152"/>
      <c r="AE175" s="152"/>
      <c r="AF175" s="152"/>
      <c r="AG175" s="152"/>
      <c r="AH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c r="AC176" s="152"/>
      <c r="AD176" s="152"/>
      <c r="AE176" s="152"/>
      <c r="AF176" s="152"/>
      <c r="AG176" s="152"/>
      <c r="AH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c r="AB177" s="152"/>
      <c r="AC177" s="152"/>
      <c r="AD177" s="152"/>
      <c r="AE177" s="152"/>
      <c r="AF177" s="152"/>
      <c r="AG177" s="152"/>
      <c r="AH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c r="AB178" s="152"/>
      <c r="AC178" s="152"/>
      <c r="AD178" s="152"/>
      <c r="AE178" s="152"/>
      <c r="AF178" s="152"/>
      <c r="AG178" s="152"/>
      <c r="AH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c r="AC179" s="152"/>
      <c r="AD179" s="152"/>
      <c r="AE179" s="152"/>
      <c r="AF179" s="152"/>
      <c r="AG179" s="152"/>
      <c r="AH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c r="AC180" s="152"/>
      <c r="AD180" s="152"/>
      <c r="AE180" s="152"/>
      <c r="AF180" s="152"/>
      <c r="AG180" s="152"/>
      <c r="AH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c r="AC181" s="152"/>
      <c r="AD181" s="152"/>
      <c r="AE181" s="152"/>
      <c r="AF181" s="152"/>
      <c r="AG181" s="152"/>
      <c r="AH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c r="AB182" s="152"/>
      <c r="AC182" s="152"/>
      <c r="AD182" s="152"/>
      <c r="AE182" s="152"/>
      <c r="AF182" s="152"/>
      <c r="AG182" s="152"/>
      <c r="AH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c r="AB183" s="152"/>
      <c r="AC183" s="152"/>
      <c r="AD183" s="152"/>
      <c r="AE183" s="152"/>
      <c r="AF183" s="152"/>
      <c r="AG183" s="152"/>
      <c r="AH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c r="AB184" s="152"/>
      <c r="AC184" s="152"/>
      <c r="AD184" s="152"/>
      <c r="AE184" s="152"/>
      <c r="AF184" s="152"/>
      <c r="AG184" s="152"/>
      <c r="AH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c r="AB185" s="152"/>
      <c r="AC185" s="152"/>
      <c r="AD185" s="152"/>
      <c r="AE185" s="152"/>
      <c r="AF185" s="152"/>
      <c r="AG185" s="152"/>
      <c r="AH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c r="AB186" s="152"/>
      <c r="AC186" s="152"/>
      <c r="AD186" s="152"/>
      <c r="AE186" s="152"/>
      <c r="AF186" s="152"/>
      <c r="AG186" s="152"/>
      <c r="AH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c r="AB187" s="152"/>
      <c r="AC187" s="152"/>
      <c r="AD187" s="152"/>
      <c r="AE187" s="152"/>
      <c r="AF187" s="152"/>
      <c r="AG187" s="152"/>
      <c r="AH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c r="AB188" s="152"/>
      <c r="AC188" s="152"/>
      <c r="AD188" s="152"/>
      <c r="AE188" s="152"/>
      <c r="AF188" s="152"/>
      <c r="AG188" s="152"/>
      <c r="AH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c r="AB189" s="152"/>
      <c r="AC189" s="152"/>
      <c r="AD189" s="152"/>
      <c r="AE189" s="152"/>
      <c r="AF189" s="152"/>
      <c r="AG189" s="152"/>
      <c r="AH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c r="AB190" s="152"/>
      <c r="AC190" s="152"/>
      <c r="AD190" s="152"/>
      <c r="AE190" s="152"/>
      <c r="AF190" s="152"/>
      <c r="AG190" s="152"/>
      <c r="AH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c r="AB191" s="152"/>
      <c r="AC191" s="152"/>
      <c r="AD191" s="152"/>
      <c r="AE191" s="152"/>
      <c r="AF191" s="152"/>
      <c r="AG191" s="152"/>
      <c r="AH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c r="AB192" s="152"/>
      <c r="AC192" s="152"/>
      <c r="AD192" s="152"/>
      <c r="AE192" s="152"/>
      <c r="AF192" s="152"/>
      <c r="AG192" s="152"/>
      <c r="AH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c r="AB193" s="152"/>
      <c r="AC193" s="152"/>
      <c r="AD193" s="152"/>
      <c r="AE193" s="152"/>
      <c r="AF193" s="152"/>
      <c r="AG193" s="152"/>
      <c r="AH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c r="AB194" s="152"/>
      <c r="AC194" s="152"/>
      <c r="AD194" s="152"/>
      <c r="AE194" s="152"/>
      <c r="AF194" s="152"/>
      <c r="AG194" s="152"/>
      <c r="AH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c r="AB195" s="152"/>
      <c r="AC195" s="152"/>
      <c r="AD195" s="152"/>
      <c r="AE195" s="152"/>
      <c r="AF195" s="152"/>
      <c r="AG195" s="152"/>
      <c r="AH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c r="AB196" s="152"/>
      <c r="AC196" s="152"/>
      <c r="AD196" s="152"/>
      <c r="AE196" s="152"/>
      <c r="AF196" s="152"/>
      <c r="AG196" s="152"/>
      <c r="AH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c r="AB197" s="152"/>
      <c r="AC197" s="152"/>
      <c r="AD197" s="152"/>
      <c r="AE197" s="152"/>
      <c r="AF197" s="152"/>
      <c r="AG197" s="152"/>
      <c r="AH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c r="AC198" s="152"/>
      <c r="AD198" s="152"/>
      <c r="AE198" s="152"/>
      <c r="AF198" s="152"/>
      <c r="AG198" s="152"/>
      <c r="AH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c r="AC199" s="152"/>
      <c r="AD199" s="152"/>
      <c r="AE199" s="152"/>
      <c r="AF199" s="152"/>
      <c r="AG199" s="152"/>
      <c r="AH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c r="AC200" s="152"/>
      <c r="AD200" s="152"/>
      <c r="AE200" s="152"/>
      <c r="AF200" s="152"/>
      <c r="AG200" s="152"/>
      <c r="AH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c r="AC201" s="152"/>
      <c r="AD201" s="152"/>
      <c r="AE201" s="152"/>
      <c r="AF201" s="152"/>
      <c r="AG201" s="152"/>
      <c r="AH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c r="AC202" s="152"/>
      <c r="AD202" s="152"/>
      <c r="AE202" s="152"/>
      <c r="AF202" s="152"/>
      <c r="AG202" s="152"/>
      <c r="AH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c r="AC203" s="152"/>
      <c r="AD203" s="152"/>
      <c r="AE203" s="152"/>
      <c r="AF203" s="152"/>
      <c r="AG203" s="152"/>
      <c r="AH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c r="AC204" s="152"/>
      <c r="AD204" s="152"/>
      <c r="AE204" s="152"/>
      <c r="AF204" s="152"/>
      <c r="AG204" s="152"/>
      <c r="AH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c r="AB205" s="152"/>
      <c r="AC205" s="152"/>
      <c r="AD205" s="152"/>
      <c r="AE205" s="152"/>
      <c r="AF205" s="152"/>
      <c r="AG205" s="152"/>
      <c r="AH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c r="AC206" s="152"/>
      <c r="AD206" s="152"/>
      <c r="AE206" s="152"/>
      <c r="AF206" s="152"/>
      <c r="AG206" s="152"/>
      <c r="AH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c r="AC207" s="152"/>
      <c r="AD207" s="152"/>
      <c r="AE207" s="152"/>
      <c r="AF207" s="152"/>
      <c r="AG207" s="152"/>
      <c r="AH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c r="AC208" s="152"/>
      <c r="AD208" s="152"/>
      <c r="AE208" s="152"/>
      <c r="AF208" s="152"/>
      <c r="AG208" s="152"/>
      <c r="AH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c r="AC209" s="152"/>
      <c r="AD209" s="152"/>
      <c r="AE209" s="152"/>
      <c r="AF209" s="152"/>
      <c r="AG209" s="152"/>
      <c r="AH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c r="AC210" s="152"/>
      <c r="AD210" s="152"/>
      <c r="AE210" s="152"/>
      <c r="AF210" s="152"/>
      <c r="AG210" s="152"/>
      <c r="AH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c r="AC211" s="152"/>
      <c r="AD211" s="152"/>
      <c r="AE211" s="152"/>
      <c r="AF211" s="152"/>
      <c r="AG211" s="152"/>
      <c r="AH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c r="AB212" s="152"/>
      <c r="AC212" s="152"/>
      <c r="AD212" s="152"/>
      <c r="AE212" s="152"/>
      <c r="AF212" s="152"/>
      <c r="AG212" s="152"/>
      <c r="AH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c r="AB213" s="152"/>
      <c r="AC213" s="152"/>
      <c r="AD213" s="152"/>
      <c r="AE213" s="152"/>
      <c r="AF213" s="152"/>
      <c r="AG213" s="152"/>
      <c r="AH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c r="AB214" s="152"/>
      <c r="AC214" s="152"/>
      <c r="AD214" s="152"/>
      <c r="AE214" s="152"/>
      <c r="AF214" s="152"/>
      <c r="AG214" s="152"/>
      <c r="AH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c r="AB215" s="152"/>
      <c r="AC215" s="152"/>
      <c r="AD215" s="152"/>
      <c r="AE215" s="152"/>
      <c r="AF215" s="152"/>
      <c r="AG215" s="152"/>
      <c r="AH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c r="AB216" s="152"/>
      <c r="AC216" s="152"/>
      <c r="AD216" s="152"/>
      <c r="AE216" s="152"/>
      <c r="AF216" s="152"/>
      <c r="AG216" s="152"/>
      <c r="AH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c r="AB217" s="152"/>
      <c r="AC217" s="152"/>
      <c r="AD217" s="152"/>
      <c r="AE217" s="152"/>
      <c r="AF217" s="152"/>
      <c r="AG217" s="152"/>
      <c r="AH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c r="AB218" s="152"/>
      <c r="AC218" s="152"/>
      <c r="AD218" s="152"/>
      <c r="AE218" s="152"/>
      <c r="AF218" s="152"/>
      <c r="AG218" s="152"/>
      <c r="AH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c r="AB219" s="152"/>
      <c r="AC219" s="152"/>
      <c r="AD219" s="152"/>
      <c r="AE219" s="152"/>
      <c r="AF219" s="152"/>
      <c r="AG219" s="152"/>
      <c r="AH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c r="AB220" s="152"/>
      <c r="AC220" s="152"/>
      <c r="AD220" s="152"/>
      <c r="AE220" s="152"/>
      <c r="AF220" s="152"/>
      <c r="AG220" s="152"/>
      <c r="AH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c r="AB221" s="152"/>
      <c r="AC221" s="152"/>
      <c r="AD221" s="152"/>
      <c r="AE221" s="152"/>
      <c r="AF221" s="152"/>
      <c r="AG221" s="152"/>
      <c r="AH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c r="AB222" s="152"/>
      <c r="AC222" s="152"/>
      <c r="AD222" s="152"/>
      <c r="AE222" s="152"/>
      <c r="AF222" s="152"/>
      <c r="AG222" s="152"/>
      <c r="AH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c r="AB223" s="152"/>
      <c r="AC223" s="152"/>
      <c r="AD223" s="152"/>
      <c r="AE223" s="152"/>
      <c r="AF223" s="152"/>
      <c r="AG223" s="152"/>
      <c r="AH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c r="AB224" s="152"/>
      <c r="AC224" s="152"/>
      <c r="AD224" s="152"/>
      <c r="AE224" s="152"/>
      <c r="AF224" s="152"/>
      <c r="AG224" s="152"/>
      <c r="AH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c r="AB225" s="152"/>
      <c r="AC225" s="152"/>
      <c r="AD225" s="152"/>
      <c r="AE225" s="152"/>
      <c r="AF225" s="152"/>
      <c r="AG225" s="152"/>
      <c r="AH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c r="AB226" s="152"/>
      <c r="AC226" s="152"/>
      <c r="AD226" s="152"/>
      <c r="AE226" s="152"/>
      <c r="AF226" s="152"/>
      <c r="AG226" s="152"/>
      <c r="AH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c r="AB227" s="152"/>
      <c r="AC227" s="152"/>
      <c r="AD227" s="152"/>
      <c r="AE227" s="152"/>
      <c r="AF227" s="152"/>
      <c r="AG227" s="152"/>
      <c r="AH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c r="AB228" s="152"/>
      <c r="AC228" s="152"/>
      <c r="AD228" s="152"/>
      <c r="AE228" s="152"/>
      <c r="AF228" s="152"/>
      <c r="AG228" s="152"/>
      <c r="AH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c r="AC229" s="152"/>
      <c r="AD229" s="152"/>
      <c r="AE229" s="152"/>
      <c r="AF229" s="152"/>
      <c r="AG229" s="152"/>
      <c r="AH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c r="AB230" s="152"/>
      <c r="AC230" s="152"/>
      <c r="AD230" s="152"/>
      <c r="AE230" s="152"/>
      <c r="AF230" s="152"/>
      <c r="AG230" s="152"/>
      <c r="AH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c r="AB231" s="152"/>
      <c r="AC231" s="152"/>
      <c r="AD231" s="152"/>
      <c r="AE231" s="152"/>
      <c r="AF231" s="152"/>
      <c r="AG231" s="152"/>
      <c r="AH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c r="AC232" s="152"/>
      <c r="AD232" s="152"/>
      <c r="AE232" s="152"/>
      <c r="AF232" s="152"/>
      <c r="AG232" s="152"/>
      <c r="AH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c r="AC233" s="152"/>
      <c r="AD233" s="152"/>
      <c r="AE233" s="152"/>
      <c r="AF233" s="152"/>
      <c r="AG233" s="152"/>
      <c r="AH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c r="AC234" s="152"/>
      <c r="AD234" s="152"/>
      <c r="AE234" s="152"/>
      <c r="AF234" s="152"/>
      <c r="AG234" s="152"/>
      <c r="AH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c r="AB235" s="152"/>
      <c r="AC235" s="152"/>
      <c r="AD235" s="152"/>
      <c r="AE235" s="152"/>
      <c r="AF235" s="152"/>
      <c r="AG235" s="152"/>
      <c r="AH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c r="AB236" s="152"/>
      <c r="AC236" s="152"/>
      <c r="AD236" s="152"/>
      <c r="AE236" s="152"/>
      <c r="AF236" s="152"/>
      <c r="AG236" s="152"/>
      <c r="AH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c r="AC237" s="152"/>
      <c r="AD237" s="152"/>
      <c r="AE237" s="152"/>
      <c r="AF237" s="152"/>
      <c r="AG237" s="152"/>
      <c r="AH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c r="AB238" s="152"/>
      <c r="AC238" s="152"/>
      <c r="AD238" s="152"/>
      <c r="AE238" s="152"/>
      <c r="AF238" s="152"/>
      <c r="AG238" s="152"/>
      <c r="AH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c r="AC239" s="152"/>
      <c r="AD239" s="152"/>
      <c r="AE239" s="152"/>
      <c r="AF239" s="152"/>
      <c r="AG239" s="152"/>
      <c r="AH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c r="AC240" s="152"/>
      <c r="AD240" s="152"/>
      <c r="AE240" s="152"/>
      <c r="AF240" s="152"/>
      <c r="AG240" s="152"/>
      <c r="AH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c r="AC241" s="152"/>
      <c r="AD241" s="152"/>
      <c r="AE241" s="152"/>
      <c r="AF241" s="152"/>
      <c r="AG241" s="152"/>
      <c r="AH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c r="AC242" s="152"/>
      <c r="AD242" s="152"/>
      <c r="AE242" s="152"/>
      <c r="AF242" s="152"/>
      <c r="AG242" s="152"/>
      <c r="AH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c r="AB243" s="152"/>
      <c r="AC243" s="152"/>
      <c r="AD243" s="152"/>
      <c r="AE243" s="152"/>
      <c r="AF243" s="152"/>
      <c r="AG243" s="152"/>
      <c r="AH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c r="AB244" s="152"/>
      <c r="AC244" s="152"/>
      <c r="AD244" s="152"/>
      <c r="AE244" s="152"/>
      <c r="AF244" s="152"/>
      <c r="AG244" s="152"/>
      <c r="AH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c r="AB245" s="152"/>
      <c r="AC245" s="152"/>
      <c r="AD245" s="152"/>
      <c r="AE245" s="152"/>
      <c r="AF245" s="152"/>
      <c r="AG245" s="152"/>
      <c r="AH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c r="AC246" s="152"/>
      <c r="AD246" s="152"/>
      <c r="AE246" s="152"/>
      <c r="AF246" s="152"/>
      <c r="AG246" s="152"/>
      <c r="AH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c r="AB247" s="152"/>
      <c r="AC247" s="152"/>
      <c r="AD247" s="152"/>
      <c r="AE247" s="152"/>
      <c r="AF247" s="152"/>
      <c r="AG247" s="152"/>
      <c r="AH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c r="AC248" s="152"/>
      <c r="AD248" s="152"/>
      <c r="AE248" s="152"/>
      <c r="AF248" s="152"/>
      <c r="AG248" s="152"/>
      <c r="AH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c r="AB249" s="152"/>
      <c r="AC249" s="152"/>
      <c r="AD249" s="152"/>
      <c r="AE249" s="152"/>
      <c r="AF249" s="152"/>
      <c r="AG249" s="152"/>
      <c r="AH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c r="AC250" s="152"/>
      <c r="AD250" s="152"/>
      <c r="AE250" s="152"/>
      <c r="AF250" s="152"/>
      <c r="AG250" s="152"/>
      <c r="AH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c r="AB251" s="152"/>
      <c r="AC251" s="152"/>
      <c r="AD251" s="152"/>
      <c r="AE251" s="152"/>
      <c r="AF251" s="152"/>
      <c r="AG251" s="152"/>
      <c r="AH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c r="AB252" s="152"/>
      <c r="AC252" s="152"/>
      <c r="AD252" s="152"/>
      <c r="AE252" s="152"/>
      <c r="AF252" s="152"/>
      <c r="AG252" s="152"/>
      <c r="AH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c r="AB253" s="152"/>
      <c r="AC253" s="152"/>
      <c r="AD253" s="152"/>
      <c r="AE253" s="152"/>
      <c r="AF253" s="152"/>
      <c r="AG253" s="152"/>
      <c r="AH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c r="AB254" s="152"/>
      <c r="AC254" s="152"/>
      <c r="AD254" s="152"/>
      <c r="AE254" s="152"/>
      <c r="AF254" s="152"/>
      <c r="AG254" s="152"/>
      <c r="AH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c r="AB255" s="152"/>
      <c r="AC255" s="152"/>
      <c r="AD255" s="152"/>
      <c r="AE255" s="152"/>
      <c r="AF255" s="152"/>
      <c r="AG255" s="152"/>
      <c r="AH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c r="AB256" s="152"/>
      <c r="AC256" s="152"/>
      <c r="AD256" s="152"/>
      <c r="AE256" s="152"/>
      <c r="AF256" s="152"/>
      <c r="AG256" s="152"/>
      <c r="AH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c r="AB257" s="152"/>
      <c r="AC257" s="152"/>
      <c r="AD257" s="152"/>
      <c r="AE257" s="152"/>
      <c r="AF257" s="152"/>
      <c r="AG257" s="152"/>
      <c r="AH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c r="AB258" s="152"/>
      <c r="AC258" s="152"/>
      <c r="AD258" s="152"/>
      <c r="AE258" s="152"/>
      <c r="AF258" s="152"/>
      <c r="AG258" s="152"/>
      <c r="AH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c r="AB259" s="152"/>
      <c r="AC259" s="152"/>
      <c r="AD259" s="152"/>
      <c r="AE259" s="152"/>
      <c r="AF259" s="152"/>
      <c r="AG259" s="152"/>
      <c r="AH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c r="AC260" s="152"/>
      <c r="AD260" s="152"/>
      <c r="AE260" s="152"/>
      <c r="AF260" s="152"/>
      <c r="AG260" s="152"/>
      <c r="AH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c r="AC261" s="152"/>
      <c r="AD261" s="152"/>
      <c r="AE261" s="152"/>
      <c r="AF261" s="152"/>
      <c r="AG261" s="152"/>
      <c r="AH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c r="AC262" s="152"/>
      <c r="AD262" s="152"/>
      <c r="AE262" s="152"/>
      <c r="AF262" s="152"/>
      <c r="AG262" s="152"/>
      <c r="AH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c r="AC263" s="152"/>
      <c r="AD263" s="152"/>
      <c r="AE263" s="152"/>
      <c r="AF263" s="152"/>
      <c r="AG263" s="152"/>
      <c r="AH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c r="AC264" s="152"/>
      <c r="AD264" s="152"/>
      <c r="AE264" s="152"/>
      <c r="AF264" s="152"/>
      <c r="AG264" s="152"/>
      <c r="AH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c r="AB265" s="152"/>
      <c r="AC265" s="152"/>
      <c r="AD265" s="152"/>
      <c r="AE265" s="152"/>
      <c r="AF265" s="152"/>
      <c r="AG265" s="152"/>
      <c r="AH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c r="AC266" s="152"/>
      <c r="AD266" s="152"/>
      <c r="AE266" s="152"/>
      <c r="AF266" s="152"/>
      <c r="AG266" s="152"/>
      <c r="AH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c r="AC267" s="152"/>
      <c r="AD267" s="152"/>
      <c r="AE267" s="152"/>
      <c r="AF267" s="152"/>
      <c r="AG267" s="152"/>
      <c r="AH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152"/>
      <c r="AH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152"/>
      <c r="AH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c r="AC270" s="152"/>
      <c r="AD270" s="152"/>
      <c r="AE270" s="152"/>
      <c r="AF270" s="152"/>
      <c r="AG270" s="152"/>
      <c r="AH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c r="AC271" s="152"/>
      <c r="AD271" s="152"/>
      <c r="AE271" s="152"/>
      <c r="AF271" s="152"/>
      <c r="AG271" s="152"/>
      <c r="AH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c r="AC272" s="152"/>
      <c r="AD272" s="152"/>
      <c r="AE272" s="152"/>
      <c r="AF272" s="152"/>
      <c r="AG272" s="152"/>
      <c r="AH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c r="AB273" s="152"/>
      <c r="AC273" s="152"/>
      <c r="AD273" s="152"/>
      <c r="AE273" s="152"/>
      <c r="AF273" s="152"/>
      <c r="AG273" s="152"/>
      <c r="AH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c r="AB274" s="152"/>
      <c r="AC274" s="152"/>
      <c r="AD274" s="152"/>
      <c r="AE274" s="152"/>
      <c r="AF274" s="152"/>
      <c r="AG274" s="152"/>
      <c r="AH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c r="AB275" s="152"/>
      <c r="AC275" s="152"/>
      <c r="AD275" s="152"/>
      <c r="AE275" s="152"/>
      <c r="AF275" s="152"/>
      <c r="AG275" s="152"/>
      <c r="AH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c r="AB276" s="152"/>
      <c r="AC276" s="152"/>
      <c r="AD276" s="152"/>
      <c r="AE276" s="152"/>
      <c r="AF276" s="152"/>
      <c r="AG276" s="152"/>
      <c r="AH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c r="AB277" s="152"/>
      <c r="AC277" s="152"/>
      <c r="AD277" s="152"/>
      <c r="AE277" s="152"/>
      <c r="AF277" s="152"/>
      <c r="AG277" s="152"/>
      <c r="AH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c r="AB278" s="152"/>
      <c r="AC278" s="152"/>
      <c r="AD278" s="152"/>
      <c r="AE278" s="152"/>
      <c r="AF278" s="152"/>
      <c r="AG278" s="152"/>
      <c r="AH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c r="AB279" s="152"/>
      <c r="AC279" s="152"/>
      <c r="AD279" s="152"/>
      <c r="AE279" s="152"/>
      <c r="AF279" s="152"/>
      <c r="AG279" s="152"/>
      <c r="AH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c r="AB280" s="152"/>
      <c r="AC280" s="152"/>
      <c r="AD280" s="152"/>
      <c r="AE280" s="152"/>
      <c r="AF280" s="152"/>
      <c r="AG280" s="152"/>
      <c r="AH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c r="AB281" s="152"/>
      <c r="AC281" s="152"/>
      <c r="AD281" s="152"/>
      <c r="AE281" s="152"/>
      <c r="AF281" s="152"/>
      <c r="AG281" s="152"/>
      <c r="AH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c r="AB282" s="152"/>
      <c r="AC282" s="152"/>
      <c r="AD282" s="152"/>
      <c r="AE282" s="152"/>
      <c r="AF282" s="152"/>
      <c r="AG282" s="152"/>
      <c r="AH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c r="AB283" s="152"/>
      <c r="AC283" s="152"/>
      <c r="AD283" s="152"/>
      <c r="AE283" s="152"/>
      <c r="AF283" s="152"/>
      <c r="AG283" s="152"/>
      <c r="AH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c r="AB284" s="152"/>
      <c r="AC284" s="152"/>
      <c r="AD284" s="152"/>
      <c r="AE284" s="152"/>
      <c r="AF284" s="152"/>
      <c r="AG284" s="152"/>
      <c r="AH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c r="AB285" s="152"/>
      <c r="AC285" s="152"/>
      <c r="AD285" s="152"/>
      <c r="AE285" s="152"/>
      <c r="AF285" s="152"/>
      <c r="AG285" s="152"/>
      <c r="AH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c r="AB286" s="152"/>
      <c r="AC286" s="152"/>
      <c r="AD286" s="152"/>
      <c r="AE286" s="152"/>
      <c r="AF286" s="152"/>
      <c r="AG286" s="152"/>
      <c r="AH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c r="AB287" s="152"/>
      <c r="AC287" s="152"/>
      <c r="AD287" s="152"/>
      <c r="AE287" s="152"/>
      <c r="AF287" s="152"/>
      <c r="AG287" s="152"/>
      <c r="AH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c r="AB288" s="152"/>
      <c r="AC288" s="152"/>
      <c r="AD288" s="152"/>
      <c r="AE288" s="152"/>
      <c r="AF288" s="152"/>
      <c r="AG288" s="152"/>
      <c r="AH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c r="AB289" s="152"/>
      <c r="AC289" s="152"/>
      <c r="AD289" s="152"/>
      <c r="AE289" s="152"/>
      <c r="AF289" s="152"/>
      <c r="AG289" s="152"/>
      <c r="AH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c r="AB290" s="152"/>
      <c r="AC290" s="152"/>
      <c r="AD290" s="152"/>
      <c r="AE290" s="152"/>
      <c r="AF290" s="152"/>
      <c r="AG290" s="152"/>
      <c r="AH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c r="AB291" s="152"/>
      <c r="AC291" s="152"/>
      <c r="AD291" s="152"/>
      <c r="AE291" s="152"/>
      <c r="AF291" s="152"/>
      <c r="AG291" s="152"/>
      <c r="AH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c r="AB292" s="152"/>
      <c r="AC292" s="152"/>
      <c r="AD292" s="152"/>
      <c r="AE292" s="152"/>
      <c r="AF292" s="152"/>
      <c r="AG292" s="152"/>
      <c r="AH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c r="AB293" s="152"/>
      <c r="AC293" s="152"/>
      <c r="AD293" s="152"/>
      <c r="AE293" s="152"/>
      <c r="AF293" s="152"/>
      <c r="AG293" s="152"/>
      <c r="AH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c r="AB294" s="152"/>
      <c r="AC294" s="152"/>
      <c r="AD294" s="152"/>
      <c r="AE294" s="152"/>
      <c r="AF294" s="152"/>
      <c r="AG294" s="152"/>
      <c r="AH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c r="AB295" s="152"/>
      <c r="AC295" s="152"/>
      <c r="AD295" s="152"/>
      <c r="AE295" s="152"/>
      <c r="AF295" s="152"/>
      <c r="AG295" s="152"/>
      <c r="AH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c r="AB296" s="152"/>
      <c r="AC296" s="152"/>
      <c r="AD296" s="152"/>
      <c r="AE296" s="152"/>
      <c r="AF296" s="152"/>
      <c r="AG296" s="152"/>
      <c r="AH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c r="AB297" s="152"/>
      <c r="AC297" s="152"/>
      <c r="AD297" s="152"/>
      <c r="AE297" s="152"/>
      <c r="AF297" s="152"/>
      <c r="AG297" s="152"/>
      <c r="AH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c r="AB298" s="152"/>
      <c r="AC298" s="152"/>
      <c r="AD298" s="152"/>
      <c r="AE298" s="152"/>
      <c r="AF298" s="152"/>
      <c r="AG298" s="152"/>
      <c r="AH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c r="AB299" s="152"/>
      <c r="AC299" s="152"/>
      <c r="AD299" s="152"/>
      <c r="AE299" s="152"/>
      <c r="AF299" s="152"/>
      <c r="AG299" s="152"/>
      <c r="AH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c r="AB300" s="152"/>
      <c r="AC300" s="152"/>
      <c r="AD300" s="152"/>
      <c r="AE300" s="152"/>
      <c r="AF300" s="152"/>
      <c r="AG300" s="152"/>
      <c r="AH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c r="AB301" s="152"/>
      <c r="AC301" s="152"/>
      <c r="AD301" s="152"/>
      <c r="AE301" s="152"/>
      <c r="AF301" s="152"/>
      <c r="AG301" s="152"/>
      <c r="AH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c r="AB302" s="152"/>
      <c r="AC302" s="152"/>
      <c r="AD302" s="152"/>
      <c r="AE302" s="152"/>
      <c r="AF302" s="152"/>
      <c r="AG302" s="152"/>
      <c r="AH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c r="AB303" s="152"/>
      <c r="AC303" s="152"/>
      <c r="AD303" s="152"/>
      <c r="AE303" s="152"/>
      <c r="AF303" s="152"/>
      <c r="AG303" s="152"/>
      <c r="AH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c r="AB304" s="152"/>
      <c r="AC304" s="152"/>
      <c r="AD304" s="152"/>
      <c r="AE304" s="152"/>
      <c r="AF304" s="152"/>
      <c r="AG304" s="152"/>
      <c r="AH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c r="AB305" s="152"/>
      <c r="AC305" s="152"/>
      <c r="AD305" s="152"/>
      <c r="AE305" s="152"/>
      <c r="AF305" s="152"/>
      <c r="AG305" s="152"/>
      <c r="AH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c r="AB306" s="152"/>
      <c r="AC306" s="152"/>
      <c r="AD306" s="152"/>
      <c r="AE306" s="152"/>
      <c r="AF306" s="152"/>
      <c r="AG306" s="152"/>
      <c r="AH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c r="AB307" s="152"/>
      <c r="AC307" s="152"/>
      <c r="AD307" s="152"/>
      <c r="AE307" s="152"/>
      <c r="AF307" s="152"/>
      <c r="AG307" s="152"/>
      <c r="AH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c r="AB308" s="152"/>
      <c r="AC308" s="152"/>
      <c r="AD308" s="152"/>
      <c r="AE308" s="152"/>
      <c r="AF308" s="152"/>
      <c r="AG308" s="152"/>
      <c r="AH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c r="AB309" s="152"/>
      <c r="AC309" s="152"/>
      <c r="AD309" s="152"/>
      <c r="AE309" s="152"/>
      <c r="AF309" s="152"/>
      <c r="AG309" s="152"/>
      <c r="AH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c r="AB310" s="152"/>
      <c r="AC310" s="152"/>
      <c r="AD310" s="152"/>
      <c r="AE310" s="152"/>
      <c r="AF310" s="152"/>
      <c r="AG310" s="152"/>
      <c r="AH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c r="AB311" s="152"/>
      <c r="AC311" s="152"/>
      <c r="AD311" s="152"/>
      <c r="AE311" s="152"/>
      <c r="AF311" s="152"/>
      <c r="AG311" s="152"/>
      <c r="AH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c r="AB312" s="152"/>
      <c r="AC312" s="152"/>
      <c r="AD312" s="152"/>
      <c r="AE312" s="152"/>
      <c r="AF312" s="152"/>
      <c r="AG312" s="152"/>
      <c r="AH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c r="AB313" s="152"/>
      <c r="AC313" s="152"/>
      <c r="AD313" s="152"/>
      <c r="AE313" s="152"/>
      <c r="AF313" s="152"/>
      <c r="AG313" s="152"/>
      <c r="AH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c r="AB314" s="152"/>
      <c r="AC314" s="152"/>
      <c r="AD314" s="152"/>
      <c r="AE314" s="152"/>
      <c r="AF314" s="152"/>
      <c r="AG314" s="152"/>
      <c r="AH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c r="AC315" s="152"/>
      <c r="AD315" s="152"/>
      <c r="AE315" s="152"/>
      <c r="AF315" s="152"/>
      <c r="AG315" s="152"/>
      <c r="AH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c r="AC316" s="152"/>
      <c r="AD316" s="152"/>
      <c r="AE316" s="152"/>
      <c r="AF316" s="152"/>
      <c r="AG316" s="152"/>
      <c r="AH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c r="AB317" s="152"/>
      <c r="AC317" s="152"/>
      <c r="AD317" s="152"/>
      <c r="AE317" s="152"/>
      <c r="AF317" s="152"/>
      <c r="AG317" s="152"/>
      <c r="AH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c r="AB318" s="152"/>
      <c r="AC318" s="152"/>
      <c r="AD318" s="152"/>
      <c r="AE318" s="152"/>
      <c r="AF318" s="152"/>
      <c r="AG318" s="152"/>
      <c r="AH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c r="AB319" s="152"/>
      <c r="AC319" s="152"/>
      <c r="AD319" s="152"/>
      <c r="AE319" s="152"/>
      <c r="AF319" s="152"/>
      <c r="AG319" s="152"/>
      <c r="AH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c r="AB320" s="152"/>
      <c r="AC320" s="152"/>
      <c r="AD320" s="152"/>
      <c r="AE320" s="152"/>
      <c r="AF320" s="152"/>
      <c r="AG320" s="152"/>
      <c r="AH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c r="AC321" s="152"/>
      <c r="AD321" s="152"/>
      <c r="AE321" s="152"/>
      <c r="AF321" s="152"/>
      <c r="AG321" s="152"/>
      <c r="AH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c r="AB322" s="152"/>
      <c r="AC322" s="152"/>
      <c r="AD322" s="152"/>
      <c r="AE322" s="152"/>
      <c r="AF322" s="152"/>
      <c r="AG322" s="152"/>
      <c r="AH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c r="AC323" s="152"/>
      <c r="AD323" s="152"/>
      <c r="AE323" s="152"/>
      <c r="AF323" s="152"/>
      <c r="AG323" s="152"/>
      <c r="AH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c r="AB324" s="152"/>
      <c r="AC324" s="152"/>
      <c r="AD324" s="152"/>
      <c r="AE324" s="152"/>
      <c r="AF324" s="152"/>
      <c r="AG324" s="152"/>
      <c r="AH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c r="AC325" s="152"/>
      <c r="AD325" s="152"/>
      <c r="AE325" s="152"/>
      <c r="AF325" s="152"/>
      <c r="AG325" s="152"/>
      <c r="AH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c r="AB326" s="152"/>
      <c r="AC326" s="152"/>
      <c r="AD326" s="152"/>
      <c r="AE326" s="152"/>
      <c r="AF326" s="152"/>
      <c r="AG326" s="152"/>
      <c r="AH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c r="AC327" s="152"/>
      <c r="AD327" s="152"/>
      <c r="AE327" s="152"/>
      <c r="AF327" s="152"/>
      <c r="AG327" s="152"/>
      <c r="AH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c r="AB328" s="152"/>
      <c r="AC328" s="152"/>
      <c r="AD328" s="152"/>
      <c r="AE328" s="152"/>
      <c r="AF328" s="152"/>
      <c r="AG328" s="152"/>
      <c r="AH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c r="AC329" s="152"/>
      <c r="AD329" s="152"/>
      <c r="AE329" s="152"/>
      <c r="AF329" s="152"/>
      <c r="AG329" s="152"/>
      <c r="AH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c r="AB330" s="152"/>
      <c r="AC330" s="152"/>
      <c r="AD330" s="152"/>
      <c r="AE330" s="152"/>
      <c r="AF330" s="152"/>
      <c r="AG330" s="152"/>
      <c r="AH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c r="AB331" s="152"/>
      <c r="AC331" s="152"/>
      <c r="AD331" s="152"/>
      <c r="AE331" s="152"/>
      <c r="AF331" s="152"/>
      <c r="AG331" s="152"/>
      <c r="AH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c r="AB332" s="152"/>
      <c r="AC332" s="152"/>
      <c r="AD332" s="152"/>
      <c r="AE332" s="152"/>
      <c r="AF332" s="152"/>
      <c r="AG332" s="152"/>
      <c r="AH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c r="AB333" s="152"/>
      <c r="AC333" s="152"/>
      <c r="AD333" s="152"/>
      <c r="AE333" s="152"/>
      <c r="AF333" s="152"/>
      <c r="AG333" s="152"/>
      <c r="AH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c r="AB334" s="152"/>
      <c r="AC334" s="152"/>
      <c r="AD334" s="152"/>
      <c r="AE334" s="152"/>
      <c r="AF334" s="152"/>
      <c r="AG334" s="152"/>
      <c r="AH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c r="AB335" s="152"/>
      <c r="AC335" s="152"/>
      <c r="AD335" s="152"/>
      <c r="AE335" s="152"/>
      <c r="AF335" s="152"/>
      <c r="AG335" s="152"/>
      <c r="AH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c r="AB336" s="152"/>
      <c r="AC336" s="152"/>
      <c r="AD336" s="152"/>
      <c r="AE336" s="152"/>
      <c r="AF336" s="152"/>
      <c r="AG336" s="152"/>
      <c r="AH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c r="AB337" s="152"/>
      <c r="AC337" s="152"/>
      <c r="AD337" s="152"/>
      <c r="AE337" s="152"/>
      <c r="AF337" s="152"/>
      <c r="AG337" s="152"/>
      <c r="AH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c r="AB338" s="152"/>
      <c r="AC338" s="152"/>
      <c r="AD338" s="152"/>
      <c r="AE338" s="152"/>
      <c r="AF338" s="152"/>
      <c r="AG338" s="152"/>
      <c r="AH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c r="AB339" s="152"/>
      <c r="AC339" s="152"/>
      <c r="AD339" s="152"/>
      <c r="AE339" s="152"/>
      <c r="AF339" s="152"/>
      <c r="AG339" s="152"/>
      <c r="AH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152"/>
      <c r="AD340" s="152"/>
      <c r="AE340" s="152"/>
      <c r="AF340" s="152"/>
      <c r="AG340" s="152"/>
      <c r="AH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c r="AB341" s="152"/>
      <c r="AC341" s="152"/>
      <c r="AD341" s="152"/>
      <c r="AE341" s="152"/>
      <c r="AF341" s="152"/>
      <c r="AG341" s="152"/>
      <c r="AH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c r="AC342" s="152"/>
      <c r="AD342" s="152"/>
      <c r="AE342" s="152"/>
      <c r="AF342" s="152"/>
      <c r="AG342" s="152"/>
      <c r="AH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c r="AC343" s="152"/>
      <c r="AD343" s="152"/>
      <c r="AE343" s="152"/>
      <c r="AF343" s="152"/>
      <c r="AG343" s="152"/>
      <c r="AH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c r="AB344" s="152"/>
      <c r="AC344" s="152"/>
      <c r="AD344" s="152"/>
      <c r="AE344" s="152"/>
      <c r="AF344" s="152"/>
      <c r="AG344" s="152"/>
      <c r="AH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c r="AB345" s="152"/>
      <c r="AC345" s="152"/>
      <c r="AD345" s="152"/>
      <c r="AE345" s="152"/>
      <c r="AF345" s="152"/>
      <c r="AG345" s="152"/>
      <c r="AH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c r="AB346" s="152"/>
      <c r="AC346" s="152"/>
      <c r="AD346" s="152"/>
      <c r="AE346" s="152"/>
      <c r="AF346" s="152"/>
      <c r="AG346" s="152"/>
      <c r="AH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c r="AB347" s="152"/>
      <c r="AC347" s="152"/>
      <c r="AD347" s="152"/>
      <c r="AE347" s="152"/>
      <c r="AF347" s="152"/>
      <c r="AG347" s="152"/>
      <c r="AH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c r="AB348" s="152"/>
      <c r="AC348" s="152"/>
      <c r="AD348" s="152"/>
      <c r="AE348" s="152"/>
      <c r="AF348" s="152"/>
      <c r="AG348" s="152"/>
      <c r="AH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c r="AB349" s="152"/>
      <c r="AC349" s="152"/>
      <c r="AD349" s="152"/>
      <c r="AE349" s="152"/>
      <c r="AF349" s="152"/>
      <c r="AG349" s="152"/>
      <c r="AH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c r="AB350" s="152"/>
      <c r="AC350" s="152"/>
      <c r="AD350" s="152"/>
      <c r="AE350" s="152"/>
      <c r="AF350" s="152"/>
      <c r="AG350" s="152"/>
      <c r="AH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c r="AC351" s="152"/>
      <c r="AD351" s="152"/>
      <c r="AE351" s="152"/>
      <c r="AF351" s="152"/>
      <c r="AG351" s="152"/>
      <c r="AH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c r="AB352" s="152"/>
      <c r="AC352" s="152"/>
      <c r="AD352" s="152"/>
      <c r="AE352" s="152"/>
      <c r="AF352" s="152"/>
      <c r="AG352" s="152"/>
      <c r="AH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c r="AC353" s="152"/>
      <c r="AD353" s="152"/>
      <c r="AE353" s="152"/>
      <c r="AF353" s="152"/>
      <c r="AG353" s="152"/>
      <c r="AH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c r="AC354" s="152"/>
      <c r="AD354" s="152"/>
      <c r="AE354" s="152"/>
      <c r="AF354" s="152"/>
      <c r="AG354" s="152"/>
      <c r="AH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c r="AB355" s="152"/>
      <c r="AC355" s="152"/>
      <c r="AD355" s="152"/>
      <c r="AE355" s="152"/>
      <c r="AF355" s="152"/>
      <c r="AG355" s="152"/>
      <c r="AH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c r="AB356" s="152"/>
      <c r="AC356" s="152"/>
      <c r="AD356" s="152"/>
      <c r="AE356" s="152"/>
      <c r="AF356" s="152"/>
      <c r="AG356" s="152"/>
      <c r="AH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c r="AB357" s="152"/>
      <c r="AC357" s="152"/>
      <c r="AD357" s="152"/>
      <c r="AE357" s="152"/>
      <c r="AF357" s="152"/>
      <c r="AG357" s="152"/>
      <c r="AH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c r="AB358" s="152"/>
      <c r="AC358" s="152"/>
      <c r="AD358" s="152"/>
      <c r="AE358" s="152"/>
      <c r="AF358" s="152"/>
      <c r="AG358" s="152"/>
      <c r="AH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c r="AC359" s="152"/>
      <c r="AD359" s="152"/>
      <c r="AE359" s="152"/>
      <c r="AF359" s="152"/>
      <c r="AG359" s="152"/>
      <c r="AH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c r="AB360" s="152"/>
      <c r="AC360" s="152"/>
      <c r="AD360" s="152"/>
      <c r="AE360" s="152"/>
      <c r="AF360" s="152"/>
      <c r="AG360" s="152"/>
      <c r="AH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c r="AB361" s="152"/>
      <c r="AC361" s="152"/>
      <c r="AD361" s="152"/>
      <c r="AE361" s="152"/>
      <c r="AF361" s="152"/>
      <c r="AG361" s="152"/>
      <c r="AH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c r="AB362" s="152"/>
      <c r="AC362" s="152"/>
      <c r="AD362" s="152"/>
      <c r="AE362" s="152"/>
      <c r="AF362" s="152"/>
      <c r="AG362" s="152"/>
      <c r="AH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c r="AB363" s="152"/>
      <c r="AC363" s="152"/>
      <c r="AD363" s="152"/>
      <c r="AE363" s="152"/>
      <c r="AF363" s="152"/>
      <c r="AG363" s="152"/>
      <c r="AH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c r="AB364" s="152"/>
      <c r="AC364" s="152"/>
      <c r="AD364" s="152"/>
      <c r="AE364" s="152"/>
      <c r="AF364" s="152"/>
      <c r="AG364" s="152"/>
      <c r="AH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c r="AB365" s="152"/>
      <c r="AC365" s="152"/>
      <c r="AD365" s="152"/>
      <c r="AE365" s="152"/>
      <c r="AF365" s="152"/>
      <c r="AG365" s="152"/>
      <c r="AH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c r="AB366" s="152"/>
      <c r="AC366" s="152"/>
      <c r="AD366" s="152"/>
      <c r="AE366" s="152"/>
      <c r="AF366" s="152"/>
      <c r="AG366" s="152"/>
      <c r="AH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c r="AB367" s="152"/>
      <c r="AC367" s="152"/>
      <c r="AD367" s="152"/>
      <c r="AE367" s="152"/>
      <c r="AF367" s="152"/>
      <c r="AG367" s="152"/>
      <c r="AH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c r="AB368" s="152"/>
      <c r="AC368" s="152"/>
      <c r="AD368" s="152"/>
      <c r="AE368" s="152"/>
      <c r="AF368" s="152"/>
      <c r="AG368" s="152"/>
      <c r="AH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c r="AB369" s="152"/>
      <c r="AC369" s="152"/>
      <c r="AD369" s="152"/>
      <c r="AE369" s="152"/>
      <c r="AF369" s="152"/>
      <c r="AG369" s="152"/>
      <c r="AH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c r="AB370" s="152"/>
      <c r="AC370" s="152"/>
      <c r="AD370" s="152"/>
      <c r="AE370" s="152"/>
      <c r="AF370" s="152"/>
      <c r="AG370" s="152"/>
      <c r="AH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c r="AB371" s="152"/>
      <c r="AC371" s="152"/>
      <c r="AD371" s="152"/>
      <c r="AE371" s="152"/>
      <c r="AF371" s="152"/>
      <c r="AG371" s="152"/>
      <c r="AH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c r="AC372" s="152"/>
      <c r="AD372" s="152"/>
      <c r="AE372" s="152"/>
      <c r="AF372" s="152"/>
      <c r="AG372" s="152"/>
      <c r="AH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c r="AC373" s="152"/>
      <c r="AD373" s="152"/>
      <c r="AE373" s="152"/>
      <c r="AF373" s="152"/>
      <c r="AG373" s="152"/>
      <c r="AH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c r="AB374" s="152"/>
      <c r="AC374" s="152"/>
      <c r="AD374" s="152"/>
      <c r="AE374" s="152"/>
      <c r="AF374" s="152"/>
      <c r="AG374" s="152"/>
      <c r="AH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c r="AB375" s="152"/>
      <c r="AC375" s="152"/>
      <c r="AD375" s="152"/>
      <c r="AE375" s="152"/>
      <c r="AF375" s="152"/>
      <c r="AG375" s="152"/>
      <c r="AH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c r="AB376" s="152"/>
      <c r="AC376" s="152"/>
      <c r="AD376" s="152"/>
      <c r="AE376" s="152"/>
      <c r="AF376" s="152"/>
      <c r="AG376" s="152"/>
      <c r="AH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c r="AB377" s="152"/>
      <c r="AC377" s="152"/>
      <c r="AD377" s="152"/>
      <c r="AE377" s="152"/>
      <c r="AF377" s="152"/>
      <c r="AG377" s="152"/>
      <c r="AH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c r="AB378" s="152"/>
      <c r="AC378" s="152"/>
      <c r="AD378" s="152"/>
      <c r="AE378" s="152"/>
      <c r="AF378" s="152"/>
      <c r="AG378" s="152"/>
      <c r="AH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c r="AB379" s="152"/>
      <c r="AC379" s="152"/>
      <c r="AD379" s="152"/>
      <c r="AE379" s="152"/>
      <c r="AF379" s="152"/>
      <c r="AG379" s="152"/>
      <c r="AH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c r="AB380" s="152"/>
      <c r="AC380" s="152"/>
      <c r="AD380" s="152"/>
      <c r="AE380" s="152"/>
      <c r="AF380" s="152"/>
      <c r="AG380" s="152"/>
      <c r="AH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c r="AB381" s="152"/>
      <c r="AC381" s="152"/>
      <c r="AD381" s="152"/>
      <c r="AE381" s="152"/>
      <c r="AF381" s="152"/>
      <c r="AG381" s="152"/>
      <c r="AH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c r="AB382" s="152"/>
      <c r="AC382" s="152"/>
      <c r="AD382" s="152"/>
      <c r="AE382" s="152"/>
      <c r="AF382" s="152"/>
      <c r="AG382" s="152"/>
      <c r="AH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c r="AC383" s="152"/>
      <c r="AD383" s="152"/>
      <c r="AE383" s="152"/>
      <c r="AF383" s="152"/>
      <c r="AG383" s="152"/>
      <c r="AH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c r="AC384" s="152"/>
      <c r="AD384" s="152"/>
      <c r="AE384" s="152"/>
      <c r="AF384" s="152"/>
      <c r="AG384" s="152"/>
      <c r="AH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c r="AB385" s="152"/>
      <c r="AC385" s="152"/>
      <c r="AD385" s="152"/>
      <c r="AE385" s="152"/>
      <c r="AF385" s="152"/>
      <c r="AG385" s="152"/>
      <c r="AH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c r="AB386" s="152"/>
      <c r="AC386" s="152"/>
      <c r="AD386" s="152"/>
      <c r="AE386" s="152"/>
      <c r="AF386" s="152"/>
      <c r="AG386" s="152"/>
      <c r="AH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c r="AB387" s="152"/>
      <c r="AC387" s="152"/>
      <c r="AD387" s="152"/>
      <c r="AE387" s="152"/>
      <c r="AF387" s="152"/>
      <c r="AG387" s="152"/>
      <c r="AH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c r="AC388" s="152"/>
      <c r="AD388" s="152"/>
      <c r="AE388" s="152"/>
      <c r="AF388" s="152"/>
      <c r="AG388" s="152"/>
      <c r="AH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c r="AB389" s="152"/>
      <c r="AC389" s="152"/>
      <c r="AD389" s="152"/>
      <c r="AE389" s="152"/>
      <c r="AF389" s="152"/>
      <c r="AG389" s="152"/>
      <c r="AH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c r="AB390" s="152"/>
      <c r="AC390" s="152"/>
      <c r="AD390" s="152"/>
      <c r="AE390" s="152"/>
      <c r="AF390" s="152"/>
      <c r="AG390" s="152"/>
      <c r="AH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c r="AB391" s="152"/>
      <c r="AC391" s="152"/>
      <c r="AD391" s="152"/>
      <c r="AE391" s="152"/>
      <c r="AF391" s="152"/>
      <c r="AG391" s="152"/>
      <c r="AH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c r="AB392" s="152"/>
      <c r="AC392" s="152"/>
      <c r="AD392" s="152"/>
      <c r="AE392" s="152"/>
      <c r="AF392" s="152"/>
      <c r="AG392" s="152"/>
      <c r="AH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c r="AB393" s="152"/>
      <c r="AC393" s="152"/>
      <c r="AD393" s="152"/>
      <c r="AE393" s="152"/>
      <c r="AF393" s="152"/>
      <c r="AG393" s="152"/>
      <c r="AH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c r="AB394" s="152"/>
      <c r="AC394" s="152"/>
      <c r="AD394" s="152"/>
      <c r="AE394" s="152"/>
      <c r="AF394" s="152"/>
      <c r="AG394" s="152"/>
      <c r="AH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c r="AB395" s="152"/>
      <c r="AC395" s="152"/>
      <c r="AD395" s="152"/>
      <c r="AE395" s="152"/>
      <c r="AF395" s="152"/>
      <c r="AG395" s="152"/>
      <c r="AH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c r="AC396" s="152"/>
      <c r="AD396" s="152"/>
      <c r="AE396" s="152"/>
      <c r="AF396" s="152"/>
      <c r="AG396" s="152"/>
      <c r="AH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c r="AB397" s="152"/>
      <c r="AC397" s="152"/>
      <c r="AD397" s="152"/>
      <c r="AE397" s="152"/>
      <c r="AF397" s="152"/>
      <c r="AG397" s="152"/>
      <c r="AH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c r="AB398" s="152"/>
      <c r="AC398" s="152"/>
      <c r="AD398" s="152"/>
      <c r="AE398" s="152"/>
      <c r="AF398" s="152"/>
      <c r="AG398" s="152"/>
      <c r="AH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c r="AC399" s="152"/>
      <c r="AD399" s="152"/>
      <c r="AE399" s="152"/>
      <c r="AF399" s="152"/>
      <c r="AG399" s="152"/>
      <c r="AH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c r="AC400" s="152"/>
      <c r="AD400" s="152"/>
      <c r="AE400" s="152"/>
      <c r="AF400" s="152"/>
      <c r="AG400" s="152"/>
      <c r="AH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c r="AC401" s="152"/>
      <c r="AD401" s="152"/>
      <c r="AE401" s="152"/>
      <c r="AF401" s="152"/>
      <c r="AG401" s="152"/>
      <c r="AH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c r="AB402" s="152"/>
      <c r="AC402" s="152"/>
      <c r="AD402" s="152"/>
      <c r="AE402" s="152"/>
      <c r="AF402" s="152"/>
      <c r="AG402" s="152"/>
      <c r="AH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c r="AB403" s="152"/>
      <c r="AC403" s="152"/>
      <c r="AD403" s="152"/>
      <c r="AE403" s="152"/>
      <c r="AF403" s="152"/>
      <c r="AG403" s="152"/>
      <c r="AH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c r="AB404" s="152"/>
      <c r="AC404" s="152"/>
      <c r="AD404" s="152"/>
      <c r="AE404" s="152"/>
      <c r="AF404" s="152"/>
      <c r="AG404" s="152"/>
      <c r="AH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c r="AB405" s="152"/>
      <c r="AC405" s="152"/>
      <c r="AD405" s="152"/>
      <c r="AE405" s="152"/>
      <c r="AF405" s="152"/>
      <c r="AG405" s="152"/>
      <c r="AH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c r="AB406" s="152"/>
      <c r="AC406" s="152"/>
      <c r="AD406" s="152"/>
      <c r="AE406" s="152"/>
      <c r="AF406" s="152"/>
      <c r="AG406" s="152"/>
      <c r="AH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c r="AC407" s="152"/>
      <c r="AD407" s="152"/>
      <c r="AE407" s="152"/>
      <c r="AF407" s="152"/>
      <c r="AG407" s="152"/>
      <c r="AH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c r="AB408" s="152"/>
      <c r="AC408" s="152"/>
      <c r="AD408" s="152"/>
      <c r="AE408" s="152"/>
      <c r="AF408" s="152"/>
      <c r="AG408" s="152"/>
      <c r="AH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c r="AC409" s="152"/>
      <c r="AD409" s="152"/>
      <c r="AE409" s="152"/>
      <c r="AF409" s="152"/>
      <c r="AG409" s="152"/>
      <c r="AH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c r="AB410" s="152"/>
      <c r="AC410" s="152"/>
      <c r="AD410" s="152"/>
      <c r="AE410" s="152"/>
      <c r="AF410" s="152"/>
      <c r="AG410" s="152"/>
      <c r="AH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c r="AB411" s="152"/>
      <c r="AC411" s="152"/>
      <c r="AD411" s="152"/>
      <c r="AE411" s="152"/>
      <c r="AF411" s="152"/>
      <c r="AG411" s="152"/>
      <c r="AH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c r="AC412" s="152"/>
      <c r="AD412" s="152"/>
      <c r="AE412" s="152"/>
      <c r="AF412" s="152"/>
      <c r="AG412" s="152"/>
      <c r="AH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c r="AC413" s="152"/>
      <c r="AD413" s="152"/>
      <c r="AE413" s="152"/>
      <c r="AF413" s="152"/>
      <c r="AG413" s="152"/>
      <c r="AH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c r="AB414" s="152"/>
      <c r="AC414" s="152"/>
      <c r="AD414" s="152"/>
      <c r="AE414" s="152"/>
      <c r="AF414" s="152"/>
      <c r="AG414" s="152"/>
      <c r="AH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c r="AB415" s="152"/>
      <c r="AC415" s="152"/>
      <c r="AD415" s="152"/>
      <c r="AE415" s="152"/>
      <c r="AF415" s="152"/>
      <c r="AG415" s="152"/>
      <c r="AH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c r="AC416" s="152"/>
      <c r="AD416" s="152"/>
      <c r="AE416" s="152"/>
      <c r="AF416" s="152"/>
      <c r="AG416" s="152"/>
      <c r="AH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c r="AB417" s="152"/>
      <c r="AC417" s="152"/>
      <c r="AD417" s="152"/>
      <c r="AE417" s="152"/>
      <c r="AF417" s="152"/>
      <c r="AG417" s="152"/>
      <c r="AH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c r="AC418" s="152"/>
      <c r="AD418" s="152"/>
      <c r="AE418" s="152"/>
      <c r="AF418" s="152"/>
      <c r="AG418" s="152"/>
      <c r="AH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c r="AB419" s="152"/>
      <c r="AC419" s="152"/>
      <c r="AD419" s="152"/>
      <c r="AE419" s="152"/>
      <c r="AF419" s="152"/>
      <c r="AG419" s="152"/>
      <c r="AH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c r="AB420" s="152"/>
      <c r="AC420" s="152"/>
      <c r="AD420" s="152"/>
      <c r="AE420" s="152"/>
      <c r="AF420" s="152"/>
      <c r="AG420" s="152"/>
      <c r="AH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c r="AB421" s="152"/>
      <c r="AC421" s="152"/>
      <c r="AD421" s="152"/>
      <c r="AE421" s="152"/>
      <c r="AF421" s="152"/>
      <c r="AG421" s="152"/>
      <c r="AH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c r="AB422" s="152"/>
      <c r="AC422" s="152"/>
      <c r="AD422" s="152"/>
      <c r="AE422" s="152"/>
      <c r="AF422" s="152"/>
      <c r="AG422" s="152"/>
      <c r="AH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c r="AB423" s="152"/>
      <c r="AC423" s="152"/>
      <c r="AD423" s="152"/>
      <c r="AE423" s="152"/>
      <c r="AF423" s="152"/>
      <c r="AG423" s="152"/>
      <c r="AH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c r="AB424" s="152"/>
      <c r="AC424" s="152"/>
      <c r="AD424" s="152"/>
      <c r="AE424" s="152"/>
      <c r="AF424" s="152"/>
      <c r="AG424" s="152"/>
      <c r="AH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c r="AB425" s="152"/>
      <c r="AC425" s="152"/>
      <c r="AD425" s="152"/>
      <c r="AE425" s="152"/>
      <c r="AF425" s="152"/>
      <c r="AG425" s="152"/>
      <c r="AH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c r="AB426" s="152"/>
      <c r="AC426" s="152"/>
      <c r="AD426" s="152"/>
      <c r="AE426" s="152"/>
      <c r="AF426" s="152"/>
      <c r="AG426" s="152"/>
      <c r="AH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c r="AC427" s="152"/>
      <c r="AD427" s="152"/>
      <c r="AE427" s="152"/>
      <c r="AF427" s="152"/>
      <c r="AG427" s="152"/>
      <c r="AH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c r="AC428" s="152"/>
      <c r="AD428" s="152"/>
      <c r="AE428" s="152"/>
      <c r="AF428" s="152"/>
      <c r="AG428" s="152"/>
      <c r="AH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c r="AC429" s="152"/>
      <c r="AD429" s="152"/>
      <c r="AE429" s="152"/>
      <c r="AF429" s="152"/>
      <c r="AG429" s="152"/>
      <c r="AH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c r="AC430" s="152"/>
      <c r="AD430" s="152"/>
      <c r="AE430" s="152"/>
      <c r="AF430" s="152"/>
      <c r="AG430" s="152"/>
      <c r="AH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c r="AC431" s="152"/>
      <c r="AD431" s="152"/>
      <c r="AE431" s="152"/>
      <c r="AF431" s="152"/>
      <c r="AG431" s="152"/>
      <c r="AH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c r="AB432" s="152"/>
      <c r="AC432" s="152"/>
      <c r="AD432" s="152"/>
      <c r="AE432" s="152"/>
      <c r="AF432" s="152"/>
      <c r="AG432" s="152"/>
      <c r="AH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c r="AB433" s="152"/>
      <c r="AC433" s="152"/>
      <c r="AD433" s="152"/>
      <c r="AE433" s="152"/>
      <c r="AF433" s="152"/>
      <c r="AG433" s="152"/>
      <c r="AH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c r="AB434" s="152"/>
      <c r="AC434" s="152"/>
      <c r="AD434" s="152"/>
      <c r="AE434" s="152"/>
      <c r="AF434" s="152"/>
      <c r="AG434" s="152"/>
      <c r="AH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c r="AB435" s="152"/>
      <c r="AC435" s="152"/>
      <c r="AD435" s="152"/>
      <c r="AE435" s="152"/>
      <c r="AF435" s="152"/>
      <c r="AG435" s="152"/>
      <c r="AH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c r="AB436" s="152"/>
      <c r="AC436" s="152"/>
      <c r="AD436" s="152"/>
      <c r="AE436" s="152"/>
      <c r="AF436" s="152"/>
      <c r="AG436" s="152"/>
      <c r="AH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c r="AB437" s="152"/>
      <c r="AC437" s="152"/>
      <c r="AD437" s="152"/>
      <c r="AE437" s="152"/>
      <c r="AF437" s="152"/>
      <c r="AG437" s="152"/>
      <c r="AH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c r="AB438" s="152"/>
      <c r="AC438" s="152"/>
      <c r="AD438" s="152"/>
      <c r="AE438" s="152"/>
      <c r="AF438" s="152"/>
      <c r="AG438" s="152"/>
      <c r="AH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c r="AB439" s="152"/>
      <c r="AC439" s="152"/>
      <c r="AD439" s="152"/>
      <c r="AE439" s="152"/>
      <c r="AF439" s="152"/>
      <c r="AG439" s="152"/>
      <c r="AH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c r="AB440" s="152"/>
      <c r="AC440" s="152"/>
      <c r="AD440" s="152"/>
      <c r="AE440" s="152"/>
      <c r="AF440" s="152"/>
      <c r="AG440" s="152"/>
      <c r="AH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c r="AB441" s="152"/>
      <c r="AC441" s="152"/>
      <c r="AD441" s="152"/>
      <c r="AE441" s="152"/>
      <c r="AF441" s="152"/>
      <c r="AG441" s="152"/>
      <c r="AH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c r="AB442" s="152"/>
      <c r="AC442" s="152"/>
      <c r="AD442" s="152"/>
      <c r="AE442" s="152"/>
      <c r="AF442" s="152"/>
      <c r="AG442" s="152"/>
      <c r="AH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c r="AB443" s="152"/>
      <c r="AC443" s="152"/>
      <c r="AD443" s="152"/>
      <c r="AE443" s="152"/>
      <c r="AF443" s="152"/>
      <c r="AG443" s="152"/>
      <c r="AH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c r="AC444" s="152"/>
      <c r="AD444" s="152"/>
      <c r="AE444" s="152"/>
      <c r="AF444" s="152"/>
      <c r="AG444" s="152"/>
      <c r="AH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c r="AB445" s="152"/>
      <c r="AC445" s="152"/>
      <c r="AD445" s="152"/>
      <c r="AE445" s="152"/>
      <c r="AF445" s="152"/>
      <c r="AG445" s="152"/>
      <c r="AH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c r="AC446" s="152"/>
      <c r="AD446" s="152"/>
      <c r="AE446" s="152"/>
      <c r="AF446" s="152"/>
      <c r="AG446" s="152"/>
      <c r="AH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c r="AC447" s="152"/>
      <c r="AD447" s="152"/>
      <c r="AE447" s="152"/>
      <c r="AF447" s="152"/>
      <c r="AG447" s="152"/>
      <c r="AH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c r="AC448" s="152"/>
      <c r="AD448" s="152"/>
      <c r="AE448" s="152"/>
      <c r="AF448" s="152"/>
      <c r="AG448" s="152"/>
      <c r="AH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c r="AC449" s="152"/>
      <c r="AD449" s="152"/>
      <c r="AE449" s="152"/>
      <c r="AF449" s="152"/>
      <c r="AG449" s="152"/>
      <c r="AH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c r="AB450" s="152"/>
      <c r="AC450" s="152"/>
      <c r="AD450" s="152"/>
      <c r="AE450" s="152"/>
      <c r="AF450" s="152"/>
      <c r="AG450" s="152"/>
      <c r="AH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c r="AB451" s="152"/>
      <c r="AC451" s="152"/>
      <c r="AD451" s="152"/>
      <c r="AE451" s="152"/>
      <c r="AF451" s="152"/>
      <c r="AG451" s="152"/>
      <c r="AH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c r="AB452" s="152"/>
      <c r="AC452" s="152"/>
      <c r="AD452" s="152"/>
      <c r="AE452" s="152"/>
      <c r="AF452" s="152"/>
      <c r="AG452" s="152"/>
      <c r="AH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c r="AB453" s="152"/>
      <c r="AC453" s="152"/>
      <c r="AD453" s="152"/>
      <c r="AE453" s="152"/>
      <c r="AF453" s="152"/>
      <c r="AG453" s="152"/>
      <c r="AH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c r="AB454" s="152"/>
      <c r="AC454" s="152"/>
      <c r="AD454" s="152"/>
      <c r="AE454" s="152"/>
      <c r="AF454" s="152"/>
      <c r="AG454" s="152"/>
      <c r="AH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c r="AC455" s="152"/>
      <c r="AD455" s="152"/>
      <c r="AE455" s="152"/>
      <c r="AF455" s="152"/>
      <c r="AG455" s="152"/>
      <c r="AH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c r="AB456" s="152"/>
      <c r="AC456" s="152"/>
      <c r="AD456" s="152"/>
      <c r="AE456" s="152"/>
      <c r="AF456" s="152"/>
      <c r="AG456" s="152"/>
      <c r="AH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c r="AC457" s="152"/>
      <c r="AD457" s="152"/>
      <c r="AE457" s="152"/>
      <c r="AF457" s="152"/>
      <c r="AG457" s="152"/>
      <c r="AH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c r="AB458" s="152"/>
      <c r="AC458" s="152"/>
      <c r="AD458" s="152"/>
      <c r="AE458" s="152"/>
      <c r="AF458" s="152"/>
      <c r="AG458" s="152"/>
      <c r="AH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c r="AB459" s="152"/>
      <c r="AC459" s="152"/>
      <c r="AD459" s="152"/>
      <c r="AE459" s="152"/>
      <c r="AF459" s="152"/>
      <c r="AG459" s="152"/>
      <c r="AH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c r="AB460" s="152"/>
      <c r="AC460" s="152"/>
      <c r="AD460" s="152"/>
      <c r="AE460" s="152"/>
      <c r="AF460" s="152"/>
      <c r="AG460" s="152"/>
      <c r="AH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c r="AB461" s="152"/>
      <c r="AC461" s="152"/>
      <c r="AD461" s="152"/>
      <c r="AE461" s="152"/>
      <c r="AF461" s="152"/>
      <c r="AG461" s="152"/>
      <c r="AH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c r="AB462" s="152"/>
      <c r="AC462" s="152"/>
      <c r="AD462" s="152"/>
      <c r="AE462" s="152"/>
      <c r="AF462" s="152"/>
      <c r="AG462" s="152"/>
      <c r="AH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c r="AB463" s="152"/>
      <c r="AC463" s="152"/>
      <c r="AD463" s="152"/>
      <c r="AE463" s="152"/>
      <c r="AF463" s="152"/>
      <c r="AG463" s="152"/>
      <c r="AH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c r="AB464" s="152"/>
      <c r="AC464" s="152"/>
      <c r="AD464" s="152"/>
      <c r="AE464" s="152"/>
      <c r="AF464" s="152"/>
      <c r="AG464" s="152"/>
      <c r="AH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c r="AB465" s="152"/>
      <c r="AC465" s="152"/>
      <c r="AD465" s="152"/>
      <c r="AE465" s="152"/>
      <c r="AF465" s="152"/>
      <c r="AG465" s="152"/>
      <c r="AH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c r="AB466" s="152"/>
      <c r="AC466" s="152"/>
      <c r="AD466" s="152"/>
      <c r="AE466" s="152"/>
      <c r="AF466" s="152"/>
      <c r="AG466" s="152"/>
      <c r="AH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c r="AB467" s="152"/>
      <c r="AC467" s="152"/>
      <c r="AD467" s="152"/>
      <c r="AE467" s="152"/>
      <c r="AF467" s="152"/>
      <c r="AG467" s="152"/>
      <c r="AH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c r="AB468" s="152"/>
      <c r="AC468" s="152"/>
      <c r="AD468" s="152"/>
      <c r="AE468" s="152"/>
      <c r="AF468" s="152"/>
      <c r="AG468" s="152"/>
      <c r="AH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c r="AB469" s="152"/>
      <c r="AC469" s="152"/>
      <c r="AD469" s="152"/>
      <c r="AE469" s="152"/>
      <c r="AF469" s="152"/>
      <c r="AG469" s="152"/>
      <c r="AH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c r="AB470" s="152"/>
      <c r="AC470" s="152"/>
      <c r="AD470" s="152"/>
      <c r="AE470" s="152"/>
      <c r="AF470" s="152"/>
      <c r="AG470" s="152"/>
      <c r="AH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c r="AB471" s="152"/>
      <c r="AC471" s="152"/>
      <c r="AD471" s="152"/>
      <c r="AE471" s="152"/>
      <c r="AF471" s="152"/>
      <c r="AG471" s="152"/>
      <c r="AH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c r="AB472" s="152"/>
      <c r="AC472" s="152"/>
      <c r="AD472" s="152"/>
      <c r="AE472" s="152"/>
      <c r="AF472" s="152"/>
      <c r="AG472" s="152"/>
      <c r="AH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c r="AB473" s="152"/>
      <c r="AC473" s="152"/>
      <c r="AD473" s="152"/>
      <c r="AE473" s="152"/>
      <c r="AF473" s="152"/>
      <c r="AG473" s="152"/>
      <c r="AH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c r="AB474" s="152"/>
      <c r="AC474" s="152"/>
      <c r="AD474" s="152"/>
      <c r="AE474" s="152"/>
      <c r="AF474" s="152"/>
      <c r="AG474" s="152"/>
      <c r="AH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c r="AC475" s="152"/>
      <c r="AD475" s="152"/>
      <c r="AE475" s="152"/>
      <c r="AF475" s="152"/>
      <c r="AG475" s="152"/>
      <c r="AH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c r="AC476" s="152"/>
      <c r="AD476" s="152"/>
      <c r="AE476" s="152"/>
      <c r="AF476" s="152"/>
      <c r="AG476" s="152"/>
      <c r="AH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c r="AC477" s="152"/>
      <c r="AD477" s="152"/>
      <c r="AE477" s="152"/>
      <c r="AF477" s="152"/>
      <c r="AG477" s="152"/>
      <c r="AH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c r="AC478" s="152"/>
      <c r="AD478" s="152"/>
      <c r="AE478" s="152"/>
      <c r="AF478" s="152"/>
      <c r="AG478" s="152"/>
      <c r="AH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c r="AC479" s="152"/>
      <c r="AD479" s="152"/>
      <c r="AE479" s="152"/>
      <c r="AF479" s="152"/>
      <c r="AG479" s="152"/>
      <c r="AH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c r="AC480" s="152"/>
      <c r="AD480" s="152"/>
      <c r="AE480" s="152"/>
      <c r="AF480" s="152"/>
      <c r="AG480" s="152"/>
      <c r="AH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c r="AC481" s="152"/>
      <c r="AD481" s="152"/>
      <c r="AE481" s="152"/>
      <c r="AF481" s="152"/>
      <c r="AG481" s="152"/>
      <c r="AH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c r="AC482" s="152"/>
      <c r="AD482" s="152"/>
      <c r="AE482" s="152"/>
      <c r="AF482" s="152"/>
      <c r="AG482" s="152"/>
      <c r="AH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c r="AC483" s="152"/>
      <c r="AD483" s="152"/>
      <c r="AE483" s="152"/>
      <c r="AF483" s="152"/>
      <c r="AG483" s="152"/>
      <c r="AH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c r="AC484" s="152"/>
      <c r="AD484" s="152"/>
      <c r="AE484" s="152"/>
      <c r="AF484" s="152"/>
      <c r="AG484" s="152"/>
      <c r="AH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c r="AC485" s="152"/>
      <c r="AD485" s="152"/>
      <c r="AE485" s="152"/>
      <c r="AF485" s="152"/>
      <c r="AG485" s="152"/>
      <c r="AH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c r="AC486" s="152"/>
      <c r="AD486" s="152"/>
      <c r="AE486" s="152"/>
      <c r="AF486" s="152"/>
      <c r="AG486" s="152"/>
      <c r="AH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c r="AC487" s="152"/>
      <c r="AD487" s="152"/>
      <c r="AE487" s="152"/>
      <c r="AF487" s="152"/>
      <c r="AG487" s="152"/>
      <c r="AH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c r="AC488" s="152"/>
      <c r="AD488" s="152"/>
      <c r="AE488" s="152"/>
      <c r="AF488" s="152"/>
      <c r="AG488" s="152"/>
      <c r="AH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c r="AC489" s="152"/>
      <c r="AD489" s="152"/>
      <c r="AE489" s="152"/>
      <c r="AF489" s="152"/>
      <c r="AG489" s="152"/>
      <c r="AH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c r="AC490" s="152"/>
      <c r="AD490" s="152"/>
      <c r="AE490" s="152"/>
      <c r="AF490" s="152"/>
      <c r="AG490" s="152"/>
      <c r="AH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c r="AC491" s="152"/>
      <c r="AD491" s="152"/>
      <c r="AE491" s="152"/>
      <c r="AF491" s="152"/>
      <c r="AG491" s="152"/>
      <c r="AH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c r="AC492" s="152"/>
      <c r="AD492" s="152"/>
      <c r="AE492" s="152"/>
      <c r="AF492" s="152"/>
      <c r="AG492" s="152"/>
      <c r="AH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c r="AC493" s="152"/>
      <c r="AD493" s="152"/>
      <c r="AE493" s="152"/>
      <c r="AF493" s="152"/>
      <c r="AG493" s="152"/>
      <c r="AH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c r="AC494" s="152"/>
      <c r="AD494" s="152"/>
      <c r="AE494" s="152"/>
      <c r="AF494" s="152"/>
      <c r="AG494" s="152"/>
      <c r="AH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c r="AC495" s="152"/>
      <c r="AD495" s="152"/>
      <c r="AE495" s="152"/>
      <c r="AF495" s="152"/>
      <c r="AG495" s="152"/>
      <c r="AH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c r="AC496" s="152"/>
      <c r="AD496" s="152"/>
      <c r="AE496" s="152"/>
      <c r="AF496" s="152"/>
      <c r="AG496" s="152"/>
      <c r="AH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c r="AC497" s="152"/>
      <c r="AD497" s="152"/>
      <c r="AE497" s="152"/>
      <c r="AF497" s="152"/>
      <c r="AG497" s="152"/>
      <c r="AH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c r="AC498" s="152"/>
      <c r="AD498" s="152"/>
      <c r="AE498" s="152"/>
      <c r="AF498" s="152"/>
      <c r="AG498" s="152"/>
      <c r="AH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c r="AC499" s="152"/>
      <c r="AD499" s="152"/>
      <c r="AE499" s="152"/>
      <c r="AF499" s="152"/>
      <c r="AG499" s="152"/>
      <c r="AH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c r="AC500" s="152"/>
      <c r="AD500" s="152"/>
      <c r="AE500" s="152"/>
      <c r="AF500" s="152"/>
      <c r="AG500" s="152"/>
      <c r="AH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c r="AC501" s="152"/>
      <c r="AD501" s="152"/>
      <c r="AE501" s="152"/>
      <c r="AF501" s="152"/>
      <c r="AG501" s="152"/>
      <c r="AH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c r="AC502" s="152"/>
      <c r="AD502" s="152"/>
      <c r="AE502" s="152"/>
      <c r="AF502" s="152"/>
      <c r="AG502" s="152"/>
      <c r="AH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c r="AC503" s="152"/>
      <c r="AD503" s="152"/>
      <c r="AE503" s="152"/>
      <c r="AF503" s="152"/>
      <c r="AG503" s="152"/>
      <c r="AH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c r="AC504" s="152"/>
      <c r="AD504" s="152"/>
      <c r="AE504" s="152"/>
      <c r="AF504" s="152"/>
      <c r="AG504" s="152"/>
      <c r="AH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c r="AC505" s="152"/>
      <c r="AD505" s="152"/>
      <c r="AE505" s="152"/>
      <c r="AF505" s="152"/>
      <c r="AG505" s="152"/>
      <c r="AH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c r="AC506" s="152"/>
      <c r="AD506" s="152"/>
      <c r="AE506" s="152"/>
      <c r="AF506" s="152"/>
      <c r="AG506" s="152"/>
      <c r="AH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c r="AC507" s="152"/>
      <c r="AD507" s="152"/>
      <c r="AE507" s="152"/>
      <c r="AF507" s="152"/>
      <c r="AG507" s="152"/>
      <c r="AH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c r="AC508" s="152"/>
      <c r="AD508" s="152"/>
      <c r="AE508" s="152"/>
      <c r="AF508" s="152"/>
      <c r="AG508" s="152"/>
      <c r="AH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c r="AC509" s="152"/>
      <c r="AD509" s="152"/>
      <c r="AE509" s="152"/>
      <c r="AF509" s="152"/>
      <c r="AG509" s="152"/>
      <c r="AH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c r="AC510" s="152"/>
      <c r="AD510" s="152"/>
      <c r="AE510" s="152"/>
      <c r="AF510" s="152"/>
      <c r="AG510" s="152"/>
      <c r="AH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c r="AC511" s="152"/>
      <c r="AD511" s="152"/>
      <c r="AE511" s="152"/>
      <c r="AF511" s="152"/>
      <c r="AG511" s="152"/>
      <c r="AH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c r="AC512" s="152"/>
      <c r="AD512" s="152"/>
      <c r="AE512" s="152"/>
      <c r="AF512" s="152"/>
      <c r="AG512" s="152"/>
      <c r="AH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c r="AC513" s="152"/>
      <c r="AD513" s="152"/>
      <c r="AE513" s="152"/>
      <c r="AF513" s="152"/>
      <c r="AG513" s="152"/>
      <c r="AH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c r="AC514" s="152"/>
      <c r="AD514" s="152"/>
      <c r="AE514" s="152"/>
      <c r="AF514" s="152"/>
      <c r="AG514" s="152"/>
      <c r="AH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c r="AC515" s="152"/>
      <c r="AD515" s="152"/>
      <c r="AE515" s="152"/>
      <c r="AF515" s="152"/>
      <c r="AG515" s="152"/>
      <c r="AH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c r="AC516" s="152"/>
      <c r="AD516" s="152"/>
      <c r="AE516" s="152"/>
      <c r="AF516" s="152"/>
      <c r="AG516" s="152"/>
      <c r="AH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c r="AC517" s="152"/>
      <c r="AD517" s="152"/>
      <c r="AE517" s="152"/>
      <c r="AF517" s="152"/>
      <c r="AG517" s="152"/>
      <c r="AH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c r="AC518" s="152"/>
      <c r="AD518" s="152"/>
      <c r="AE518" s="152"/>
      <c r="AF518" s="152"/>
      <c r="AG518" s="152"/>
      <c r="AH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c r="AC519" s="152"/>
      <c r="AD519" s="152"/>
      <c r="AE519" s="152"/>
      <c r="AF519" s="152"/>
      <c r="AG519" s="152"/>
      <c r="AH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c r="AC520" s="152"/>
      <c r="AD520" s="152"/>
      <c r="AE520" s="152"/>
      <c r="AF520" s="152"/>
      <c r="AG520" s="152"/>
      <c r="AH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c r="AC521" s="152"/>
      <c r="AD521" s="152"/>
      <c r="AE521" s="152"/>
      <c r="AF521" s="152"/>
      <c r="AG521" s="152"/>
      <c r="AH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c r="AC522" s="152"/>
      <c r="AD522" s="152"/>
      <c r="AE522" s="152"/>
      <c r="AF522" s="152"/>
      <c r="AG522" s="152"/>
      <c r="AH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c r="AC523" s="152"/>
      <c r="AD523" s="152"/>
      <c r="AE523" s="152"/>
      <c r="AF523" s="152"/>
      <c r="AG523" s="152"/>
      <c r="AH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c r="AC524" s="152"/>
      <c r="AD524" s="152"/>
      <c r="AE524" s="152"/>
      <c r="AF524" s="152"/>
      <c r="AG524" s="152"/>
      <c r="AH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c r="AC525" s="152"/>
      <c r="AD525" s="152"/>
      <c r="AE525" s="152"/>
      <c r="AF525" s="152"/>
      <c r="AG525" s="152"/>
      <c r="AH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c r="AC526" s="152"/>
      <c r="AD526" s="152"/>
      <c r="AE526" s="152"/>
      <c r="AF526" s="152"/>
      <c r="AG526" s="152"/>
      <c r="AH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c r="AC527" s="152"/>
      <c r="AD527" s="152"/>
      <c r="AE527" s="152"/>
      <c r="AF527" s="152"/>
      <c r="AG527" s="152"/>
      <c r="AH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c r="AC528" s="152"/>
      <c r="AD528" s="152"/>
      <c r="AE528" s="152"/>
      <c r="AF528" s="152"/>
      <c r="AG528" s="152"/>
      <c r="AH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c r="AC529" s="152"/>
      <c r="AD529" s="152"/>
      <c r="AE529" s="152"/>
      <c r="AF529" s="152"/>
      <c r="AG529" s="152"/>
      <c r="AH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c r="AC530" s="152"/>
      <c r="AD530" s="152"/>
      <c r="AE530" s="152"/>
      <c r="AF530" s="152"/>
      <c r="AG530" s="152"/>
      <c r="AH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c r="AC531" s="152"/>
      <c r="AD531" s="152"/>
      <c r="AE531" s="152"/>
      <c r="AF531" s="152"/>
      <c r="AG531" s="152"/>
      <c r="AH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c r="AC532" s="152"/>
      <c r="AD532" s="152"/>
      <c r="AE532" s="152"/>
      <c r="AF532" s="152"/>
      <c r="AG532" s="152"/>
      <c r="AH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c r="AC533" s="152"/>
      <c r="AD533" s="152"/>
      <c r="AE533" s="152"/>
      <c r="AF533" s="152"/>
      <c r="AG533" s="152"/>
      <c r="AH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c r="AC534" s="152"/>
      <c r="AD534" s="152"/>
      <c r="AE534" s="152"/>
      <c r="AF534" s="152"/>
      <c r="AG534" s="152"/>
      <c r="AH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c r="AC535" s="152"/>
      <c r="AD535" s="152"/>
      <c r="AE535" s="152"/>
      <c r="AF535" s="152"/>
      <c r="AG535" s="152"/>
      <c r="AH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c r="AC536" s="152"/>
      <c r="AD536" s="152"/>
      <c r="AE536" s="152"/>
      <c r="AF536" s="152"/>
      <c r="AG536" s="152"/>
      <c r="AH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c r="AC537" s="152"/>
      <c r="AD537" s="152"/>
      <c r="AE537" s="152"/>
      <c r="AF537" s="152"/>
      <c r="AG537" s="152"/>
      <c r="AH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c r="AC538" s="152"/>
      <c r="AD538" s="152"/>
      <c r="AE538" s="152"/>
      <c r="AF538" s="152"/>
      <c r="AG538" s="152"/>
      <c r="AH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c r="AC539" s="152"/>
      <c r="AD539" s="152"/>
      <c r="AE539" s="152"/>
      <c r="AF539" s="152"/>
      <c r="AG539" s="152"/>
      <c r="AH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c r="AC540" s="152"/>
      <c r="AD540" s="152"/>
      <c r="AE540" s="152"/>
      <c r="AF540" s="152"/>
      <c r="AG540" s="152"/>
      <c r="AH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c r="AC541" s="152"/>
      <c r="AD541" s="152"/>
      <c r="AE541" s="152"/>
      <c r="AF541" s="152"/>
      <c r="AG541" s="152"/>
      <c r="AH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c r="AC542" s="152"/>
      <c r="AD542" s="152"/>
      <c r="AE542" s="152"/>
      <c r="AF542" s="152"/>
      <c r="AG542" s="152"/>
      <c r="AH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c r="AC543" s="152"/>
      <c r="AD543" s="152"/>
      <c r="AE543" s="152"/>
      <c r="AF543" s="152"/>
      <c r="AG543" s="152"/>
      <c r="AH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c r="AC544" s="152"/>
      <c r="AD544" s="152"/>
      <c r="AE544" s="152"/>
      <c r="AF544" s="152"/>
      <c r="AG544" s="152"/>
      <c r="AH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c r="AC545" s="152"/>
      <c r="AD545" s="152"/>
      <c r="AE545" s="152"/>
      <c r="AF545" s="152"/>
      <c r="AG545" s="152"/>
      <c r="AH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c r="AC546" s="152"/>
      <c r="AD546" s="152"/>
      <c r="AE546" s="152"/>
      <c r="AF546" s="152"/>
      <c r="AG546" s="152"/>
      <c r="AH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c r="AC547" s="152"/>
      <c r="AD547" s="152"/>
      <c r="AE547" s="152"/>
      <c r="AF547" s="152"/>
      <c r="AG547" s="152"/>
      <c r="AH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c r="AC548" s="152"/>
      <c r="AD548" s="152"/>
      <c r="AE548" s="152"/>
      <c r="AF548" s="152"/>
      <c r="AG548" s="152"/>
      <c r="AH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c r="AC549" s="152"/>
      <c r="AD549" s="152"/>
      <c r="AE549" s="152"/>
      <c r="AF549" s="152"/>
      <c r="AG549" s="152"/>
      <c r="AH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c r="AC550" s="152"/>
      <c r="AD550" s="152"/>
      <c r="AE550" s="152"/>
      <c r="AF550" s="152"/>
      <c r="AG550" s="152"/>
      <c r="AH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c r="AC551" s="152"/>
      <c r="AD551" s="152"/>
      <c r="AE551" s="152"/>
      <c r="AF551" s="152"/>
      <c r="AG551" s="152"/>
      <c r="AH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152"/>
      <c r="AH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152"/>
      <c r="AH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152"/>
      <c r="AH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c r="AC555" s="152"/>
      <c r="AD555" s="152"/>
      <c r="AE555" s="152"/>
      <c r="AF555" s="152"/>
      <c r="AG555" s="152"/>
      <c r="AH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c r="AC556" s="152"/>
      <c r="AD556" s="152"/>
      <c r="AE556" s="152"/>
      <c r="AF556" s="152"/>
      <c r="AG556" s="152"/>
      <c r="AH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c r="AC557" s="152"/>
      <c r="AD557" s="152"/>
      <c r="AE557" s="152"/>
      <c r="AF557" s="152"/>
      <c r="AG557" s="152"/>
      <c r="AH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c r="AC558" s="152"/>
      <c r="AD558" s="152"/>
      <c r="AE558" s="152"/>
      <c r="AF558" s="152"/>
      <c r="AG558" s="152"/>
      <c r="AH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c r="AC559" s="152"/>
      <c r="AD559" s="152"/>
      <c r="AE559" s="152"/>
      <c r="AF559" s="152"/>
      <c r="AG559" s="152"/>
      <c r="AH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c r="AC560" s="152"/>
      <c r="AD560" s="152"/>
      <c r="AE560" s="152"/>
      <c r="AF560" s="152"/>
      <c r="AG560" s="152"/>
      <c r="AH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c r="AC561" s="152"/>
      <c r="AD561" s="152"/>
      <c r="AE561" s="152"/>
      <c r="AF561" s="152"/>
      <c r="AG561" s="152"/>
      <c r="AH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c r="AC562" s="152"/>
      <c r="AD562" s="152"/>
      <c r="AE562" s="152"/>
      <c r="AF562" s="152"/>
      <c r="AG562" s="152"/>
      <c r="AH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c r="AC563" s="152"/>
      <c r="AD563" s="152"/>
      <c r="AE563" s="152"/>
      <c r="AF563" s="152"/>
      <c r="AG563" s="152"/>
      <c r="AH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c r="AC564" s="152"/>
      <c r="AD564" s="152"/>
      <c r="AE564" s="152"/>
      <c r="AF564" s="152"/>
      <c r="AG564" s="152"/>
      <c r="AH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c r="AC565" s="152"/>
      <c r="AD565" s="152"/>
      <c r="AE565" s="152"/>
      <c r="AF565" s="152"/>
      <c r="AG565" s="152"/>
      <c r="AH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c r="AC566" s="152"/>
      <c r="AD566" s="152"/>
      <c r="AE566" s="152"/>
      <c r="AF566" s="152"/>
      <c r="AG566" s="152"/>
      <c r="AH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c r="AC567" s="152"/>
      <c r="AD567" s="152"/>
      <c r="AE567" s="152"/>
      <c r="AF567" s="152"/>
      <c r="AG567" s="152"/>
      <c r="AH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c r="AC568" s="152"/>
      <c r="AD568" s="152"/>
      <c r="AE568" s="152"/>
      <c r="AF568" s="152"/>
      <c r="AG568" s="152"/>
      <c r="AH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c r="AC569" s="152"/>
      <c r="AD569" s="152"/>
      <c r="AE569" s="152"/>
      <c r="AF569" s="152"/>
      <c r="AG569" s="152"/>
      <c r="AH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c r="AC570" s="152"/>
      <c r="AD570" s="152"/>
      <c r="AE570" s="152"/>
      <c r="AF570" s="152"/>
      <c r="AG570" s="152"/>
      <c r="AH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c r="AC571" s="152"/>
      <c r="AD571" s="152"/>
      <c r="AE571" s="152"/>
      <c r="AF571" s="152"/>
      <c r="AG571" s="152"/>
      <c r="AH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c r="AC572" s="152"/>
      <c r="AD572" s="152"/>
      <c r="AE572" s="152"/>
      <c r="AF572" s="152"/>
      <c r="AG572" s="152"/>
      <c r="AH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c r="AC573" s="152"/>
      <c r="AD573" s="152"/>
      <c r="AE573" s="152"/>
      <c r="AF573" s="152"/>
      <c r="AG573" s="152"/>
      <c r="AH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c r="AC574" s="152"/>
      <c r="AD574" s="152"/>
      <c r="AE574" s="152"/>
      <c r="AF574" s="152"/>
      <c r="AG574" s="152"/>
      <c r="AH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c r="AC575" s="152"/>
      <c r="AD575" s="152"/>
      <c r="AE575" s="152"/>
      <c r="AF575" s="152"/>
      <c r="AG575" s="152"/>
      <c r="AH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c r="AC576" s="152"/>
      <c r="AD576" s="152"/>
      <c r="AE576" s="152"/>
      <c r="AF576" s="152"/>
      <c r="AG576" s="152"/>
      <c r="AH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c r="AC577" s="152"/>
      <c r="AD577" s="152"/>
      <c r="AE577" s="152"/>
      <c r="AF577" s="152"/>
      <c r="AG577" s="152"/>
      <c r="AH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c r="AC578" s="152"/>
      <c r="AD578" s="152"/>
      <c r="AE578" s="152"/>
      <c r="AF578" s="152"/>
      <c r="AG578" s="152"/>
      <c r="AH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c r="AC579" s="152"/>
      <c r="AD579" s="152"/>
      <c r="AE579" s="152"/>
      <c r="AF579" s="152"/>
      <c r="AG579" s="152"/>
      <c r="AH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c r="AC580" s="152"/>
      <c r="AD580" s="152"/>
      <c r="AE580" s="152"/>
      <c r="AF580" s="152"/>
      <c r="AG580" s="152"/>
      <c r="AH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c r="AC581" s="152"/>
      <c r="AD581" s="152"/>
      <c r="AE581" s="152"/>
      <c r="AF581" s="152"/>
      <c r="AG581" s="152"/>
      <c r="AH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c r="AC582" s="152"/>
      <c r="AD582" s="152"/>
      <c r="AE582" s="152"/>
      <c r="AF582" s="152"/>
      <c r="AG582" s="152"/>
      <c r="AH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c r="AC583" s="152"/>
      <c r="AD583" s="152"/>
      <c r="AE583" s="152"/>
      <c r="AF583" s="152"/>
      <c r="AG583" s="152"/>
      <c r="AH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c r="AC584" s="152"/>
      <c r="AD584" s="152"/>
      <c r="AE584" s="152"/>
      <c r="AF584" s="152"/>
      <c r="AG584" s="152"/>
      <c r="AH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c r="AC585" s="152"/>
      <c r="AD585" s="152"/>
      <c r="AE585" s="152"/>
      <c r="AF585" s="152"/>
      <c r="AG585" s="152"/>
      <c r="AH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c r="AC586" s="152"/>
      <c r="AD586" s="152"/>
      <c r="AE586" s="152"/>
      <c r="AF586" s="152"/>
      <c r="AG586" s="152"/>
      <c r="AH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c r="AC587" s="152"/>
      <c r="AD587" s="152"/>
      <c r="AE587" s="152"/>
      <c r="AF587" s="152"/>
      <c r="AG587" s="152"/>
      <c r="AH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c r="AC588" s="152"/>
      <c r="AD588" s="152"/>
      <c r="AE588" s="152"/>
      <c r="AF588" s="152"/>
      <c r="AG588" s="152"/>
      <c r="AH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c r="AC589" s="152"/>
      <c r="AD589" s="152"/>
      <c r="AE589" s="152"/>
      <c r="AF589" s="152"/>
      <c r="AG589" s="152"/>
      <c r="AH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c r="AC590" s="152"/>
      <c r="AD590" s="152"/>
      <c r="AE590" s="152"/>
      <c r="AF590" s="152"/>
      <c r="AG590" s="152"/>
      <c r="AH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c r="AC591" s="152"/>
      <c r="AD591" s="152"/>
      <c r="AE591" s="152"/>
      <c r="AF591" s="152"/>
      <c r="AG591" s="152"/>
      <c r="AH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c r="AC592" s="152"/>
      <c r="AD592" s="152"/>
      <c r="AE592" s="152"/>
      <c r="AF592" s="152"/>
      <c r="AG592" s="152"/>
      <c r="AH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c r="AC593" s="152"/>
      <c r="AD593" s="152"/>
      <c r="AE593" s="152"/>
      <c r="AF593" s="152"/>
      <c r="AG593" s="152"/>
      <c r="AH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c r="AC594" s="152"/>
      <c r="AD594" s="152"/>
      <c r="AE594" s="152"/>
      <c r="AF594" s="152"/>
      <c r="AG594" s="152"/>
      <c r="AH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c r="AC595" s="152"/>
      <c r="AD595" s="152"/>
      <c r="AE595" s="152"/>
      <c r="AF595" s="152"/>
      <c r="AG595" s="152"/>
      <c r="AH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c r="AC596" s="152"/>
      <c r="AD596" s="152"/>
      <c r="AE596" s="152"/>
      <c r="AF596" s="152"/>
      <c r="AG596" s="152"/>
      <c r="AH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c r="AC597" s="152"/>
      <c r="AD597" s="152"/>
      <c r="AE597" s="152"/>
      <c r="AF597" s="152"/>
      <c r="AG597" s="152"/>
      <c r="AH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c r="AC598" s="152"/>
      <c r="AD598" s="152"/>
      <c r="AE598" s="152"/>
      <c r="AF598" s="152"/>
      <c r="AG598" s="152"/>
      <c r="AH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c r="AC599" s="152"/>
      <c r="AD599" s="152"/>
      <c r="AE599" s="152"/>
      <c r="AF599" s="152"/>
      <c r="AG599" s="152"/>
      <c r="AH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c r="AC600" s="152"/>
      <c r="AD600" s="152"/>
      <c r="AE600" s="152"/>
      <c r="AF600" s="152"/>
      <c r="AG600" s="152"/>
      <c r="AH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c r="AC601" s="152"/>
      <c r="AD601" s="152"/>
      <c r="AE601" s="152"/>
      <c r="AF601" s="152"/>
      <c r="AG601" s="152"/>
      <c r="AH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c r="AC602" s="152"/>
      <c r="AD602" s="152"/>
      <c r="AE602" s="152"/>
      <c r="AF602" s="152"/>
      <c r="AG602" s="152"/>
      <c r="AH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c r="AC603" s="152"/>
      <c r="AD603" s="152"/>
      <c r="AE603" s="152"/>
      <c r="AF603" s="152"/>
      <c r="AG603" s="152"/>
      <c r="AH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c r="AC604" s="152"/>
      <c r="AD604" s="152"/>
      <c r="AE604" s="152"/>
      <c r="AF604" s="152"/>
      <c r="AG604" s="152"/>
      <c r="AH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c r="AC605" s="152"/>
      <c r="AD605" s="152"/>
      <c r="AE605" s="152"/>
      <c r="AF605" s="152"/>
      <c r="AG605" s="152"/>
      <c r="AH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c r="AC606" s="152"/>
      <c r="AD606" s="152"/>
      <c r="AE606" s="152"/>
      <c r="AF606" s="152"/>
      <c r="AG606" s="152"/>
      <c r="AH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c r="AC607" s="152"/>
      <c r="AD607" s="152"/>
      <c r="AE607" s="152"/>
      <c r="AF607" s="152"/>
      <c r="AG607" s="152"/>
      <c r="AH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c r="AC608" s="152"/>
      <c r="AD608" s="152"/>
      <c r="AE608" s="152"/>
      <c r="AF608" s="152"/>
      <c r="AG608" s="152"/>
      <c r="AH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c r="AC609" s="152"/>
      <c r="AD609" s="152"/>
      <c r="AE609" s="152"/>
      <c r="AF609" s="152"/>
      <c r="AG609" s="152"/>
      <c r="AH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c r="AC610" s="152"/>
      <c r="AD610" s="152"/>
      <c r="AE610" s="152"/>
      <c r="AF610" s="152"/>
      <c r="AG610" s="152"/>
      <c r="AH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c r="AC611" s="152"/>
      <c r="AD611" s="152"/>
      <c r="AE611" s="152"/>
      <c r="AF611" s="152"/>
      <c r="AG611" s="152"/>
      <c r="AH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c r="AC612" s="152"/>
      <c r="AD612" s="152"/>
      <c r="AE612" s="152"/>
      <c r="AF612" s="152"/>
      <c r="AG612" s="152"/>
      <c r="AH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c r="AC613" s="152"/>
      <c r="AD613" s="152"/>
      <c r="AE613" s="152"/>
      <c r="AF613" s="152"/>
      <c r="AG613" s="152"/>
      <c r="AH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c r="AC614" s="152"/>
      <c r="AD614" s="152"/>
      <c r="AE614" s="152"/>
      <c r="AF614" s="152"/>
      <c r="AG614" s="152"/>
      <c r="AH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c r="AC615" s="152"/>
      <c r="AD615" s="152"/>
      <c r="AE615" s="152"/>
      <c r="AF615" s="152"/>
      <c r="AG615" s="152"/>
      <c r="AH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c r="AC616" s="152"/>
      <c r="AD616" s="152"/>
      <c r="AE616" s="152"/>
      <c r="AF616" s="152"/>
      <c r="AG616" s="152"/>
      <c r="AH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c r="AC617" s="152"/>
      <c r="AD617" s="152"/>
      <c r="AE617" s="152"/>
      <c r="AF617" s="152"/>
      <c r="AG617" s="152"/>
      <c r="AH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c r="AC618" s="152"/>
      <c r="AD618" s="152"/>
      <c r="AE618" s="152"/>
      <c r="AF618" s="152"/>
      <c r="AG618" s="152"/>
      <c r="AH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c r="AC619" s="152"/>
      <c r="AD619" s="152"/>
      <c r="AE619" s="152"/>
      <c r="AF619" s="152"/>
      <c r="AG619" s="152"/>
      <c r="AH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c r="AC620" s="152"/>
      <c r="AD620" s="152"/>
      <c r="AE620" s="152"/>
      <c r="AF620" s="152"/>
      <c r="AG620" s="152"/>
      <c r="AH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c r="AC621" s="152"/>
      <c r="AD621" s="152"/>
      <c r="AE621" s="152"/>
      <c r="AF621" s="152"/>
      <c r="AG621" s="152"/>
      <c r="AH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c r="AC622" s="152"/>
      <c r="AD622" s="152"/>
      <c r="AE622" s="152"/>
      <c r="AF622" s="152"/>
      <c r="AG622" s="152"/>
      <c r="AH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c r="AC623" s="152"/>
      <c r="AD623" s="152"/>
      <c r="AE623" s="152"/>
      <c r="AF623" s="152"/>
      <c r="AG623" s="152"/>
      <c r="AH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c r="AC624" s="152"/>
      <c r="AD624" s="152"/>
      <c r="AE624" s="152"/>
      <c r="AF624" s="152"/>
      <c r="AG624" s="152"/>
      <c r="AH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c r="AC625" s="152"/>
      <c r="AD625" s="152"/>
      <c r="AE625" s="152"/>
      <c r="AF625" s="152"/>
      <c r="AG625" s="152"/>
      <c r="AH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c r="AC626" s="152"/>
      <c r="AD626" s="152"/>
      <c r="AE626" s="152"/>
      <c r="AF626" s="152"/>
      <c r="AG626" s="152"/>
      <c r="AH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c r="AC627" s="152"/>
      <c r="AD627" s="152"/>
      <c r="AE627" s="152"/>
      <c r="AF627" s="152"/>
      <c r="AG627" s="152"/>
      <c r="AH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c r="AC628" s="152"/>
      <c r="AD628" s="152"/>
      <c r="AE628" s="152"/>
      <c r="AF628" s="152"/>
      <c r="AG628" s="152"/>
      <c r="AH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c r="AC629" s="152"/>
      <c r="AD629" s="152"/>
      <c r="AE629" s="152"/>
      <c r="AF629" s="152"/>
      <c r="AG629" s="152"/>
      <c r="AH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c r="AC630" s="152"/>
      <c r="AD630" s="152"/>
      <c r="AE630" s="152"/>
      <c r="AF630" s="152"/>
      <c r="AG630" s="152"/>
      <c r="AH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c r="AC631" s="152"/>
      <c r="AD631" s="152"/>
      <c r="AE631" s="152"/>
      <c r="AF631" s="152"/>
      <c r="AG631" s="152"/>
      <c r="AH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c r="AC632" s="152"/>
      <c r="AD632" s="152"/>
      <c r="AE632" s="152"/>
      <c r="AF632" s="152"/>
      <c r="AG632" s="152"/>
      <c r="AH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c r="AC633" s="152"/>
      <c r="AD633" s="152"/>
      <c r="AE633" s="152"/>
      <c r="AF633" s="152"/>
      <c r="AG633" s="152"/>
      <c r="AH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c r="AC634" s="152"/>
      <c r="AD634" s="152"/>
      <c r="AE634" s="152"/>
      <c r="AF634" s="152"/>
      <c r="AG634" s="152"/>
      <c r="AH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c r="AC635" s="152"/>
      <c r="AD635" s="152"/>
      <c r="AE635" s="152"/>
      <c r="AF635" s="152"/>
      <c r="AG635" s="152"/>
      <c r="AH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c r="AC636" s="152"/>
      <c r="AD636" s="152"/>
      <c r="AE636" s="152"/>
      <c r="AF636" s="152"/>
      <c r="AG636" s="152"/>
      <c r="AH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c r="AC637" s="152"/>
      <c r="AD637" s="152"/>
      <c r="AE637" s="152"/>
      <c r="AF637" s="152"/>
      <c r="AG637" s="152"/>
      <c r="AH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c r="AC638" s="152"/>
      <c r="AD638" s="152"/>
      <c r="AE638" s="152"/>
      <c r="AF638" s="152"/>
      <c r="AG638" s="152"/>
      <c r="AH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c r="AC639" s="152"/>
      <c r="AD639" s="152"/>
      <c r="AE639" s="152"/>
      <c r="AF639" s="152"/>
      <c r="AG639" s="152"/>
      <c r="AH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c r="AC640" s="152"/>
      <c r="AD640" s="152"/>
      <c r="AE640" s="152"/>
      <c r="AF640" s="152"/>
      <c r="AG640" s="152"/>
      <c r="AH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c r="AC641" s="152"/>
      <c r="AD641" s="152"/>
      <c r="AE641" s="152"/>
      <c r="AF641" s="152"/>
      <c r="AG641" s="152"/>
      <c r="AH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c r="AC642" s="152"/>
      <c r="AD642" s="152"/>
      <c r="AE642" s="152"/>
      <c r="AF642" s="152"/>
      <c r="AG642" s="152"/>
      <c r="AH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c r="AC643" s="152"/>
      <c r="AD643" s="152"/>
      <c r="AE643" s="152"/>
      <c r="AF643" s="152"/>
      <c r="AG643" s="152"/>
      <c r="AH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c r="AC644" s="152"/>
      <c r="AD644" s="152"/>
      <c r="AE644" s="152"/>
      <c r="AF644" s="152"/>
      <c r="AG644" s="152"/>
      <c r="AH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c r="AC645" s="152"/>
      <c r="AD645" s="152"/>
      <c r="AE645" s="152"/>
      <c r="AF645" s="152"/>
      <c r="AG645" s="152"/>
      <c r="AH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c r="AC646" s="152"/>
      <c r="AD646" s="152"/>
      <c r="AE646" s="152"/>
      <c r="AF646" s="152"/>
      <c r="AG646" s="152"/>
      <c r="AH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c r="AC647" s="152"/>
      <c r="AD647" s="152"/>
      <c r="AE647" s="152"/>
      <c r="AF647" s="152"/>
      <c r="AG647" s="152"/>
      <c r="AH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c r="AC648" s="152"/>
      <c r="AD648" s="152"/>
      <c r="AE648" s="152"/>
      <c r="AF648" s="152"/>
      <c r="AG648" s="152"/>
      <c r="AH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c r="AC649" s="152"/>
      <c r="AD649" s="152"/>
      <c r="AE649" s="152"/>
      <c r="AF649" s="152"/>
      <c r="AG649" s="152"/>
      <c r="AH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c r="AC650" s="152"/>
      <c r="AD650" s="152"/>
      <c r="AE650" s="152"/>
      <c r="AF650" s="152"/>
      <c r="AG650" s="152"/>
      <c r="AH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c r="AC651" s="152"/>
      <c r="AD651" s="152"/>
      <c r="AE651" s="152"/>
      <c r="AF651" s="152"/>
      <c r="AG651" s="152"/>
      <c r="AH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c r="AC652" s="152"/>
      <c r="AD652" s="152"/>
      <c r="AE652" s="152"/>
      <c r="AF652" s="152"/>
      <c r="AG652" s="152"/>
      <c r="AH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c r="AC653" s="152"/>
      <c r="AD653" s="152"/>
      <c r="AE653" s="152"/>
      <c r="AF653" s="152"/>
      <c r="AG653" s="152"/>
      <c r="AH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c r="AC654" s="152"/>
      <c r="AD654" s="152"/>
      <c r="AE654" s="152"/>
      <c r="AF654" s="152"/>
      <c r="AG654" s="152"/>
      <c r="AH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c r="AC655" s="152"/>
      <c r="AD655" s="152"/>
      <c r="AE655" s="152"/>
      <c r="AF655" s="152"/>
      <c r="AG655" s="152"/>
      <c r="AH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c r="AC656" s="152"/>
      <c r="AD656" s="152"/>
      <c r="AE656" s="152"/>
      <c r="AF656" s="152"/>
      <c r="AG656" s="152"/>
      <c r="AH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c r="AC657" s="152"/>
      <c r="AD657" s="152"/>
      <c r="AE657" s="152"/>
      <c r="AF657" s="152"/>
      <c r="AG657" s="152"/>
      <c r="AH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c r="AC658" s="152"/>
      <c r="AD658" s="152"/>
      <c r="AE658" s="152"/>
      <c r="AF658" s="152"/>
      <c r="AG658" s="152"/>
      <c r="AH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c r="AC659" s="152"/>
      <c r="AD659" s="152"/>
      <c r="AE659" s="152"/>
      <c r="AF659" s="152"/>
      <c r="AG659" s="152"/>
      <c r="AH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c r="AC660" s="152"/>
      <c r="AD660" s="152"/>
      <c r="AE660" s="152"/>
      <c r="AF660" s="152"/>
      <c r="AG660" s="152"/>
      <c r="AH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c r="AC661" s="152"/>
      <c r="AD661" s="152"/>
      <c r="AE661" s="152"/>
      <c r="AF661" s="152"/>
      <c r="AG661" s="152"/>
      <c r="AH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c r="AC662" s="152"/>
      <c r="AD662" s="152"/>
      <c r="AE662" s="152"/>
      <c r="AF662" s="152"/>
      <c r="AG662" s="152"/>
      <c r="AH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c r="AC663" s="152"/>
      <c r="AD663" s="152"/>
      <c r="AE663" s="152"/>
      <c r="AF663" s="152"/>
      <c r="AG663" s="152"/>
      <c r="AH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c r="AC664" s="152"/>
      <c r="AD664" s="152"/>
      <c r="AE664" s="152"/>
      <c r="AF664" s="152"/>
      <c r="AG664" s="152"/>
      <c r="AH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c r="AC665" s="152"/>
      <c r="AD665" s="152"/>
      <c r="AE665" s="152"/>
      <c r="AF665" s="152"/>
      <c r="AG665" s="152"/>
      <c r="AH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c r="AC666" s="152"/>
      <c r="AD666" s="152"/>
      <c r="AE666" s="152"/>
      <c r="AF666" s="152"/>
      <c r="AG666" s="152"/>
      <c r="AH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c r="AC667" s="152"/>
      <c r="AD667" s="152"/>
      <c r="AE667" s="152"/>
      <c r="AF667" s="152"/>
      <c r="AG667" s="152"/>
      <c r="AH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c r="AC668" s="152"/>
      <c r="AD668" s="152"/>
      <c r="AE668" s="152"/>
      <c r="AF668" s="152"/>
      <c r="AG668" s="152"/>
      <c r="AH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c r="AC669" s="152"/>
      <c r="AD669" s="152"/>
      <c r="AE669" s="152"/>
      <c r="AF669" s="152"/>
      <c r="AG669" s="152"/>
      <c r="AH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c r="AC670" s="152"/>
      <c r="AD670" s="152"/>
      <c r="AE670" s="152"/>
      <c r="AF670" s="152"/>
      <c r="AG670" s="152"/>
      <c r="AH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c r="AB671" s="152"/>
      <c r="AC671" s="152"/>
      <c r="AD671" s="152"/>
      <c r="AE671" s="152"/>
      <c r="AF671" s="152"/>
      <c r="AG671" s="152"/>
      <c r="AH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c r="AC672" s="152"/>
      <c r="AD672" s="152"/>
      <c r="AE672" s="152"/>
      <c r="AF672" s="152"/>
      <c r="AG672" s="152"/>
      <c r="AH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c r="AB673" s="152"/>
      <c r="AC673" s="152"/>
      <c r="AD673" s="152"/>
      <c r="AE673" s="152"/>
      <c r="AF673" s="152"/>
      <c r="AG673" s="152"/>
      <c r="AH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c r="AC674" s="152"/>
      <c r="AD674" s="152"/>
      <c r="AE674" s="152"/>
      <c r="AF674" s="152"/>
      <c r="AG674" s="152"/>
      <c r="AH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c r="AC675" s="152"/>
      <c r="AD675" s="152"/>
      <c r="AE675" s="152"/>
      <c r="AF675" s="152"/>
      <c r="AG675" s="152"/>
      <c r="AH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c r="AC676" s="152"/>
      <c r="AD676" s="152"/>
      <c r="AE676" s="152"/>
      <c r="AF676" s="152"/>
      <c r="AG676" s="152"/>
      <c r="AH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c r="AC677" s="152"/>
      <c r="AD677" s="152"/>
      <c r="AE677" s="152"/>
      <c r="AF677" s="152"/>
      <c r="AG677" s="152"/>
      <c r="AH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c r="AB678" s="152"/>
      <c r="AC678" s="152"/>
      <c r="AD678" s="152"/>
      <c r="AE678" s="152"/>
      <c r="AF678" s="152"/>
      <c r="AG678" s="152"/>
      <c r="AH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c r="AB679" s="152"/>
      <c r="AC679" s="152"/>
      <c r="AD679" s="152"/>
      <c r="AE679" s="152"/>
      <c r="AF679" s="152"/>
      <c r="AG679" s="152"/>
      <c r="AH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c r="AB680" s="152"/>
      <c r="AC680" s="152"/>
      <c r="AD680" s="152"/>
      <c r="AE680" s="152"/>
      <c r="AF680" s="152"/>
      <c r="AG680" s="152"/>
      <c r="AH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c r="AB681" s="152"/>
      <c r="AC681" s="152"/>
      <c r="AD681" s="152"/>
      <c r="AE681" s="152"/>
      <c r="AF681" s="152"/>
      <c r="AG681" s="152"/>
      <c r="AH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c r="AB682" s="152"/>
      <c r="AC682" s="152"/>
      <c r="AD682" s="152"/>
      <c r="AE682" s="152"/>
      <c r="AF682" s="152"/>
      <c r="AG682" s="152"/>
      <c r="AH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c r="AC683" s="152"/>
      <c r="AD683" s="152"/>
      <c r="AE683" s="152"/>
      <c r="AF683" s="152"/>
      <c r="AG683" s="152"/>
      <c r="AH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c r="AB684" s="152"/>
      <c r="AC684" s="152"/>
      <c r="AD684" s="152"/>
      <c r="AE684" s="152"/>
      <c r="AF684" s="152"/>
      <c r="AG684" s="152"/>
      <c r="AH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c r="AC685" s="152"/>
      <c r="AD685" s="152"/>
      <c r="AE685" s="152"/>
      <c r="AF685" s="152"/>
      <c r="AG685" s="152"/>
      <c r="AH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c r="AB686" s="152"/>
      <c r="AC686" s="152"/>
      <c r="AD686" s="152"/>
      <c r="AE686" s="152"/>
      <c r="AF686" s="152"/>
      <c r="AG686" s="152"/>
      <c r="AH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c r="AB687" s="152"/>
      <c r="AC687" s="152"/>
      <c r="AD687" s="152"/>
      <c r="AE687" s="152"/>
      <c r="AF687" s="152"/>
      <c r="AG687" s="152"/>
      <c r="AH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c r="AB688" s="152"/>
      <c r="AC688" s="152"/>
      <c r="AD688" s="152"/>
      <c r="AE688" s="152"/>
      <c r="AF688" s="152"/>
      <c r="AG688" s="152"/>
      <c r="AH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c r="AB689" s="152"/>
      <c r="AC689" s="152"/>
      <c r="AD689" s="152"/>
      <c r="AE689" s="152"/>
      <c r="AF689" s="152"/>
      <c r="AG689" s="152"/>
      <c r="AH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c r="AB690" s="152"/>
      <c r="AC690" s="152"/>
      <c r="AD690" s="152"/>
      <c r="AE690" s="152"/>
      <c r="AF690" s="152"/>
      <c r="AG690" s="152"/>
      <c r="AH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c r="AB691" s="152"/>
      <c r="AC691" s="152"/>
      <c r="AD691" s="152"/>
      <c r="AE691" s="152"/>
      <c r="AF691" s="152"/>
      <c r="AG691" s="152"/>
      <c r="AH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c r="AB692" s="152"/>
      <c r="AC692" s="152"/>
      <c r="AD692" s="152"/>
      <c r="AE692" s="152"/>
      <c r="AF692" s="152"/>
      <c r="AG692" s="152"/>
      <c r="AH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c r="AB693" s="152"/>
      <c r="AC693" s="152"/>
      <c r="AD693" s="152"/>
      <c r="AE693" s="152"/>
      <c r="AF693" s="152"/>
      <c r="AG693" s="152"/>
      <c r="AH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c r="AB694" s="152"/>
      <c r="AC694" s="152"/>
      <c r="AD694" s="152"/>
      <c r="AE694" s="152"/>
      <c r="AF694" s="152"/>
      <c r="AG694" s="152"/>
      <c r="AH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c r="AB695" s="152"/>
      <c r="AC695" s="152"/>
      <c r="AD695" s="152"/>
      <c r="AE695" s="152"/>
      <c r="AF695" s="152"/>
      <c r="AG695" s="152"/>
      <c r="AH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c r="AB696" s="152"/>
      <c r="AC696" s="152"/>
      <c r="AD696" s="152"/>
      <c r="AE696" s="152"/>
      <c r="AF696" s="152"/>
      <c r="AG696" s="152"/>
      <c r="AH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c r="AB697" s="152"/>
      <c r="AC697" s="152"/>
      <c r="AD697" s="152"/>
      <c r="AE697" s="152"/>
      <c r="AF697" s="152"/>
      <c r="AG697" s="152"/>
      <c r="AH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c r="AB698" s="152"/>
      <c r="AC698" s="152"/>
      <c r="AD698" s="152"/>
      <c r="AE698" s="152"/>
      <c r="AF698" s="152"/>
      <c r="AG698" s="152"/>
      <c r="AH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c r="AB699" s="152"/>
      <c r="AC699" s="152"/>
      <c r="AD699" s="152"/>
      <c r="AE699" s="152"/>
      <c r="AF699" s="152"/>
      <c r="AG699" s="152"/>
      <c r="AH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c r="AB700" s="152"/>
      <c r="AC700" s="152"/>
      <c r="AD700" s="152"/>
      <c r="AE700" s="152"/>
      <c r="AF700" s="152"/>
      <c r="AG700" s="152"/>
      <c r="AH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c r="AB701" s="152"/>
      <c r="AC701" s="152"/>
      <c r="AD701" s="152"/>
      <c r="AE701" s="152"/>
      <c r="AF701" s="152"/>
      <c r="AG701" s="152"/>
      <c r="AH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c r="AB702" s="152"/>
      <c r="AC702" s="152"/>
      <c r="AD702" s="152"/>
      <c r="AE702" s="152"/>
      <c r="AF702" s="152"/>
      <c r="AG702" s="152"/>
      <c r="AH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c r="AC703" s="152"/>
      <c r="AD703" s="152"/>
      <c r="AE703" s="152"/>
      <c r="AF703" s="152"/>
      <c r="AG703" s="152"/>
      <c r="AH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c r="AC704" s="152"/>
      <c r="AD704" s="152"/>
      <c r="AE704" s="152"/>
      <c r="AF704" s="152"/>
      <c r="AG704" s="152"/>
      <c r="AH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c r="AC705" s="152"/>
      <c r="AD705" s="152"/>
      <c r="AE705" s="152"/>
      <c r="AF705" s="152"/>
      <c r="AG705" s="152"/>
      <c r="AH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c r="AC706" s="152"/>
      <c r="AD706" s="152"/>
      <c r="AE706" s="152"/>
      <c r="AF706" s="152"/>
      <c r="AG706" s="152"/>
      <c r="AH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c r="AC707" s="152"/>
      <c r="AD707" s="152"/>
      <c r="AE707" s="152"/>
      <c r="AF707" s="152"/>
      <c r="AG707" s="152"/>
      <c r="AH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c r="AB708" s="152"/>
      <c r="AC708" s="152"/>
      <c r="AD708" s="152"/>
      <c r="AE708" s="152"/>
      <c r="AF708" s="152"/>
      <c r="AG708" s="152"/>
      <c r="AH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c r="AB709" s="152"/>
      <c r="AC709" s="152"/>
      <c r="AD709" s="152"/>
      <c r="AE709" s="152"/>
      <c r="AF709" s="152"/>
      <c r="AG709" s="152"/>
      <c r="AH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c r="AB710" s="152"/>
      <c r="AC710" s="152"/>
      <c r="AD710" s="152"/>
      <c r="AE710" s="152"/>
      <c r="AF710" s="152"/>
      <c r="AG710" s="152"/>
      <c r="AH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c r="AB711" s="152"/>
      <c r="AC711" s="152"/>
      <c r="AD711" s="152"/>
      <c r="AE711" s="152"/>
      <c r="AF711" s="152"/>
      <c r="AG711" s="152"/>
      <c r="AH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c r="AB712" s="152"/>
      <c r="AC712" s="152"/>
      <c r="AD712" s="152"/>
      <c r="AE712" s="152"/>
      <c r="AF712" s="152"/>
      <c r="AG712" s="152"/>
      <c r="AH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c r="AB713" s="152"/>
      <c r="AC713" s="152"/>
      <c r="AD713" s="152"/>
      <c r="AE713" s="152"/>
      <c r="AF713" s="152"/>
      <c r="AG713" s="152"/>
      <c r="AH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c r="AB714" s="152"/>
      <c r="AC714" s="152"/>
      <c r="AD714" s="152"/>
      <c r="AE714" s="152"/>
      <c r="AF714" s="152"/>
      <c r="AG714" s="152"/>
      <c r="AH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c r="AB715" s="152"/>
      <c r="AC715" s="152"/>
      <c r="AD715" s="152"/>
      <c r="AE715" s="152"/>
      <c r="AF715" s="152"/>
      <c r="AG715" s="152"/>
      <c r="AH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c r="AB716" s="152"/>
      <c r="AC716" s="152"/>
      <c r="AD716" s="152"/>
      <c r="AE716" s="152"/>
      <c r="AF716" s="152"/>
      <c r="AG716" s="152"/>
      <c r="AH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c r="AB717" s="152"/>
      <c r="AC717" s="152"/>
      <c r="AD717" s="152"/>
      <c r="AE717" s="152"/>
      <c r="AF717" s="152"/>
      <c r="AG717" s="152"/>
      <c r="AH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c r="AB718" s="152"/>
      <c r="AC718" s="152"/>
      <c r="AD718" s="152"/>
      <c r="AE718" s="152"/>
      <c r="AF718" s="152"/>
      <c r="AG718" s="152"/>
      <c r="AH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c r="AB719" s="152"/>
      <c r="AC719" s="152"/>
      <c r="AD719" s="152"/>
      <c r="AE719" s="152"/>
      <c r="AF719" s="152"/>
      <c r="AG719" s="152"/>
      <c r="AH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c r="AC720" s="152"/>
      <c r="AD720" s="152"/>
      <c r="AE720" s="152"/>
      <c r="AF720" s="152"/>
      <c r="AG720" s="152"/>
      <c r="AH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c r="AB721" s="152"/>
      <c r="AC721" s="152"/>
      <c r="AD721" s="152"/>
      <c r="AE721" s="152"/>
      <c r="AF721" s="152"/>
      <c r="AG721" s="152"/>
      <c r="AH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c r="AC722" s="152"/>
      <c r="AD722" s="152"/>
      <c r="AE722" s="152"/>
      <c r="AF722" s="152"/>
      <c r="AG722" s="152"/>
      <c r="AH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c r="AC723" s="152"/>
      <c r="AD723" s="152"/>
      <c r="AE723" s="152"/>
      <c r="AF723" s="152"/>
      <c r="AG723" s="152"/>
      <c r="AH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c r="AC724" s="152"/>
      <c r="AD724" s="152"/>
      <c r="AE724" s="152"/>
      <c r="AF724" s="152"/>
      <c r="AG724" s="152"/>
      <c r="AH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c r="AC725" s="152"/>
      <c r="AD725" s="152"/>
      <c r="AE725" s="152"/>
      <c r="AF725" s="152"/>
      <c r="AG725" s="152"/>
      <c r="AH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c r="AB726" s="152"/>
      <c r="AC726" s="152"/>
      <c r="AD726" s="152"/>
      <c r="AE726" s="152"/>
      <c r="AF726" s="152"/>
      <c r="AG726" s="152"/>
      <c r="AH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c r="AB727" s="152"/>
      <c r="AC727" s="152"/>
      <c r="AD727" s="152"/>
      <c r="AE727" s="152"/>
      <c r="AF727" s="152"/>
      <c r="AG727" s="152"/>
      <c r="AH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c r="AB728" s="152"/>
      <c r="AC728" s="152"/>
      <c r="AD728" s="152"/>
      <c r="AE728" s="152"/>
      <c r="AF728" s="152"/>
      <c r="AG728" s="152"/>
      <c r="AH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c r="AB729" s="152"/>
      <c r="AC729" s="152"/>
      <c r="AD729" s="152"/>
      <c r="AE729" s="152"/>
      <c r="AF729" s="152"/>
      <c r="AG729" s="152"/>
      <c r="AH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c r="AB730" s="152"/>
      <c r="AC730" s="152"/>
      <c r="AD730" s="152"/>
      <c r="AE730" s="152"/>
      <c r="AF730" s="152"/>
      <c r="AG730" s="152"/>
      <c r="AH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c r="AC731" s="152"/>
      <c r="AD731" s="152"/>
      <c r="AE731" s="152"/>
      <c r="AF731" s="152"/>
      <c r="AG731" s="152"/>
      <c r="AH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c r="AB732" s="152"/>
      <c r="AC732" s="152"/>
      <c r="AD732" s="152"/>
      <c r="AE732" s="152"/>
      <c r="AF732" s="152"/>
      <c r="AG732" s="152"/>
      <c r="AH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c r="AC733" s="152"/>
      <c r="AD733" s="152"/>
      <c r="AE733" s="152"/>
      <c r="AF733" s="152"/>
      <c r="AG733" s="152"/>
      <c r="AH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c r="AB734" s="152"/>
      <c r="AC734" s="152"/>
      <c r="AD734" s="152"/>
      <c r="AE734" s="152"/>
      <c r="AF734" s="152"/>
      <c r="AG734" s="152"/>
      <c r="AH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c r="AB735" s="152"/>
      <c r="AC735" s="152"/>
      <c r="AD735" s="152"/>
      <c r="AE735" s="152"/>
      <c r="AF735" s="152"/>
      <c r="AG735" s="152"/>
      <c r="AH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c r="AB736" s="152"/>
      <c r="AC736" s="152"/>
      <c r="AD736" s="152"/>
      <c r="AE736" s="152"/>
      <c r="AF736" s="152"/>
      <c r="AG736" s="152"/>
      <c r="AH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c r="AB737" s="152"/>
      <c r="AC737" s="152"/>
      <c r="AD737" s="152"/>
      <c r="AE737" s="152"/>
      <c r="AF737" s="152"/>
      <c r="AG737" s="152"/>
      <c r="AH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c r="AB738" s="152"/>
      <c r="AC738" s="152"/>
      <c r="AD738" s="152"/>
      <c r="AE738" s="152"/>
      <c r="AF738" s="152"/>
      <c r="AG738" s="152"/>
      <c r="AH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c r="AB739" s="152"/>
      <c r="AC739" s="152"/>
      <c r="AD739" s="152"/>
      <c r="AE739" s="152"/>
      <c r="AF739" s="152"/>
      <c r="AG739" s="152"/>
      <c r="AH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c r="AB740" s="152"/>
      <c r="AC740" s="152"/>
      <c r="AD740" s="152"/>
      <c r="AE740" s="152"/>
      <c r="AF740" s="152"/>
      <c r="AG740" s="152"/>
      <c r="AH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c r="AB741" s="152"/>
      <c r="AC741" s="152"/>
      <c r="AD741" s="152"/>
      <c r="AE741" s="152"/>
      <c r="AF741" s="152"/>
      <c r="AG741" s="152"/>
      <c r="AH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c r="AB742" s="152"/>
      <c r="AC742" s="152"/>
      <c r="AD742" s="152"/>
      <c r="AE742" s="152"/>
      <c r="AF742" s="152"/>
      <c r="AG742" s="152"/>
      <c r="AH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c r="AB743" s="152"/>
      <c r="AC743" s="152"/>
      <c r="AD743" s="152"/>
      <c r="AE743" s="152"/>
      <c r="AF743" s="152"/>
      <c r="AG743" s="152"/>
      <c r="AH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c r="AB744" s="152"/>
      <c r="AC744" s="152"/>
      <c r="AD744" s="152"/>
      <c r="AE744" s="152"/>
      <c r="AF744" s="152"/>
      <c r="AG744" s="152"/>
      <c r="AH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c r="AB745" s="152"/>
      <c r="AC745" s="152"/>
      <c r="AD745" s="152"/>
      <c r="AE745" s="152"/>
      <c r="AF745" s="152"/>
      <c r="AG745" s="152"/>
      <c r="AH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c r="AB746" s="152"/>
      <c r="AC746" s="152"/>
      <c r="AD746" s="152"/>
      <c r="AE746" s="152"/>
      <c r="AF746" s="152"/>
      <c r="AG746" s="152"/>
      <c r="AH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c r="AB747" s="152"/>
      <c r="AC747" s="152"/>
      <c r="AD747" s="152"/>
      <c r="AE747" s="152"/>
      <c r="AF747" s="152"/>
      <c r="AG747" s="152"/>
      <c r="AH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c r="AB748" s="152"/>
      <c r="AC748" s="152"/>
      <c r="AD748" s="152"/>
      <c r="AE748" s="152"/>
      <c r="AF748" s="152"/>
      <c r="AG748" s="152"/>
      <c r="AH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c r="AB749" s="152"/>
      <c r="AC749" s="152"/>
      <c r="AD749" s="152"/>
      <c r="AE749" s="152"/>
      <c r="AF749" s="152"/>
      <c r="AG749" s="152"/>
      <c r="AH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c r="AB750" s="152"/>
      <c r="AC750" s="152"/>
      <c r="AD750" s="152"/>
      <c r="AE750" s="152"/>
      <c r="AF750" s="152"/>
      <c r="AG750" s="152"/>
      <c r="AH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c r="AC751" s="152"/>
      <c r="AD751" s="152"/>
      <c r="AE751" s="152"/>
      <c r="AF751" s="152"/>
      <c r="AG751" s="152"/>
      <c r="AH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c r="AC752" s="152"/>
      <c r="AD752" s="152"/>
      <c r="AE752" s="152"/>
      <c r="AF752" s="152"/>
      <c r="AG752" s="152"/>
      <c r="AH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c r="AC753" s="152"/>
      <c r="AD753" s="152"/>
      <c r="AE753" s="152"/>
      <c r="AF753" s="152"/>
      <c r="AG753" s="152"/>
      <c r="AH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c r="AC754" s="152"/>
      <c r="AD754" s="152"/>
      <c r="AE754" s="152"/>
      <c r="AF754" s="152"/>
      <c r="AG754" s="152"/>
      <c r="AH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c r="AC755" s="152"/>
      <c r="AD755" s="152"/>
      <c r="AE755" s="152"/>
      <c r="AF755" s="152"/>
      <c r="AG755" s="152"/>
      <c r="AH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c r="AB756" s="152"/>
      <c r="AC756" s="152"/>
      <c r="AD756" s="152"/>
      <c r="AE756" s="152"/>
      <c r="AF756" s="152"/>
      <c r="AG756" s="152"/>
      <c r="AH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c r="AB757" s="152"/>
      <c r="AC757" s="152"/>
      <c r="AD757" s="152"/>
      <c r="AE757" s="152"/>
      <c r="AF757" s="152"/>
      <c r="AG757" s="152"/>
      <c r="AH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c r="AB758" s="152"/>
      <c r="AC758" s="152"/>
      <c r="AD758" s="152"/>
      <c r="AE758" s="152"/>
      <c r="AF758" s="152"/>
      <c r="AG758" s="152"/>
      <c r="AH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c r="AB759" s="152"/>
      <c r="AC759" s="152"/>
      <c r="AD759" s="152"/>
      <c r="AE759" s="152"/>
      <c r="AF759" s="152"/>
      <c r="AG759" s="152"/>
      <c r="AH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c r="AB760" s="152"/>
      <c r="AC760" s="152"/>
      <c r="AD760" s="152"/>
      <c r="AE760" s="152"/>
      <c r="AF760" s="152"/>
      <c r="AG760" s="152"/>
      <c r="AH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c r="AB761" s="152"/>
      <c r="AC761" s="152"/>
      <c r="AD761" s="152"/>
      <c r="AE761" s="152"/>
      <c r="AF761" s="152"/>
      <c r="AG761" s="152"/>
      <c r="AH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c r="AB762" s="152"/>
      <c r="AC762" s="152"/>
      <c r="AD762" s="152"/>
      <c r="AE762" s="152"/>
      <c r="AF762" s="152"/>
      <c r="AG762" s="152"/>
      <c r="AH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c r="AB763" s="152"/>
      <c r="AC763" s="152"/>
      <c r="AD763" s="152"/>
      <c r="AE763" s="152"/>
      <c r="AF763" s="152"/>
      <c r="AG763" s="152"/>
      <c r="AH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c r="AB764" s="152"/>
      <c r="AC764" s="152"/>
      <c r="AD764" s="152"/>
      <c r="AE764" s="152"/>
      <c r="AF764" s="152"/>
      <c r="AG764" s="152"/>
      <c r="AH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c r="AB765" s="152"/>
      <c r="AC765" s="152"/>
      <c r="AD765" s="152"/>
      <c r="AE765" s="152"/>
      <c r="AF765" s="152"/>
      <c r="AG765" s="152"/>
      <c r="AH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c r="AB766" s="152"/>
      <c r="AC766" s="152"/>
      <c r="AD766" s="152"/>
      <c r="AE766" s="152"/>
      <c r="AF766" s="152"/>
      <c r="AG766" s="152"/>
      <c r="AH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c r="AB767" s="152"/>
      <c r="AC767" s="152"/>
      <c r="AD767" s="152"/>
      <c r="AE767" s="152"/>
      <c r="AF767" s="152"/>
      <c r="AG767" s="152"/>
      <c r="AH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c r="AB768" s="152"/>
      <c r="AC768" s="152"/>
      <c r="AD768" s="152"/>
      <c r="AE768" s="152"/>
      <c r="AF768" s="152"/>
      <c r="AG768" s="152"/>
      <c r="AH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c r="AB769" s="152"/>
      <c r="AC769" s="152"/>
      <c r="AD769" s="152"/>
      <c r="AE769" s="152"/>
      <c r="AF769" s="152"/>
      <c r="AG769" s="152"/>
      <c r="AH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c r="AB770" s="152"/>
      <c r="AC770" s="152"/>
      <c r="AD770" s="152"/>
      <c r="AE770" s="152"/>
      <c r="AF770" s="152"/>
      <c r="AG770" s="152"/>
      <c r="AH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c r="AB771" s="152"/>
      <c r="AC771" s="152"/>
      <c r="AD771" s="152"/>
      <c r="AE771" s="152"/>
      <c r="AF771" s="152"/>
      <c r="AG771" s="152"/>
      <c r="AH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c r="AB772" s="152"/>
      <c r="AC772" s="152"/>
      <c r="AD772" s="152"/>
      <c r="AE772" s="152"/>
      <c r="AF772" s="152"/>
      <c r="AG772" s="152"/>
      <c r="AH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c r="AB773" s="152"/>
      <c r="AC773" s="152"/>
      <c r="AD773" s="152"/>
      <c r="AE773" s="152"/>
      <c r="AF773" s="152"/>
      <c r="AG773" s="152"/>
      <c r="AH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c r="AB774" s="152"/>
      <c r="AC774" s="152"/>
      <c r="AD774" s="152"/>
      <c r="AE774" s="152"/>
      <c r="AF774" s="152"/>
      <c r="AG774" s="152"/>
      <c r="AH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c r="AB775" s="152"/>
      <c r="AC775" s="152"/>
      <c r="AD775" s="152"/>
      <c r="AE775" s="152"/>
      <c r="AF775" s="152"/>
      <c r="AG775" s="152"/>
      <c r="AH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c r="AB776" s="152"/>
      <c r="AC776" s="152"/>
      <c r="AD776" s="152"/>
      <c r="AE776" s="152"/>
      <c r="AF776" s="152"/>
      <c r="AG776" s="152"/>
      <c r="AH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c r="AB777" s="152"/>
      <c r="AC777" s="152"/>
      <c r="AD777" s="152"/>
      <c r="AE777" s="152"/>
      <c r="AF777" s="152"/>
      <c r="AG777" s="152"/>
      <c r="AH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c r="AB778" s="152"/>
      <c r="AC778" s="152"/>
      <c r="AD778" s="152"/>
      <c r="AE778" s="152"/>
      <c r="AF778" s="152"/>
      <c r="AG778" s="152"/>
      <c r="AH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c r="AB779" s="152"/>
      <c r="AC779" s="152"/>
      <c r="AD779" s="152"/>
      <c r="AE779" s="152"/>
      <c r="AF779" s="152"/>
      <c r="AG779" s="152"/>
      <c r="AH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c r="AB780" s="152"/>
      <c r="AC780" s="152"/>
      <c r="AD780" s="152"/>
      <c r="AE780" s="152"/>
      <c r="AF780" s="152"/>
      <c r="AG780" s="152"/>
      <c r="AH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c r="AC781" s="152"/>
      <c r="AD781" s="152"/>
      <c r="AE781" s="152"/>
      <c r="AF781" s="152"/>
      <c r="AG781" s="152"/>
      <c r="AH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c r="AB782" s="152"/>
      <c r="AC782" s="152"/>
      <c r="AD782" s="152"/>
      <c r="AE782" s="152"/>
      <c r="AF782" s="152"/>
      <c r="AG782" s="152"/>
      <c r="AH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c r="AC783" s="152"/>
      <c r="AD783" s="152"/>
      <c r="AE783" s="152"/>
      <c r="AF783" s="152"/>
      <c r="AG783" s="152"/>
      <c r="AH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c r="AC784" s="152"/>
      <c r="AD784" s="152"/>
      <c r="AE784" s="152"/>
      <c r="AF784" s="152"/>
      <c r="AG784" s="152"/>
      <c r="AH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c r="AC785" s="152"/>
      <c r="AD785" s="152"/>
      <c r="AE785" s="152"/>
      <c r="AF785" s="152"/>
      <c r="AG785" s="152"/>
      <c r="AH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c r="AC786" s="152"/>
      <c r="AD786" s="152"/>
      <c r="AE786" s="152"/>
      <c r="AF786" s="152"/>
      <c r="AG786" s="152"/>
      <c r="AH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c r="AB787" s="152"/>
      <c r="AC787" s="152"/>
      <c r="AD787" s="152"/>
      <c r="AE787" s="152"/>
      <c r="AF787" s="152"/>
      <c r="AG787" s="152"/>
      <c r="AH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c r="AB788" s="152"/>
      <c r="AC788" s="152"/>
      <c r="AD788" s="152"/>
      <c r="AE788" s="152"/>
      <c r="AF788" s="152"/>
      <c r="AG788" s="152"/>
      <c r="AH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c r="AB789" s="152"/>
      <c r="AC789" s="152"/>
      <c r="AD789" s="152"/>
      <c r="AE789" s="152"/>
      <c r="AF789" s="152"/>
      <c r="AG789" s="152"/>
      <c r="AH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c r="AB790" s="152"/>
      <c r="AC790" s="152"/>
      <c r="AD790" s="152"/>
      <c r="AE790" s="152"/>
      <c r="AF790" s="152"/>
      <c r="AG790" s="152"/>
      <c r="AH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c r="AB791" s="152"/>
      <c r="AC791" s="152"/>
      <c r="AD791" s="152"/>
      <c r="AE791" s="152"/>
      <c r="AF791" s="152"/>
      <c r="AG791" s="152"/>
      <c r="AH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c r="AC792" s="152"/>
      <c r="AD792" s="152"/>
      <c r="AE792" s="152"/>
      <c r="AF792" s="152"/>
      <c r="AG792" s="152"/>
      <c r="AH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c r="AB793" s="152"/>
      <c r="AC793" s="152"/>
      <c r="AD793" s="152"/>
      <c r="AE793" s="152"/>
      <c r="AF793" s="152"/>
      <c r="AG793" s="152"/>
      <c r="AH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c r="AC794" s="152"/>
      <c r="AD794" s="152"/>
      <c r="AE794" s="152"/>
      <c r="AF794" s="152"/>
      <c r="AG794" s="152"/>
      <c r="AH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c r="AB795" s="152"/>
      <c r="AC795" s="152"/>
      <c r="AD795" s="152"/>
      <c r="AE795" s="152"/>
      <c r="AF795" s="152"/>
      <c r="AG795" s="152"/>
      <c r="AH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c r="AB796" s="152"/>
      <c r="AC796" s="152"/>
      <c r="AD796" s="152"/>
      <c r="AE796" s="152"/>
      <c r="AF796" s="152"/>
      <c r="AG796" s="152"/>
      <c r="AH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c r="AB797" s="152"/>
      <c r="AC797" s="152"/>
      <c r="AD797" s="152"/>
      <c r="AE797" s="152"/>
      <c r="AF797" s="152"/>
      <c r="AG797" s="152"/>
      <c r="AH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c r="AB798" s="152"/>
      <c r="AC798" s="152"/>
      <c r="AD798" s="152"/>
      <c r="AE798" s="152"/>
      <c r="AF798" s="152"/>
      <c r="AG798" s="152"/>
      <c r="AH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c r="AB799" s="152"/>
      <c r="AC799" s="152"/>
      <c r="AD799" s="152"/>
      <c r="AE799" s="152"/>
      <c r="AF799" s="152"/>
      <c r="AG799" s="152"/>
      <c r="AH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c r="AB800" s="152"/>
      <c r="AC800" s="152"/>
      <c r="AD800" s="152"/>
      <c r="AE800" s="152"/>
      <c r="AF800" s="152"/>
      <c r="AG800" s="152"/>
      <c r="AH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c r="AB801" s="152"/>
      <c r="AC801" s="152"/>
      <c r="AD801" s="152"/>
      <c r="AE801" s="152"/>
      <c r="AF801" s="152"/>
      <c r="AG801" s="152"/>
      <c r="AH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c r="AB802" s="152"/>
      <c r="AC802" s="152"/>
      <c r="AD802" s="152"/>
      <c r="AE802" s="152"/>
      <c r="AF802" s="152"/>
      <c r="AG802" s="152"/>
      <c r="AH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c r="AB803" s="152"/>
      <c r="AC803" s="152"/>
      <c r="AD803" s="152"/>
      <c r="AE803" s="152"/>
      <c r="AF803" s="152"/>
      <c r="AG803" s="152"/>
      <c r="AH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c r="AB804" s="152"/>
      <c r="AC804" s="152"/>
      <c r="AD804" s="152"/>
      <c r="AE804" s="152"/>
      <c r="AF804" s="152"/>
      <c r="AG804" s="152"/>
      <c r="AH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c r="AB805" s="152"/>
      <c r="AC805" s="152"/>
      <c r="AD805" s="152"/>
      <c r="AE805" s="152"/>
      <c r="AF805" s="152"/>
      <c r="AG805" s="152"/>
      <c r="AH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c r="AB806" s="152"/>
      <c r="AC806" s="152"/>
      <c r="AD806" s="152"/>
      <c r="AE806" s="152"/>
      <c r="AF806" s="152"/>
      <c r="AG806" s="152"/>
      <c r="AH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c r="AB807" s="152"/>
      <c r="AC807" s="152"/>
      <c r="AD807" s="152"/>
      <c r="AE807" s="152"/>
      <c r="AF807" s="152"/>
      <c r="AG807" s="152"/>
      <c r="AH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c r="AB808" s="152"/>
      <c r="AC808" s="152"/>
      <c r="AD808" s="152"/>
      <c r="AE808" s="152"/>
      <c r="AF808" s="152"/>
      <c r="AG808" s="152"/>
      <c r="AH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c r="AB809" s="152"/>
      <c r="AC809" s="152"/>
      <c r="AD809" s="152"/>
      <c r="AE809" s="152"/>
      <c r="AF809" s="152"/>
      <c r="AG809" s="152"/>
      <c r="AH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c r="AB810" s="152"/>
      <c r="AC810" s="152"/>
      <c r="AD810" s="152"/>
      <c r="AE810" s="152"/>
      <c r="AF810" s="152"/>
      <c r="AG810" s="152"/>
      <c r="AH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c r="AB811" s="152"/>
      <c r="AC811" s="152"/>
      <c r="AD811" s="152"/>
      <c r="AE811" s="152"/>
      <c r="AF811" s="152"/>
      <c r="AG811" s="152"/>
      <c r="AH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c r="AC812" s="152"/>
      <c r="AD812" s="152"/>
      <c r="AE812" s="152"/>
      <c r="AF812" s="152"/>
      <c r="AG812" s="152"/>
      <c r="AH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c r="AC813" s="152"/>
      <c r="AD813" s="152"/>
      <c r="AE813" s="152"/>
      <c r="AF813" s="152"/>
      <c r="AG813" s="152"/>
      <c r="AH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c r="AC814" s="152"/>
      <c r="AD814" s="152"/>
      <c r="AE814" s="152"/>
      <c r="AF814" s="152"/>
      <c r="AG814" s="152"/>
      <c r="AH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c r="AC815" s="152"/>
      <c r="AD815" s="152"/>
      <c r="AE815" s="152"/>
      <c r="AF815" s="152"/>
      <c r="AG815" s="152"/>
      <c r="AH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c r="AC816" s="152"/>
      <c r="AD816" s="152"/>
      <c r="AE816" s="152"/>
      <c r="AF816" s="152"/>
      <c r="AG816" s="152"/>
      <c r="AH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c r="AB817" s="152"/>
      <c r="AC817" s="152"/>
      <c r="AD817" s="152"/>
      <c r="AE817" s="152"/>
      <c r="AF817" s="152"/>
      <c r="AG817" s="152"/>
      <c r="AH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c r="AC818" s="152"/>
      <c r="AD818" s="152"/>
      <c r="AE818" s="152"/>
      <c r="AF818" s="152"/>
      <c r="AG818" s="152"/>
      <c r="AH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c r="AB819" s="152"/>
      <c r="AC819" s="152"/>
      <c r="AD819" s="152"/>
      <c r="AE819" s="152"/>
      <c r="AF819" s="152"/>
      <c r="AG819" s="152"/>
      <c r="AH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c r="AC820" s="152"/>
      <c r="AD820" s="152"/>
      <c r="AE820" s="152"/>
      <c r="AF820" s="152"/>
      <c r="AG820" s="152"/>
      <c r="AH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c r="AC821" s="152"/>
      <c r="AD821" s="152"/>
      <c r="AE821" s="152"/>
      <c r="AF821" s="152"/>
      <c r="AG821" s="152"/>
      <c r="AH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c r="AB822" s="152"/>
      <c r="AC822" s="152"/>
      <c r="AD822" s="152"/>
      <c r="AE822" s="152"/>
      <c r="AF822" s="152"/>
      <c r="AG822" s="152"/>
      <c r="AH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c r="AC823" s="152"/>
      <c r="AD823" s="152"/>
      <c r="AE823" s="152"/>
      <c r="AF823" s="152"/>
      <c r="AG823" s="152"/>
      <c r="AH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c r="AB824" s="152"/>
      <c r="AC824" s="152"/>
      <c r="AD824" s="152"/>
      <c r="AE824" s="152"/>
      <c r="AF824" s="152"/>
      <c r="AG824" s="152"/>
      <c r="AH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c r="AB825" s="152"/>
      <c r="AC825" s="152"/>
      <c r="AD825" s="152"/>
      <c r="AE825" s="152"/>
      <c r="AF825" s="152"/>
      <c r="AG825" s="152"/>
      <c r="AH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c r="AB826" s="152"/>
      <c r="AC826" s="152"/>
      <c r="AD826" s="152"/>
      <c r="AE826" s="152"/>
      <c r="AF826" s="152"/>
      <c r="AG826" s="152"/>
      <c r="AH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c r="AB827" s="152"/>
      <c r="AC827" s="152"/>
      <c r="AD827" s="152"/>
      <c r="AE827" s="152"/>
      <c r="AF827" s="152"/>
      <c r="AG827" s="152"/>
      <c r="AH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c r="AB828" s="152"/>
      <c r="AC828" s="152"/>
      <c r="AD828" s="152"/>
      <c r="AE828" s="152"/>
      <c r="AF828" s="152"/>
      <c r="AG828" s="152"/>
      <c r="AH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c r="AB829" s="152"/>
      <c r="AC829" s="152"/>
      <c r="AD829" s="152"/>
      <c r="AE829" s="152"/>
      <c r="AF829" s="152"/>
      <c r="AG829" s="152"/>
      <c r="AH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c r="AB830" s="152"/>
      <c r="AC830" s="152"/>
      <c r="AD830" s="152"/>
      <c r="AE830" s="152"/>
      <c r="AF830" s="152"/>
      <c r="AG830" s="152"/>
      <c r="AH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c r="AB831" s="152"/>
      <c r="AC831" s="152"/>
      <c r="AD831" s="152"/>
      <c r="AE831" s="152"/>
      <c r="AF831" s="152"/>
      <c r="AG831" s="152"/>
      <c r="AH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c r="AB832" s="152"/>
      <c r="AC832" s="152"/>
      <c r="AD832" s="152"/>
      <c r="AE832" s="152"/>
      <c r="AF832" s="152"/>
      <c r="AG832" s="152"/>
      <c r="AH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c r="AB833" s="152"/>
      <c r="AC833" s="152"/>
      <c r="AD833" s="152"/>
      <c r="AE833" s="152"/>
      <c r="AF833" s="152"/>
      <c r="AG833" s="152"/>
      <c r="AH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c r="AB834" s="152"/>
      <c r="AC834" s="152"/>
      <c r="AD834" s="152"/>
      <c r="AE834" s="152"/>
      <c r="AF834" s="152"/>
      <c r="AG834" s="152"/>
      <c r="AH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c r="AB835" s="152"/>
      <c r="AC835" s="152"/>
      <c r="AD835" s="152"/>
      <c r="AE835" s="152"/>
      <c r="AF835" s="152"/>
      <c r="AG835" s="152"/>
      <c r="AH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c r="AB836" s="152"/>
      <c r="AC836" s="152"/>
      <c r="AD836" s="152"/>
      <c r="AE836" s="152"/>
      <c r="AF836" s="152"/>
      <c r="AG836" s="152"/>
      <c r="AH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c r="AB837" s="152"/>
      <c r="AC837" s="152"/>
      <c r="AD837" s="152"/>
      <c r="AE837" s="152"/>
      <c r="AF837" s="152"/>
      <c r="AG837" s="152"/>
      <c r="AH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c r="AB838" s="152"/>
      <c r="AC838" s="152"/>
      <c r="AD838" s="152"/>
      <c r="AE838" s="152"/>
      <c r="AF838" s="152"/>
      <c r="AG838" s="152"/>
      <c r="AH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c r="AB839" s="152"/>
      <c r="AC839" s="152"/>
      <c r="AD839" s="152"/>
      <c r="AE839" s="152"/>
      <c r="AF839" s="152"/>
      <c r="AG839" s="152"/>
      <c r="AH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c r="AB840" s="152"/>
      <c r="AC840" s="152"/>
      <c r="AD840" s="152"/>
      <c r="AE840" s="152"/>
      <c r="AF840" s="152"/>
      <c r="AG840" s="152"/>
      <c r="AH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c r="AB841" s="152"/>
      <c r="AC841" s="152"/>
      <c r="AD841" s="152"/>
      <c r="AE841" s="152"/>
      <c r="AF841" s="152"/>
      <c r="AG841" s="152"/>
      <c r="AH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c r="AB842" s="152"/>
      <c r="AC842" s="152"/>
      <c r="AD842" s="152"/>
      <c r="AE842" s="152"/>
      <c r="AF842" s="152"/>
      <c r="AG842" s="152"/>
      <c r="AH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c r="AB843" s="152"/>
      <c r="AC843" s="152"/>
      <c r="AD843" s="152"/>
      <c r="AE843" s="152"/>
      <c r="AF843" s="152"/>
      <c r="AG843" s="152"/>
      <c r="AH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c r="AB844" s="152"/>
      <c r="AC844" s="152"/>
      <c r="AD844" s="152"/>
      <c r="AE844" s="152"/>
      <c r="AF844" s="152"/>
      <c r="AG844" s="152"/>
      <c r="AH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c r="AB845" s="152"/>
      <c r="AC845" s="152"/>
      <c r="AD845" s="152"/>
      <c r="AE845" s="152"/>
      <c r="AF845" s="152"/>
      <c r="AG845" s="152"/>
      <c r="AH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c r="AB846" s="152"/>
      <c r="AC846" s="152"/>
      <c r="AD846" s="152"/>
      <c r="AE846" s="152"/>
      <c r="AF846" s="152"/>
      <c r="AG846" s="152"/>
      <c r="AH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c r="AB847" s="152"/>
      <c r="AC847" s="152"/>
      <c r="AD847" s="152"/>
      <c r="AE847" s="152"/>
      <c r="AF847" s="152"/>
      <c r="AG847" s="152"/>
      <c r="AH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c r="AB848" s="152"/>
      <c r="AC848" s="152"/>
      <c r="AD848" s="152"/>
      <c r="AE848" s="152"/>
      <c r="AF848" s="152"/>
      <c r="AG848" s="152"/>
      <c r="AH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c r="AB849" s="152"/>
      <c r="AC849" s="152"/>
      <c r="AD849" s="152"/>
      <c r="AE849" s="152"/>
      <c r="AF849" s="152"/>
      <c r="AG849" s="152"/>
      <c r="AH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c r="AB850" s="152"/>
      <c r="AC850" s="152"/>
      <c r="AD850" s="152"/>
      <c r="AE850" s="152"/>
      <c r="AF850" s="152"/>
      <c r="AG850" s="152"/>
      <c r="AH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c r="AB851" s="152"/>
      <c r="AC851" s="152"/>
      <c r="AD851" s="152"/>
      <c r="AE851" s="152"/>
      <c r="AF851" s="152"/>
      <c r="AG851" s="152"/>
      <c r="AH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c r="AB852" s="152"/>
      <c r="AC852" s="152"/>
      <c r="AD852" s="152"/>
      <c r="AE852" s="152"/>
      <c r="AF852" s="152"/>
      <c r="AG852" s="152"/>
      <c r="AH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c r="AB853" s="152"/>
      <c r="AC853" s="152"/>
      <c r="AD853" s="152"/>
      <c r="AE853" s="152"/>
      <c r="AF853" s="152"/>
      <c r="AG853" s="152"/>
      <c r="AH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c r="AB854" s="152"/>
      <c r="AC854" s="152"/>
      <c r="AD854" s="152"/>
      <c r="AE854" s="152"/>
      <c r="AF854" s="152"/>
      <c r="AG854" s="152"/>
      <c r="AH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c r="AB855" s="152"/>
      <c r="AC855" s="152"/>
      <c r="AD855" s="152"/>
      <c r="AE855" s="152"/>
      <c r="AF855" s="152"/>
      <c r="AG855" s="152"/>
      <c r="AH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c r="AB856" s="152"/>
      <c r="AC856" s="152"/>
      <c r="AD856" s="152"/>
      <c r="AE856" s="152"/>
      <c r="AF856" s="152"/>
      <c r="AG856" s="152"/>
      <c r="AH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c r="AB857" s="152"/>
      <c r="AC857" s="152"/>
      <c r="AD857" s="152"/>
      <c r="AE857" s="152"/>
      <c r="AF857" s="152"/>
      <c r="AG857" s="152"/>
      <c r="AH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c r="AB858" s="152"/>
      <c r="AC858" s="152"/>
      <c r="AD858" s="152"/>
      <c r="AE858" s="152"/>
      <c r="AF858" s="152"/>
      <c r="AG858" s="152"/>
      <c r="AH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c r="AB859" s="152"/>
      <c r="AC859" s="152"/>
      <c r="AD859" s="152"/>
      <c r="AE859" s="152"/>
      <c r="AF859" s="152"/>
      <c r="AG859" s="152"/>
      <c r="AH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c r="AB860" s="152"/>
      <c r="AC860" s="152"/>
      <c r="AD860" s="152"/>
      <c r="AE860" s="152"/>
      <c r="AF860" s="152"/>
      <c r="AG860" s="152"/>
      <c r="AH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c r="AB861" s="152"/>
      <c r="AC861" s="152"/>
      <c r="AD861" s="152"/>
      <c r="AE861" s="152"/>
      <c r="AF861" s="152"/>
      <c r="AG861" s="152"/>
      <c r="AH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c r="AB862" s="152"/>
      <c r="AC862" s="152"/>
      <c r="AD862" s="152"/>
      <c r="AE862" s="152"/>
      <c r="AF862" s="152"/>
      <c r="AG862" s="152"/>
      <c r="AH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c r="AB863" s="152"/>
      <c r="AC863" s="152"/>
      <c r="AD863" s="152"/>
      <c r="AE863" s="152"/>
      <c r="AF863" s="152"/>
      <c r="AG863" s="152"/>
      <c r="AH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c r="AB864" s="152"/>
      <c r="AC864" s="152"/>
      <c r="AD864" s="152"/>
      <c r="AE864" s="152"/>
      <c r="AF864" s="152"/>
      <c r="AG864" s="152"/>
      <c r="AH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c r="AB865" s="152"/>
      <c r="AC865" s="152"/>
      <c r="AD865" s="152"/>
      <c r="AE865" s="152"/>
      <c r="AF865" s="152"/>
      <c r="AG865" s="152"/>
      <c r="AH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c r="AB866" s="152"/>
      <c r="AC866" s="152"/>
      <c r="AD866" s="152"/>
      <c r="AE866" s="152"/>
      <c r="AF866" s="152"/>
      <c r="AG866" s="152"/>
      <c r="AH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c r="AB867" s="152"/>
      <c r="AC867" s="152"/>
      <c r="AD867" s="152"/>
      <c r="AE867" s="152"/>
      <c r="AF867" s="152"/>
      <c r="AG867" s="152"/>
      <c r="AH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c r="AB868" s="152"/>
      <c r="AC868" s="152"/>
      <c r="AD868" s="152"/>
      <c r="AE868" s="152"/>
      <c r="AF868" s="152"/>
      <c r="AG868" s="152"/>
      <c r="AH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c r="AB869" s="152"/>
      <c r="AC869" s="152"/>
      <c r="AD869" s="152"/>
      <c r="AE869" s="152"/>
      <c r="AF869" s="152"/>
      <c r="AG869" s="152"/>
      <c r="AH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c r="AB870" s="152"/>
      <c r="AC870" s="152"/>
      <c r="AD870" s="152"/>
      <c r="AE870" s="152"/>
      <c r="AF870" s="152"/>
      <c r="AG870" s="152"/>
      <c r="AH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c r="AB871" s="152"/>
      <c r="AC871" s="152"/>
      <c r="AD871" s="152"/>
      <c r="AE871" s="152"/>
      <c r="AF871" s="152"/>
      <c r="AG871" s="152"/>
      <c r="AH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c r="AB872" s="152"/>
      <c r="AC872" s="152"/>
      <c r="AD872" s="152"/>
      <c r="AE872" s="152"/>
      <c r="AF872" s="152"/>
      <c r="AG872" s="152"/>
      <c r="AH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c r="AB873" s="152"/>
      <c r="AC873" s="152"/>
      <c r="AD873" s="152"/>
      <c r="AE873" s="152"/>
      <c r="AF873" s="152"/>
      <c r="AG873" s="152"/>
      <c r="AH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c r="AB874" s="152"/>
      <c r="AC874" s="152"/>
      <c r="AD874" s="152"/>
      <c r="AE874" s="152"/>
      <c r="AF874" s="152"/>
      <c r="AG874" s="152"/>
      <c r="AH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c r="AB875" s="152"/>
      <c r="AC875" s="152"/>
      <c r="AD875" s="152"/>
      <c r="AE875" s="152"/>
      <c r="AF875" s="152"/>
      <c r="AG875" s="152"/>
      <c r="AH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c r="AB876" s="152"/>
      <c r="AC876" s="152"/>
      <c r="AD876" s="152"/>
      <c r="AE876" s="152"/>
      <c r="AF876" s="152"/>
      <c r="AG876" s="152"/>
      <c r="AH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c r="AB877" s="152"/>
      <c r="AC877" s="152"/>
      <c r="AD877" s="152"/>
      <c r="AE877" s="152"/>
      <c r="AF877" s="152"/>
      <c r="AG877" s="152"/>
      <c r="AH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c r="AB878" s="152"/>
      <c r="AC878" s="152"/>
      <c r="AD878" s="152"/>
      <c r="AE878" s="152"/>
      <c r="AF878" s="152"/>
      <c r="AG878" s="152"/>
      <c r="AH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c r="AB879" s="152"/>
      <c r="AC879" s="152"/>
      <c r="AD879" s="152"/>
      <c r="AE879" s="152"/>
      <c r="AF879" s="152"/>
      <c r="AG879" s="152"/>
      <c r="AH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c r="AB880" s="152"/>
      <c r="AC880" s="152"/>
      <c r="AD880" s="152"/>
      <c r="AE880" s="152"/>
      <c r="AF880" s="152"/>
      <c r="AG880" s="152"/>
      <c r="AH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c r="AB881" s="152"/>
      <c r="AC881" s="152"/>
      <c r="AD881" s="152"/>
      <c r="AE881" s="152"/>
      <c r="AF881" s="152"/>
      <c r="AG881" s="152"/>
      <c r="AH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c r="AB882" s="152"/>
      <c r="AC882" s="152"/>
      <c r="AD882" s="152"/>
      <c r="AE882" s="152"/>
      <c r="AF882" s="152"/>
      <c r="AG882" s="152"/>
      <c r="AH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c r="AB883" s="152"/>
      <c r="AC883" s="152"/>
      <c r="AD883" s="152"/>
      <c r="AE883" s="152"/>
      <c r="AF883" s="152"/>
      <c r="AG883" s="152"/>
      <c r="AH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c r="AB884" s="152"/>
      <c r="AC884" s="152"/>
      <c r="AD884" s="152"/>
      <c r="AE884" s="152"/>
      <c r="AF884" s="152"/>
      <c r="AG884" s="152"/>
      <c r="AH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c r="AB885" s="152"/>
      <c r="AC885" s="152"/>
      <c r="AD885" s="152"/>
      <c r="AE885" s="152"/>
      <c r="AF885" s="152"/>
      <c r="AG885" s="152"/>
      <c r="AH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c r="AB886" s="152"/>
      <c r="AC886" s="152"/>
      <c r="AD886" s="152"/>
      <c r="AE886" s="152"/>
      <c r="AF886" s="152"/>
      <c r="AG886" s="152"/>
      <c r="AH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c r="AB887" s="152"/>
      <c r="AC887" s="152"/>
      <c r="AD887" s="152"/>
      <c r="AE887" s="152"/>
      <c r="AF887" s="152"/>
      <c r="AG887" s="152"/>
      <c r="AH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c r="AB888" s="152"/>
      <c r="AC888" s="152"/>
      <c r="AD888" s="152"/>
      <c r="AE888" s="152"/>
      <c r="AF888" s="152"/>
      <c r="AG888" s="152"/>
      <c r="AH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c r="AB889" s="152"/>
      <c r="AC889" s="152"/>
      <c r="AD889" s="152"/>
      <c r="AE889" s="152"/>
      <c r="AF889" s="152"/>
      <c r="AG889" s="152"/>
      <c r="AH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c r="AB890" s="152"/>
      <c r="AC890" s="152"/>
      <c r="AD890" s="152"/>
      <c r="AE890" s="152"/>
      <c r="AF890" s="152"/>
      <c r="AG890" s="152"/>
      <c r="AH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c r="AB891" s="152"/>
      <c r="AC891" s="152"/>
      <c r="AD891" s="152"/>
      <c r="AE891" s="152"/>
      <c r="AF891" s="152"/>
      <c r="AG891" s="152"/>
      <c r="AH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c r="AB892" s="152"/>
      <c r="AC892" s="152"/>
      <c r="AD892" s="152"/>
      <c r="AE892" s="152"/>
      <c r="AF892" s="152"/>
      <c r="AG892" s="152"/>
      <c r="AH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c r="AB893" s="152"/>
      <c r="AC893" s="152"/>
      <c r="AD893" s="152"/>
      <c r="AE893" s="152"/>
      <c r="AF893" s="152"/>
      <c r="AG893" s="152"/>
      <c r="AH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c r="AB894" s="152"/>
      <c r="AC894" s="152"/>
      <c r="AD894" s="152"/>
      <c r="AE894" s="152"/>
      <c r="AF894" s="152"/>
      <c r="AG894" s="152"/>
      <c r="AH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c r="AB895" s="152"/>
      <c r="AC895" s="152"/>
      <c r="AD895" s="152"/>
      <c r="AE895" s="152"/>
      <c r="AF895" s="152"/>
      <c r="AG895" s="152"/>
      <c r="AH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c r="AB896" s="152"/>
      <c r="AC896" s="152"/>
      <c r="AD896" s="152"/>
      <c r="AE896" s="152"/>
      <c r="AF896" s="152"/>
      <c r="AG896" s="152"/>
      <c r="AH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c r="AB897" s="152"/>
      <c r="AC897" s="152"/>
      <c r="AD897" s="152"/>
      <c r="AE897" s="152"/>
      <c r="AF897" s="152"/>
      <c r="AG897" s="152"/>
      <c r="AH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c r="AB898" s="152"/>
      <c r="AC898" s="152"/>
      <c r="AD898" s="152"/>
      <c r="AE898" s="152"/>
      <c r="AF898" s="152"/>
      <c r="AG898" s="152"/>
      <c r="AH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c r="AB899" s="152"/>
      <c r="AC899" s="152"/>
      <c r="AD899" s="152"/>
      <c r="AE899" s="152"/>
      <c r="AF899" s="152"/>
      <c r="AG899" s="152"/>
      <c r="AH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c r="AB900" s="152"/>
      <c r="AC900" s="152"/>
      <c r="AD900" s="152"/>
      <c r="AE900" s="152"/>
      <c r="AF900" s="152"/>
      <c r="AG900" s="152"/>
      <c r="AH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c r="AB901" s="152"/>
      <c r="AC901" s="152"/>
      <c r="AD901" s="152"/>
      <c r="AE901" s="152"/>
      <c r="AF901" s="152"/>
      <c r="AG901" s="152"/>
      <c r="AH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c r="AB902" s="152"/>
      <c r="AC902" s="152"/>
      <c r="AD902" s="152"/>
      <c r="AE902" s="152"/>
      <c r="AF902" s="152"/>
      <c r="AG902" s="152"/>
      <c r="AH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c r="AB903" s="152"/>
      <c r="AC903" s="152"/>
      <c r="AD903" s="152"/>
      <c r="AE903" s="152"/>
      <c r="AF903" s="152"/>
      <c r="AG903" s="152"/>
      <c r="AH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c r="AB904" s="152"/>
      <c r="AC904" s="152"/>
      <c r="AD904" s="152"/>
      <c r="AE904" s="152"/>
      <c r="AF904" s="152"/>
      <c r="AG904" s="152"/>
      <c r="AH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c r="AB905" s="152"/>
      <c r="AC905" s="152"/>
      <c r="AD905" s="152"/>
      <c r="AE905" s="152"/>
      <c r="AF905" s="152"/>
      <c r="AG905" s="152"/>
      <c r="AH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c r="AB906" s="152"/>
      <c r="AC906" s="152"/>
      <c r="AD906" s="152"/>
      <c r="AE906" s="152"/>
      <c r="AF906" s="152"/>
      <c r="AG906" s="152"/>
      <c r="AH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c r="AB907" s="152"/>
      <c r="AC907" s="152"/>
      <c r="AD907" s="152"/>
      <c r="AE907" s="152"/>
      <c r="AF907" s="152"/>
      <c r="AG907" s="152"/>
      <c r="AH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c r="AB908" s="152"/>
      <c r="AC908" s="152"/>
      <c r="AD908" s="152"/>
      <c r="AE908" s="152"/>
      <c r="AF908" s="152"/>
      <c r="AG908" s="152"/>
      <c r="AH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c r="AB909" s="152"/>
      <c r="AC909" s="152"/>
      <c r="AD909" s="152"/>
      <c r="AE909" s="152"/>
      <c r="AF909" s="152"/>
      <c r="AG909" s="152"/>
      <c r="AH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c r="AB910" s="152"/>
      <c r="AC910" s="152"/>
      <c r="AD910" s="152"/>
      <c r="AE910" s="152"/>
      <c r="AF910" s="152"/>
      <c r="AG910" s="152"/>
      <c r="AH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c r="AB911" s="152"/>
      <c r="AC911" s="152"/>
      <c r="AD911" s="152"/>
      <c r="AE911" s="152"/>
      <c r="AF911" s="152"/>
      <c r="AG911" s="152"/>
      <c r="AH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c r="AB912" s="152"/>
      <c r="AC912" s="152"/>
      <c r="AD912" s="152"/>
      <c r="AE912" s="152"/>
      <c r="AF912" s="152"/>
      <c r="AG912" s="152"/>
      <c r="AH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c r="AB913" s="152"/>
      <c r="AC913" s="152"/>
      <c r="AD913" s="152"/>
      <c r="AE913" s="152"/>
      <c r="AF913" s="152"/>
      <c r="AG913" s="152"/>
      <c r="AH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c r="AB914" s="152"/>
      <c r="AC914" s="152"/>
      <c r="AD914" s="152"/>
      <c r="AE914" s="152"/>
      <c r="AF914" s="152"/>
      <c r="AG914" s="152"/>
      <c r="AH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c r="AB915" s="152"/>
      <c r="AC915" s="152"/>
      <c r="AD915" s="152"/>
      <c r="AE915" s="152"/>
      <c r="AF915" s="152"/>
      <c r="AG915" s="152"/>
      <c r="AH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c r="AB916" s="152"/>
      <c r="AC916" s="152"/>
      <c r="AD916" s="152"/>
      <c r="AE916" s="152"/>
      <c r="AF916" s="152"/>
      <c r="AG916" s="152"/>
      <c r="AH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c r="AB917" s="152"/>
      <c r="AC917" s="152"/>
      <c r="AD917" s="152"/>
      <c r="AE917" s="152"/>
      <c r="AF917" s="152"/>
      <c r="AG917" s="152"/>
      <c r="AH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c r="AB918" s="152"/>
      <c r="AC918" s="152"/>
      <c r="AD918" s="152"/>
      <c r="AE918" s="152"/>
      <c r="AF918" s="152"/>
      <c r="AG918" s="152"/>
      <c r="AH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c r="AB919" s="152"/>
      <c r="AC919" s="152"/>
      <c r="AD919" s="152"/>
      <c r="AE919" s="152"/>
      <c r="AF919" s="152"/>
      <c r="AG919" s="152"/>
      <c r="AH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c r="AB920" s="152"/>
      <c r="AC920" s="152"/>
      <c r="AD920" s="152"/>
      <c r="AE920" s="152"/>
      <c r="AF920" s="152"/>
      <c r="AG920" s="152"/>
      <c r="AH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c r="AB921" s="152"/>
      <c r="AC921" s="152"/>
      <c r="AD921" s="152"/>
      <c r="AE921" s="152"/>
      <c r="AF921" s="152"/>
      <c r="AG921" s="152"/>
      <c r="AH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c r="AB922" s="152"/>
      <c r="AC922" s="152"/>
      <c r="AD922" s="152"/>
      <c r="AE922" s="152"/>
      <c r="AF922" s="152"/>
      <c r="AG922" s="152"/>
      <c r="AH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c r="AB923" s="152"/>
      <c r="AC923" s="152"/>
      <c r="AD923" s="152"/>
      <c r="AE923" s="152"/>
      <c r="AF923" s="152"/>
      <c r="AG923" s="152"/>
      <c r="AH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c r="AB924" s="152"/>
      <c r="AC924" s="152"/>
      <c r="AD924" s="152"/>
      <c r="AE924" s="152"/>
      <c r="AF924" s="152"/>
      <c r="AG924" s="152"/>
      <c r="AH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c r="AB925" s="152"/>
      <c r="AC925" s="152"/>
      <c r="AD925" s="152"/>
      <c r="AE925" s="152"/>
      <c r="AF925" s="152"/>
      <c r="AG925" s="152"/>
      <c r="AH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c r="AB926" s="152"/>
      <c r="AC926" s="152"/>
      <c r="AD926" s="152"/>
      <c r="AE926" s="152"/>
      <c r="AF926" s="152"/>
      <c r="AG926" s="152"/>
      <c r="AH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c r="AB927" s="152"/>
      <c r="AC927" s="152"/>
      <c r="AD927" s="152"/>
      <c r="AE927" s="152"/>
      <c r="AF927" s="152"/>
      <c r="AG927" s="152"/>
      <c r="AH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c r="AB928" s="152"/>
      <c r="AC928" s="152"/>
      <c r="AD928" s="152"/>
      <c r="AE928" s="152"/>
      <c r="AF928" s="152"/>
      <c r="AG928" s="152"/>
      <c r="AH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c r="AB929" s="152"/>
      <c r="AC929" s="152"/>
      <c r="AD929" s="152"/>
      <c r="AE929" s="152"/>
      <c r="AF929" s="152"/>
      <c r="AG929" s="152"/>
      <c r="AH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c r="AB930" s="152"/>
      <c r="AC930" s="152"/>
      <c r="AD930" s="152"/>
      <c r="AE930" s="152"/>
      <c r="AF930" s="152"/>
      <c r="AG930" s="152"/>
      <c r="AH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c r="AB931" s="152"/>
      <c r="AC931" s="152"/>
      <c r="AD931" s="152"/>
      <c r="AE931" s="152"/>
      <c r="AF931" s="152"/>
      <c r="AG931" s="152"/>
      <c r="AH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c r="AB932" s="152"/>
      <c r="AC932" s="152"/>
      <c r="AD932" s="152"/>
      <c r="AE932" s="152"/>
      <c r="AF932" s="152"/>
      <c r="AG932" s="152"/>
      <c r="AH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c r="AB933" s="152"/>
      <c r="AC933" s="152"/>
      <c r="AD933" s="152"/>
      <c r="AE933" s="152"/>
      <c r="AF933" s="152"/>
      <c r="AG933" s="152"/>
      <c r="AH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c r="AB934" s="152"/>
      <c r="AC934" s="152"/>
      <c r="AD934" s="152"/>
      <c r="AE934" s="152"/>
      <c r="AF934" s="152"/>
      <c r="AG934" s="152"/>
      <c r="AH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c r="AB935" s="152"/>
      <c r="AC935" s="152"/>
      <c r="AD935" s="152"/>
      <c r="AE935" s="152"/>
      <c r="AF935" s="152"/>
      <c r="AG935" s="152"/>
      <c r="AH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c r="AB936" s="152"/>
      <c r="AC936" s="152"/>
      <c r="AD936" s="152"/>
      <c r="AE936" s="152"/>
      <c r="AF936" s="152"/>
      <c r="AG936" s="152"/>
      <c r="AH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c r="AB937" s="152"/>
      <c r="AC937" s="152"/>
      <c r="AD937" s="152"/>
      <c r="AE937" s="152"/>
      <c r="AF937" s="152"/>
      <c r="AG937" s="152"/>
      <c r="AH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c r="AB938" s="152"/>
      <c r="AC938" s="152"/>
      <c r="AD938" s="152"/>
      <c r="AE938" s="152"/>
      <c r="AF938" s="152"/>
      <c r="AG938" s="152"/>
      <c r="AH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c r="AB939" s="152"/>
      <c r="AC939" s="152"/>
      <c r="AD939" s="152"/>
      <c r="AE939" s="152"/>
      <c r="AF939" s="152"/>
      <c r="AG939" s="152"/>
      <c r="AH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c r="AB940" s="152"/>
      <c r="AC940" s="152"/>
      <c r="AD940" s="152"/>
      <c r="AE940" s="152"/>
      <c r="AF940" s="152"/>
      <c r="AG940" s="152"/>
      <c r="AH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c r="AB941" s="152"/>
      <c r="AC941" s="152"/>
      <c r="AD941" s="152"/>
      <c r="AE941" s="152"/>
      <c r="AF941" s="152"/>
      <c r="AG941" s="152"/>
      <c r="AH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c r="AB942" s="152"/>
      <c r="AC942" s="152"/>
      <c r="AD942" s="152"/>
      <c r="AE942" s="152"/>
      <c r="AF942" s="152"/>
      <c r="AG942" s="152"/>
      <c r="AH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c r="AB943" s="152"/>
      <c r="AC943" s="152"/>
      <c r="AD943" s="152"/>
      <c r="AE943" s="152"/>
      <c r="AF943" s="152"/>
      <c r="AG943" s="152"/>
      <c r="AH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c r="AB944" s="152"/>
      <c r="AC944" s="152"/>
      <c r="AD944" s="152"/>
      <c r="AE944" s="152"/>
      <c r="AF944" s="152"/>
      <c r="AG944" s="152"/>
      <c r="AH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c r="AB945" s="152"/>
      <c r="AC945" s="152"/>
      <c r="AD945" s="152"/>
      <c r="AE945" s="152"/>
      <c r="AF945" s="152"/>
      <c r="AG945" s="152"/>
      <c r="AH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c r="AB946" s="152"/>
      <c r="AC946" s="152"/>
      <c r="AD946" s="152"/>
      <c r="AE946" s="152"/>
      <c r="AF946" s="152"/>
      <c r="AG946" s="152"/>
      <c r="AH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c r="AB947" s="152"/>
      <c r="AC947" s="152"/>
      <c r="AD947" s="152"/>
      <c r="AE947" s="152"/>
      <c r="AF947" s="152"/>
      <c r="AG947" s="152"/>
      <c r="AH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c r="AB948" s="152"/>
      <c r="AC948" s="152"/>
      <c r="AD948" s="152"/>
      <c r="AE948" s="152"/>
      <c r="AF948" s="152"/>
      <c r="AG948" s="152"/>
      <c r="AH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c r="AB949" s="152"/>
      <c r="AC949" s="152"/>
      <c r="AD949" s="152"/>
      <c r="AE949" s="152"/>
      <c r="AF949" s="152"/>
      <c r="AG949" s="152"/>
      <c r="AH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c r="AB950" s="152"/>
      <c r="AC950" s="152"/>
      <c r="AD950" s="152"/>
      <c r="AE950" s="152"/>
      <c r="AF950" s="152"/>
      <c r="AG950" s="152"/>
      <c r="AH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c r="AB951" s="152"/>
      <c r="AC951" s="152"/>
      <c r="AD951" s="152"/>
      <c r="AE951" s="152"/>
      <c r="AF951" s="152"/>
      <c r="AG951" s="152"/>
      <c r="AH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c r="AB952" s="152"/>
      <c r="AC952" s="152"/>
      <c r="AD952" s="152"/>
      <c r="AE952" s="152"/>
      <c r="AF952" s="152"/>
      <c r="AG952" s="152"/>
      <c r="AH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c r="AB953" s="152"/>
      <c r="AC953" s="152"/>
      <c r="AD953" s="152"/>
      <c r="AE953" s="152"/>
      <c r="AF953" s="152"/>
      <c r="AG953" s="152"/>
      <c r="AH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c r="AB954" s="152"/>
      <c r="AC954" s="152"/>
      <c r="AD954" s="152"/>
      <c r="AE954" s="152"/>
      <c r="AF954" s="152"/>
      <c r="AG954" s="152"/>
      <c r="AH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c r="AB955" s="152"/>
      <c r="AC955" s="152"/>
      <c r="AD955" s="152"/>
      <c r="AE955" s="152"/>
      <c r="AF955" s="152"/>
      <c r="AG955" s="152"/>
      <c r="AH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c r="AB956" s="152"/>
      <c r="AC956" s="152"/>
      <c r="AD956" s="152"/>
      <c r="AE956" s="152"/>
      <c r="AF956" s="152"/>
      <c r="AG956" s="152"/>
      <c r="AH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c r="AB957" s="152"/>
      <c r="AC957" s="152"/>
      <c r="AD957" s="152"/>
      <c r="AE957" s="152"/>
      <c r="AF957" s="152"/>
      <c r="AG957" s="152"/>
      <c r="AH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c r="AB958" s="152"/>
      <c r="AC958" s="152"/>
      <c r="AD958" s="152"/>
      <c r="AE958" s="152"/>
      <c r="AF958" s="152"/>
      <c r="AG958" s="152"/>
      <c r="AH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c r="AB959" s="152"/>
      <c r="AC959" s="152"/>
      <c r="AD959" s="152"/>
      <c r="AE959" s="152"/>
      <c r="AF959" s="152"/>
      <c r="AG959" s="152"/>
      <c r="AH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c r="AB960" s="152"/>
      <c r="AC960" s="152"/>
      <c r="AD960" s="152"/>
      <c r="AE960" s="152"/>
      <c r="AF960" s="152"/>
      <c r="AG960" s="152"/>
      <c r="AH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c r="AB961" s="152"/>
      <c r="AC961" s="152"/>
      <c r="AD961" s="152"/>
      <c r="AE961" s="152"/>
      <c r="AF961" s="152"/>
      <c r="AG961" s="152"/>
      <c r="AH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c r="AB962" s="152"/>
      <c r="AC962" s="152"/>
      <c r="AD962" s="152"/>
      <c r="AE962" s="152"/>
      <c r="AF962" s="152"/>
      <c r="AG962" s="152"/>
      <c r="AH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c r="AB963" s="152"/>
      <c r="AC963" s="152"/>
      <c r="AD963" s="152"/>
      <c r="AE963" s="152"/>
      <c r="AF963" s="152"/>
      <c r="AG963" s="152"/>
      <c r="AH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c r="AB964" s="152"/>
      <c r="AC964" s="152"/>
      <c r="AD964" s="152"/>
      <c r="AE964" s="152"/>
      <c r="AF964" s="152"/>
      <c r="AG964" s="152"/>
      <c r="AH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c r="AB965" s="152"/>
      <c r="AC965" s="152"/>
      <c r="AD965" s="152"/>
      <c r="AE965" s="152"/>
      <c r="AF965" s="152"/>
      <c r="AG965" s="152"/>
      <c r="AH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c r="AB966" s="152"/>
      <c r="AC966" s="152"/>
      <c r="AD966" s="152"/>
      <c r="AE966" s="152"/>
      <c r="AF966" s="152"/>
      <c r="AG966" s="152"/>
      <c r="AH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c r="AB967" s="152"/>
      <c r="AC967" s="152"/>
      <c r="AD967" s="152"/>
      <c r="AE967" s="152"/>
      <c r="AF967" s="152"/>
      <c r="AG967" s="152"/>
      <c r="AH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c r="AB968" s="152"/>
      <c r="AC968" s="152"/>
      <c r="AD968" s="152"/>
      <c r="AE968" s="152"/>
      <c r="AF968" s="152"/>
      <c r="AG968" s="152"/>
      <c r="AH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c r="AB969" s="152"/>
      <c r="AC969" s="152"/>
      <c r="AD969" s="152"/>
      <c r="AE969" s="152"/>
      <c r="AF969" s="152"/>
      <c r="AG969" s="152"/>
      <c r="AH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c r="AB970" s="152"/>
      <c r="AC970" s="152"/>
      <c r="AD970" s="152"/>
      <c r="AE970" s="152"/>
      <c r="AF970" s="152"/>
      <c r="AG970" s="152"/>
      <c r="AH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c r="AB971" s="152"/>
      <c r="AC971" s="152"/>
      <c r="AD971" s="152"/>
      <c r="AE971" s="152"/>
      <c r="AF971" s="152"/>
      <c r="AG971" s="152"/>
      <c r="AH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c r="AB972" s="152"/>
      <c r="AC972" s="152"/>
      <c r="AD972" s="152"/>
      <c r="AE972" s="152"/>
      <c r="AF972" s="152"/>
      <c r="AG972" s="152"/>
      <c r="AH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c r="AB973" s="152"/>
      <c r="AC973" s="152"/>
      <c r="AD973" s="152"/>
      <c r="AE973" s="152"/>
      <c r="AF973" s="152"/>
      <c r="AG973" s="152"/>
      <c r="AH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c r="AB974" s="152"/>
      <c r="AC974" s="152"/>
      <c r="AD974" s="152"/>
      <c r="AE974" s="152"/>
      <c r="AF974" s="152"/>
      <c r="AG974" s="152"/>
      <c r="AH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c r="AB975" s="152"/>
      <c r="AC975" s="152"/>
      <c r="AD975" s="152"/>
      <c r="AE975" s="152"/>
      <c r="AF975" s="152"/>
      <c r="AG975" s="152"/>
      <c r="AH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c r="AB976" s="152"/>
      <c r="AC976" s="152"/>
      <c r="AD976" s="152"/>
      <c r="AE976" s="152"/>
      <c r="AF976" s="152"/>
      <c r="AG976" s="152"/>
      <c r="AH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c r="AB977" s="152"/>
      <c r="AC977" s="152"/>
      <c r="AD977" s="152"/>
      <c r="AE977" s="152"/>
      <c r="AF977" s="152"/>
      <c r="AG977" s="152"/>
      <c r="AH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c r="AB978" s="152"/>
      <c r="AC978" s="152"/>
      <c r="AD978" s="152"/>
      <c r="AE978" s="152"/>
      <c r="AF978" s="152"/>
      <c r="AG978" s="152"/>
      <c r="AH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c r="AB979" s="152"/>
      <c r="AC979" s="152"/>
      <c r="AD979" s="152"/>
      <c r="AE979" s="152"/>
      <c r="AF979" s="152"/>
      <c r="AG979" s="152"/>
      <c r="AH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c r="AB980" s="152"/>
      <c r="AC980" s="152"/>
      <c r="AD980" s="152"/>
      <c r="AE980" s="152"/>
      <c r="AF980" s="152"/>
      <c r="AG980" s="152"/>
      <c r="AH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c r="AB981" s="152"/>
      <c r="AC981" s="152"/>
      <c r="AD981" s="152"/>
      <c r="AE981" s="152"/>
      <c r="AF981" s="152"/>
      <c r="AG981" s="152"/>
      <c r="AH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c r="AB982" s="152"/>
      <c r="AC982" s="152"/>
      <c r="AD982" s="152"/>
      <c r="AE982" s="152"/>
      <c r="AF982" s="152"/>
      <c r="AG982" s="152"/>
      <c r="AH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c r="AB983" s="152"/>
      <c r="AC983" s="152"/>
      <c r="AD983" s="152"/>
      <c r="AE983" s="152"/>
      <c r="AF983" s="152"/>
      <c r="AG983" s="152"/>
      <c r="AH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c r="AB984" s="152"/>
      <c r="AC984" s="152"/>
      <c r="AD984" s="152"/>
      <c r="AE984" s="152"/>
      <c r="AF984" s="152"/>
      <c r="AG984" s="152"/>
      <c r="AH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c r="AB985" s="152"/>
      <c r="AC985" s="152"/>
      <c r="AD985" s="152"/>
      <c r="AE985" s="152"/>
      <c r="AF985" s="152"/>
      <c r="AG985" s="152"/>
      <c r="AH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c r="AB986" s="152"/>
      <c r="AC986" s="152"/>
      <c r="AD986" s="152"/>
      <c r="AE986" s="152"/>
      <c r="AF986" s="152"/>
      <c r="AG986" s="152"/>
      <c r="AH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c r="AB987" s="152"/>
      <c r="AC987" s="152"/>
      <c r="AD987" s="152"/>
      <c r="AE987" s="152"/>
      <c r="AF987" s="152"/>
      <c r="AG987" s="152"/>
      <c r="AH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c r="AB988" s="152"/>
      <c r="AC988" s="152"/>
      <c r="AD988" s="152"/>
      <c r="AE988" s="152"/>
      <c r="AF988" s="152"/>
      <c r="AG988" s="152"/>
      <c r="AH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c r="AB989" s="152"/>
      <c r="AC989" s="152"/>
      <c r="AD989" s="152"/>
      <c r="AE989" s="152"/>
      <c r="AF989" s="152"/>
      <c r="AG989" s="152"/>
      <c r="AH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c r="AB990" s="152"/>
      <c r="AC990" s="152"/>
      <c r="AD990" s="152"/>
      <c r="AE990" s="152"/>
      <c r="AF990" s="152"/>
      <c r="AG990" s="152"/>
      <c r="AH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c r="AB991" s="152"/>
      <c r="AC991" s="152"/>
      <c r="AD991" s="152"/>
      <c r="AE991" s="152"/>
      <c r="AF991" s="152"/>
      <c r="AG991" s="152"/>
      <c r="AH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c r="AB992" s="152"/>
      <c r="AC992" s="152"/>
      <c r="AD992" s="152"/>
      <c r="AE992" s="152"/>
      <c r="AF992" s="152"/>
      <c r="AG992" s="152"/>
      <c r="AH992" s="152"/>
    </row>
  </sheetData>
  <mergeCells count="13">
    <mergeCell ref="D19:E19"/>
    <mergeCell ref="H19:I19"/>
    <mergeCell ref="L19:M19"/>
    <mergeCell ref="L20:M20"/>
    <mergeCell ref="H21:I21"/>
    <mergeCell ref="O30:P30"/>
    <mergeCell ref="D4:E4"/>
    <mergeCell ref="H4:I4"/>
    <mergeCell ref="L4:M4"/>
    <mergeCell ref="L5:M5"/>
    <mergeCell ref="H6:I6"/>
    <mergeCell ref="O15:P15"/>
    <mergeCell ref="D17:R17"/>
  </mergeCells>
  <conditionalFormatting sqref="F24">
    <cfRule type="cellIs" dxfId="0" priority="1" operator="lessThan">
      <formula>0</formula>
    </cfRule>
  </conditionalFormatting>
  <conditionalFormatting sqref="F24">
    <cfRule type="cellIs" dxfId="4" priority="2" operator="greaterThan">
      <formula>1</formula>
    </cfRule>
  </conditionalFormatting>
  <conditionalFormatting sqref="G24:P24">
    <cfRule type="cellIs" dxfId="0" priority="3" operator="lessThan">
      <formula>0</formula>
    </cfRule>
  </conditionalFormatting>
  <conditionalFormatting sqref="G24:P24">
    <cfRule type="cellIs" dxfId="5" priority="4" operator="greaterThan">
      <formula>1</formula>
    </cfRule>
  </conditionalFormatting>
  <printOptions gridLines="1" horizontalCentered="1"/>
  <pageMargins bottom="0.75" footer="0.0" header="0.0" left="0.25" right="0.25" top="0.75"/>
  <pageSetup fitToHeight="0" paperSize="9" cellComments="atEnd" orientation="portrait" pageOrder="overThenDown"/>
  <drawing r:id="rId1"/>
</worksheet>
</file>