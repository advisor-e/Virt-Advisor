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 1 Inputs" sheetId="1" r:id="rId5"/>
    <sheet state="visible" name="Supplier 2 Inputs" sheetId="2" r:id="rId6"/>
    <sheet state="visible" name="Copy of Supplier 2 Inputs" sheetId="3" r:id="rId7"/>
    <sheet state="visible" name="Index Tables" sheetId="4" r:id="rId8"/>
    <sheet state="visible" name="Financial Projections" sheetId="5" r:id="rId9"/>
  </sheets>
  <definedNames/>
  <calcPr/>
</workbook>
</file>

<file path=xl/sharedStrings.xml><?xml version="1.0" encoding="utf-8"?>
<sst xmlns="http://schemas.openxmlformats.org/spreadsheetml/2006/main" count="582" uniqueCount="119">
  <si>
    <t xml:space="preserve"> </t>
  </si>
  <si>
    <t>Total Days Elapsed From Order to Retail</t>
  </si>
  <si>
    <t>Stock Turn Days</t>
  </si>
  <si>
    <t>Shipment %</t>
  </si>
  <si>
    <t>Yes</t>
  </si>
  <si>
    <t>Refrigerated Surcharge</t>
  </si>
  <si>
    <t>Container Size</t>
  </si>
  <si>
    <t>Total Shipping Days</t>
  </si>
  <si>
    <t>SkyRockets</t>
  </si>
  <si>
    <t>Steady Eddy</t>
  </si>
  <si>
    <t>Slow Burn</t>
  </si>
  <si>
    <t>No</t>
  </si>
  <si>
    <t>180+</t>
  </si>
  <si>
    <t>Manufacture Days</t>
  </si>
  <si>
    <t>Sea</t>
  </si>
  <si>
    <t>Air</t>
  </si>
  <si>
    <t>Express</t>
  </si>
  <si>
    <t>Order Deposit %</t>
  </si>
  <si>
    <t>10 ft</t>
  </si>
  <si>
    <t>Interest Cover %</t>
  </si>
  <si>
    <t>20 ft</t>
  </si>
  <si>
    <t>Currency Movement %</t>
  </si>
  <si>
    <t>40 ft</t>
  </si>
  <si>
    <t>Order Balance Due Days</t>
  </si>
  <si>
    <t>Deposit Pmts</t>
  </si>
  <si>
    <t>Pre-Retail Prep Days</t>
  </si>
  <si>
    <t>Balance Pmts</t>
  </si>
  <si>
    <t>Up to</t>
  </si>
  <si>
    <t>Total Import Pmts</t>
  </si>
  <si>
    <t>Projected Sales</t>
  </si>
  <si>
    <t>Stock Items</t>
  </si>
  <si>
    <t>Unit Cost</t>
  </si>
  <si>
    <t>Item Popularity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</si>
  <si>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</si>
  <si>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</si>
  <si>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</si>
  <si>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</si>
  <si>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</si>
  <si>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</si>
  <si>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</si>
  <si>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</si>
  <si>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</si>
  <si>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</si>
  <si>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</si>
  <si>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</si>
  <si>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New Stock Retail Markup %</t>
  </si>
  <si>
    <t>Std Retail Markup %</t>
  </si>
  <si>
    <t>Runout Stock Markup %</t>
  </si>
  <si>
    <t>New Stock Retail Price</t>
  </si>
  <si>
    <t>Std Retail Price</t>
  </si>
  <si>
    <t>Runout Stock Price</t>
  </si>
  <si>
    <t>Stock 1</t>
  </si>
  <si>
    <t>Stock 2</t>
  </si>
  <si>
    <t>Stock 3</t>
  </si>
  <si>
    <t>Stock 4</t>
  </si>
  <si>
    <t>Stock 5</t>
  </si>
  <si>
    <t>Stock 6</t>
  </si>
  <si>
    <t>Stock 7</t>
  </si>
  <si>
    <t>Stock 8</t>
  </si>
  <si>
    <t>Stock 9</t>
  </si>
  <si>
    <t>Stock 10</t>
  </si>
  <si>
    <t>Stock 11</t>
  </si>
  <si>
    <t>Stock 12</t>
  </si>
  <si>
    <t>Stock 13</t>
  </si>
  <si>
    <t>Stock 14</t>
  </si>
  <si>
    <t>Stock 15</t>
  </si>
  <si>
    <t>Stock 16</t>
  </si>
  <si>
    <t>Stock 17</t>
  </si>
  <si>
    <t>Stock 18</t>
  </si>
  <si>
    <t>Stock 19</t>
  </si>
  <si>
    <t>Stock 20</t>
  </si>
  <si>
    <t>Refrigerated</t>
  </si>
  <si>
    <t>Shipping Speed</t>
  </si>
  <si>
    <t># of Containers</t>
  </si>
  <si>
    <t>Shipping Costs</t>
  </si>
  <si>
    <t>Stock/ Manufacture Pmts</t>
  </si>
  <si>
    <t>Total Units</t>
  </si>
  <si>
    <t>Total Unit Cost</t>
  </si>
  <si>
    <t>Deposit</t>
  </si>
  <si>
    <t>Balance Due</t>
  </si>
  <si>
    <t>Balance Interest</t>
  </si>
  <si>
    <t>FX Loss</t>
  </si>
  <si>
    <t>Interest Total</t>
  </si>
  <si>
    <t>Shipping Speed Calculations</t>
  </si>
  <si>
    <t>Shipping Payments</t>
  </si>
  <si>
    <t>Shipping Cost</t>
  </si>
  <si>
    <t>Calculations</t>
  </si>
  <si>
    <t>30 day bands</t>
  </si>
  <si>
    <t>60 day bands</t>
  </si>
  <si>
    <t>90 day bands</t>
  </si>
  <si>
    <t>Seasonal Times</t>
  </si>
  <si>
    <t>Off Peak</t>
  </si>
  <si>
    <t>Peak</t>
  </si>
  <si>
    <t>Normal</t>
  </si>
  <si>
    <t>list at bottom</t>
  </si>
  <si>
    <t>Wage Costs</t>
  </si>
  <si>
    <t>120 day bands</t>
  </si>
  <si>
    <t>Stock Costs</t>
  </si>
  <si>
    <t>Total Payments</t>
  </si>
  <si>
    <t>Total Sales</t>
  </si>
  <si>
    <t>Projected Revenue</t>
  </si>
  <si>
    <t>Total Costs</t>
  </si>
  <si>
    <t>Import Related Mth Cash Movement</t>
  </si>
  <si>
    <t>Opening Balance</t>
  </si>
  <si>
    <t>Closing Balance</t>
  </si>
  <si>
    <t>Wages</t>
  </si>
  <si>
    <t>(Product Costs)</t>
  </si>
  <si>
    <t>Gross Product Margin</t>
  </si>
  <si>
    <t>Product Costs as a % of Sales</t>
  </si>
  <si>
    <t>Wages as a % of Sales</t>
  </si>
  <si>
    <t>Revenue</t>
  </si>
  <si>
    <t>Days</t>
  </si>
  <si>
    <t>30 day revenue calculations</t>
  </si>
  <si>
    <t>adjusted for manufacture &amp; shipping</t>
  </si>
  <si>
    <t>60 day revenue calculations</t>
  </si>
  <si>
    <t>90 day revenue calculations</t>
  </si>
  <si>
    <t>120 day revenue calculations</t>
  </si>
  <si>
    <t>Total Revenue</t>
  </si>
  <si>
    <t>Adjusted for manufacture, shipping &amp; sales periods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</si>
</sst>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&quot;$&quot;#,##0"/>
    <numFmt numFmtId="166" formatCode="&quot;$&quot;#,##0.00"/>
    <numFmt numFmtId="167" formatCode="_(&quot;$&quot;* #,##0_);_(&quot;$&quot;* \(#,##0\);_(&quot;$&quot;* &quot;-&quot;??_);_(@_)"/>
  </numFmts>
  <fonts count="31">
    <font>
      <sz val="10.0"/>
      <color rgb="FF000000"/>
      <name val="Arial"/>
      <scheme val="minor"/>
    </font>
    <font>
      <color theme="1"/>
      <name val="Open Sans"/>
    </font>
    <font>
      <color theme="0"/>
      <name val="Arial"/>
      <scheme val="minor"/>
    </font>
    <font>
      <color rgb="FFFFFFFF"/>
      <name val="Arial"/>
      <scheme val="minor"/>
    </font>
    <font>
      <sz val="9.0"/>
      <color rgb="FF00FFFF"/>
      <name val="Arial"/>
      <scheme val="minor"/>
    </font>
    <font>
      <color rgb="FF00FFFF"/>
      <name val="Arial"/>
      <scheme val="minor"/>
    </font>
    <font>
      <color theme="1"/>
      <name val="Arial"/>
      <scheme val="minor"/>
    </font>
    <font/>
    <font>
      <color rgb="FFFF6D01"/>
      <name val="Arial"/>
      <scheme val="minor"/>
    </font>
    <font>
      <b/>
      <color theme="1"/>
      <name val="Arial"/>
      <scheme val="minor"/>
    </font>
    <font>
      <color rgb="FFFFFF00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color rgb="FFFF9900"/>
      <name val="Arial"/>
      <scheme val="minor"/>
    </font>
    <font>
      <color theme="0"/>
      <name val="Open Sans"/>
    </font>
    <font>
      <color rgb="FFFFFFFF"/>
      <name val="Open Sans"/>
    </font>
    <font>
      <b/>
      <sz val="9.0"/>
      <color theme="1"/>
      <name val="Open Sans"/>
    </font>
    <font>
      <sz val="7.0"/>
      <color rgb="FFFFFFFF"/>
      <name val="Open Sans"/>
    </font>
    <font>
      <color rgb="FF00FFFF"/>
      <name val="Open Sans"/>
    </font>
    <font>
      <color rgb="FF000000"/>
      <name val="Open Sans"/>
    </font>
    <font>
      <sz val="18.0"/>
      <color rgb="FFFFFF00"/>
      <name val="Open Sans"/>
    </font>
    <font>
      <sz val="18.0"/>
      <color rgb="FF00FFFF"/>
      <name val="Open Sans"/>
    </font>
    <font>
      <sz val="18.0"/>
      <color rgb="FFFF9900"/>
      <name val="Open Sans"/>
    </font>
    <font>
      <sz val="18.0"/>
      <color rgb="FFFF6D01"/>
      <name val="Open Sans"/>
    </font>
    <font>
      <sz val="18.0"/>
      <color theme="0"/>
      <name val="Open Sans"/>
    </font>
    <font>
      <sz val="14.0"/>
      <color rgb="FFFFFFFF"/>
      <name val="Open Sans"/>
    </font>
    <font>
      <sz val="16.0"/>
      <color rgb="FFFFFFFF"/>
      <name val="Open Sans"/>
    </font>
    <font>
      <sz val="14.0"/>
      <color rgb="FF00FFFF"/>
      <name val="Open Sans"/>
    </font>
    <font>
      <color rgb="FF00FF00"/>
      <name val="Arial"/>
      <scheme val="minor"/>
    </font>
    <font>
      <color rgb="FFEA9999"/>
      <name val="Arial"/>
      <scheme val="minor"/>
    </font>
    <font>
      <color theme="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3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top style="thin">
        <color rgb="FF00FFFF"/>
      </top>
    </border>
    <border>
      <top style="thin">
        <color rgb="FF00FFFF"/>
      </top>
    </border>
    <border>
      <right style="thin">
        <color rgb="FF00FFFF"/>
      </right>
      <top style="thin">
        <color rgb="FF00FFFF"/>
      </top>
    </border>
    <border>
      <left style="thin">
        <color rgb="FF00FFFF"/>
      </left>
    </border>
    <border>
      <right style="thin">
        <color rgb="FF00FFFF"/>
      </right>
    </border>
    <border>
      <left style="thin">
        <color rgb="FF00FFFF"/>
      </left>
      <bottom style="thin">
        <color rgb="FF00FFFF"/>
      </bottom>
    </border>
    <border>
      <bottom style="thin">
        <color rgb="FF00FFFF"/>
      </bottom>
    </border>
    <border>
      <right style="thin">
        <color rgb="FF00FFFF"/>
      </right>
      <bottom style="thin">
        <color rgb="FF00FFFF"/>
      </bottom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</border>
    <border>
      <right style="thin">
        <color rgb="FFFF6D01"/>
      </right>
    </border>
    <border>
      <left style="thin">
        <color rgb="FFFF6D01"/>
      </left>
      <bottom style="thin">
        <color rgb="FFFF6D01"/>
      </bottom>
    </border>
    <border>
      <bottom style="thin">
        <color rgb="FFFF6D01"/>
      </bottom>
    </border>
    <border>
      <right style="thin">
        <color rgb="FFFF6D01"/>
      </right>
      <bottom style="thin">
        <color rgb="FFFF6D01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center"/>
    </xf>
    <xf borderId="0" fillId="2" fontId="3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1" numFmtId="10" xfId="0" applyFont="1" applyNumberFormat="1"/>
    <xf borderId="0" fillId="2" fontId="5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5" fillId="3" fontId="6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0" xfId="0" applyAlignment="1" applyFont="1" applyNumberFormat="1">
      <alignment readingOrder="0"/>
    </xf>
    <xf borderId="6" fillId="0" fontId="7" numFmtId="0" xfId="0" applyBorder="1" applyFont="1"/>
    <xf borderId="7" fillId="2" fontId="3" numFmtId="0" xfId="0" applyAlignment="1" applyBorder="1" applyFill="1" applyFont="1">
      <alignment horizontal="center" readingOrder="0" vertical="center"/>
    </xf>
    <xf borderId="8" fillId="2" fontId="3" numFmtId="0" xfId="0" applyAlignment="1" applyBorder="1" applyFill="1" applyFont="1">
      <alignment horizontal="center" readingOrder="0" vertical="center"/>
    </xf>
    <xf borderId="9" fillId="2" fontId="3" numFmtId="0" xfId="0" applyAlignment="1" applyBorder="1" applyFill="1" applyFont="1">
      <alignment horizontal="center" readingOrder="0" vertical="center"/>
    </xf>
    <xf borderId="5" fillId="3" fontId="6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center" readingOrder="0"/>
    </xf>
    <xf borderId="5" fillId="3" fontId="6" numFmtId="164" xfId="0" applyAlignment="1" applyBorder="1" applyFill="1" applyFont="1" applyNumberFormat="1">
      <alignment horizontal="center" readingOrder="0" vertical="center"/>
    </xf>
    <xf borderId="5" fillId="3" fontId="6" numFmtId="165" xfId="0" applyAlignment="1" applyBorder="1" applyFill="1" applyFont="1" applyNumberFormat="1">
      <alignment readingOrder="0" vertical="center"/>
    </xf>
    <xf borderId="5" fillId="2" fontId="3" numFmtId="0" xfId="0" applyAlignment="1" applyBorder="1" applyFill="1" applyFont="1">
      <alignment horizontal="center" readingOrder="0" vertical="center"/>
    </xf>
    <xf borderId="5" fillId="3" fontId="6" numFmtId="10" xfId="0" applyAlignment="1" applyBorder="1" applyFill="1" applyFont="1" applyNumberFormat="1">
      <alignment horizontal="center" readingOrder="0" vertical="center"/>
    </xf>
    <xf borderId="2" fillId="2" fontId="3" numFmtId="0" xfId="0" applyAlignment="1" applyBorder="1" applyFill="1" applyFont="1">
      <alignment readingOrder="0" vertical="center"/>
    </xf>
    <xf borderId="3" fillId="2" fontId="2" numFmtId="0" xfId="0" applyAlignment="1" applyBorder="1" applyFill="1" applyFont="1">
      <alignment vertical="center"/>
    </xf>
    <xf borderId="3" fillId="2" fontId="2" numFmtId="165" xfId="0" applyAlignment="1" applyBorder="1" applyFill="1" applyFont="1" applyNumberFormat="1">
      <alignment horizontal="center" vertical="center"/>
    </xf>
    <xf borderId="4" fillId="2" fontId="2" numFmtId="165" xfId="0" applyAlignment="1" applyBorder="1" applyFill="1" applyFont="1" applyNumberFormat="1">
      <alignment horizontal="center" vertical="center"/>
    </xf>
    <xf borderId="0" fillId="2" fontId="8" numFmtId="10" xfId="0" applyAlignment="1" applyFill="1" applyFont="1" applyNumberFormat="1">
      <alignment horizontal="center" vertical="center"/>
    </xf>
    <xf borderId="0" fillId="3" fontId="9" numFmtId="0" xfId="0" applyAlignment="1" applyFill="1" applyFont="1">
      <alignment horizontal="center" readingOrder="0" vertical="center"/>
    </xf>
    <xf borderId="10" fillId="2" fontId="3" numFmtId="0" xfId="0" applyAlignment="1" applyBorder="1" applyFill="1" applyFont="1">
      <alignment readingOrder="0" vertical="center"/>
    </xf>
    <xf borderId="0" fillId="2" fontId="2" numFmtId="165" xfId="0" applyAlignment="1" applyFill="1" applyFont="1" applyNumberFormat="1">
      <alignment horizontal="center" vertical="center"/>
    </xf>
    <xf borderId="11" fillId="2" fontId="2" numFmtId="165" xfId="0" applyAlignment="1" applyBorder="1" applyFill="1" applyFont="1" applyNumberFormat="1">
      <alignment horizontal="center" vertical="center"/>
    </xf>
    <xf borderId="3" fillId="2" fontId="3" numFmtId="0" xfId="0" applyAlignment="1" applyBorder="1" applyFill="1" applyFont="1">
      <alignment horizontal="center" readingOrder="0" vertical="center"/>
    </xf>
    <xf borderId="3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ill="1" applyFont="1">
      <alignment vertical="center"/>
    </xf>
    <xf borderId="11" fillId="2" fontId="2" numFmtId="0" xfId="0" applyAlignment="1" applyBorder="1" applyFill="1" applyFont="1">
      <alignment horizontal="center" vertical="center"/>
    </xf>
    <xf borderId="10" fillId="2" fontId="2" numFmtId="0" xfId="0" applyAlignment="1" applyBorder="1" applyFill="1" applyFont="1">
      <alignment horizontal="center" vertical="center"/>
    </xf>
    <xf borderId="11" fillId="0" fontId="7" numFmtId="0" xfId="0" applyBorder="1" applyFont="1"/>
    <xf borderId="7" fillId="2" fontId="3" numFmtId="0" xfId="0" applyAlignment="1" applyBorder="1" applyFill="1" applyFont="1">
      <alignment readingOrder="0" vertical="center"/>
    </xf>
    <xf borderId="8" fillId="2" fontId="2" numFmtId="0" xfId="0" applyAlignment="1" applyBorder="1" applyFill="1" applyFont="1">
      <alignment vertical="center"/>
    </xf>
    <xf borderId="8" fillId="2" fontId="2" numFmtId="165" xfId="0" applyAlignment="1" applyBorder="1" applyFill="1" applyFont="1" applyNumberFormat="1">
      <alignment horizontal="center" vertical="center"/>
    </xf>
    <xf borderId="9" fillId="2" fontId="2" numFmtId="165" xfId="0" applyAlignment="1" applyBorder="1" applyFill="1" applyFont="1" applyNumberForma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9" fillId="0" fontId="7" numFmtId="0" xfId="0" applyBorder="1" applyFont="1"/>
    <xf borderId="0" fillId="2" fontId="2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10" numFmtId="0" xfId="0" applyAlignment="1" applyFill="1" applyFont="1">
      <alignment horizontal="center" readingOrder="0" shrinkToFit="0" vertical="center" wrapText="1"/>
    </xf>
    <xf borderId="5" fillId="4" fontId="11" numFmtId="0" xfId="0" applyAlignment="1" applyBorder="1" applyFill="1" applyFont="1">
      <alignment horizontal="center" readingOrder="0" vertical="center"/>
    </xf>
    <xf borderId="12" fillId="2" fontId="3" numFmtId="0" xfId="0" applyAlignment="1" applyBorder="1" applyFill="1" applyFont="1">
      <alignment horizontal="center" readingOrder="0" shrinkToFit="0" vertical="center" wrapText="1"/>
    </xf>
    <xf borderId="13" fillId="2" fontId="3" numFmtId="0" xfId="0" applyAlignment="1" applyBorder="1" applyFill="1" applyFont="1">
      <alignment horizontal="center" readingOrder="0" shrinkToFit="0" vertical="center" wrapText="1"/>
    </xf>
    <xf borderId="14" fillId="2" fontId="3" numFmtId="0" xfId="0" applyAlignment="1" applyBorder="1" applyFill="1" applyFont="1">
      <alignment horizontal="center" readingOrder="0" shrinkToFit="0" vertical="center" wrapText="1"/>
    </xf>
    <xf borderId="5" fillId="3" fontId="6" numFmtId="166" xfId="0" applyAlignment="1" applyBorder="1" applyFill="1" applyFont="1" applyNumberFormat="1">
      <alignment readingOrder="0" vertical="center"/>
    </xf>
    <xf borderId="5" fillId="0" fontId="12" numFmtId="0" xfId="0" applyAlignment="1" applyBorder="1" applyFont="1">
      <alignment horizontal="center"/>
    </xf>
    <xf borderId="5" fillId="0" fontId="6" numFmtId="10" xfId="0" applyAlignment="1" applyBorder="1" applyFont="1" applyNumberFormat="1">
      <alignment horizontal="center" readingOrder="0" vertical="center"/>
    </xf>
    <xf borderId="5" fillId="5" fontId="6" numFmtId="0" xfId="0" applyAlignment="1" applyBorder="1" applyFill="1" applyFont="1">
      <alignment horizontal="center" readingOrder="0" vertical="center"/>
    </xf>
    <xf borderId="12" fillId="2" fontId="3" numFmtId="0" xfId="0" applyAlignment="1" applyBorder="1" applyFill="1" applyFont="1">
      <alignment readingOrder="0" vertical="center"/>
    </xf>
    <xf borderId="13" fillId="2" fontId="2" numFmtId="0" xfId="0" applyAlignment="1" applyBorder="1" applyFill="1" applyFont="1">
      <alignment vertical="center"/>
    </xf>
    <xf borderId="13" fillId="2" fontId="2" numFmtId="165" xfId="0" applyAlignment="1" applyBorder="1" applyFill="1" applyFont="1" applyNumberFormat="1">
      <alignment horizontal="center" vertical="center"/>
    </xf>
    <xf borderId="14" fillId="2" fontId="2" numFmtId="165" xfId="0" applyAlignment="1" applyBorder="1" applyFill="1" applyFont="1" applyNumberFormat="1">
      <alignment horizontal="center" vertical="center"/>
    </xf>
    <xf borderId="0" fillId="2" fontId="10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165" xfId="0" applyAlignment="1" applyFill="1" applyFont="1" applyNumberFormat="1">
      <alignment horizontal="center" readingOrder="0" vertical="center"/>
    </xf>
    <xf borderId="0" fillId="2" fontId="2" numFmtId="165" xfId="0" applyAlignment="1" applyFill="1" applyFont="1" applyNumberFormat="1">
      <alignment readingOrder="0" vertical="center"/>
    </xf>
    <xf borderId="0" fillId="2" fontId="5" numFmtId="0" xfId="0" applyAlignment="1" applyFill="1" applyFont="1">
      <alignment readingOrder="0" vertical="center"/>
    </xf>
    <xf borderId="0" fillId="2" fontId="5" numFmtId="0" xfId="0" applyAlignment="1" applyFill="1" applyFont="1">
      <alignment vertical="center"/>
    </xf>
    <xf borderId="0" fillId="2" fontId="5" numFmtId="165" xfId="0" applyAlignment="1" applyFill="1" applyFont="1" applyNumberFormat="1">
      <alignment horizontal="center" vertical="center"/>
    </xf>
    <xf borderId="0" fillId="2" fontId="13" numFmtId="0" xfId="0" applyAlignment="1" applyFill="1" applyFont="1">
      <alignment readingOrder="0" vertical="center"/>
    </xf>
    <xf borderId="0" fillId="2" fontId="2" numFmtId="165" xfId="0" applyAlignment="1" applyFill="1" applyFont="1" applyNumberFormat="1">
      <alignment vertical="center"/>
    </xf>
    <xf borderId="0" fillId="2" fontId="14" numFmtId="0" xfId="0" applyAlignment="1" applyFill="1" applyFont="1">
      <alignment vertical="center"/>
    </xf>
    <xf borderId="0" fillId="0" fontId="14" numFmtId="0" xfId="0" applyAlignment="1" applyFont="1">
      <alignment vertical="center"/>
    </xf>
    <xf borderId="0" fillId="2" fontId="15" numFmtId="0" xfId="0" applyAlignment="1" applyFill="1" applyFont="1">
      <alignment readingOrder="0" vertical="center"/>
    </xf>
    <xf borderId="0" fillId="3" fontId="16" numFmtId="0" xfId="0" applyAlignment="1" applyFill="1" applyFont="1">
      <alignment readingOrder="0" vertical="center"/>
    </xf>
    <xf borderId="0" fillId="2" fontId="17" numFmtId="0" xfId="0" applyAlignment="1" applyFill="1" applyFont="1">
      <alignment horizontal="center" readingOrder="0" vertical="center"/>
    </xf>
    <xf borderId="15" fillId="2" fontId="18" numFmtId="0" xfId="0" applyAlignment="1" applyBorder="1" applyFill="1" applyFont="1">
      <alignment readingOrder="0" vertical="center"/>
    </xf>
    <xf borderId="5" fillId="4" fontId="19" numFmtId="165" xfId="0" applyAlignment="1" applyBorder="1" applyFill="1" applyFont="1" applyNumberFormat="1">
      <alignment horizontal="center" readingOrder="0" vertical="center"/>
    </xf>
    <xf borderId="0" fillId="2" fontId="14" numFmtId="0" xfId="0" applyAlignment="1" applyFill="1" applyFont="1">
      <alignment horizontal="center" vertical="center"/>
    </xf>
    <xf borderId="5" fillId="2" fontId="14" numFmtId="0" xfId="0" applyAlignment="1" applyBorder="1" applyFill="1" applyFont="1">
      <alignment horizontal="center" vertical="center"/>
    </xf>
    <xf borderId="0" fillId="2" fontId="14" numFmtId="167" xfId="0" applyAlignment="1" applyFill="1" applyFont="1" applyNumberFormat="1">
      <alignment vertical="center"/>
    </xf>
    <xf borderId="0" fillId="2" fontId="14" numFmtId="10" xfId="0" applyAlignment="1" applyFill="1" applyFont="1" applyNumberFormat="1">
      <alignment horizontal="center" vertical="center"/>
    </xf>
    <xf borderId="0" fillId="2" fontId="15" numFmtId="0" xfId="0" applyAlignment="1" applyFill="1" applyFont="1">
      <alignment readingOrder="0" shrinkToFit="0" vertical="center" wrapText="1"/>
    </xf>
    <xf borderId="0" fillId="3" fontId="1" numFmtId="166" xfId="0" applyAlignment="1" applyFill="1" applyFont="1" applyNumberFormat="1">
      <alignment readingOrder="0" vertical="center"/>
    </xf>
    <xf borderId="0" fillId="2" fontId="20" numFmtId="0" xfId="0" applyAlignment="1" applyFill="1" applyFont="1">
      <alignment horizontal="center" readingOrder="0" vertical="center"/>
    </xf>
    <xf borderId="2" fillId="2" fontId="20" numFmtId="167" xfId="0" applyAlignment="1" applyBorder="1" applyFill="1" applyFont="1" applyNumberFormat="1">
      <alignment vertical="center"/>
    </xf>
    <xf borderId="16" fillId="2" fontId="21" numFmtId="165" xfId="0" applyAlignment="1" applyBorder="1" applyFill="1" applyFont="1" applyNumberFormat="1">
      <alignment vertical="center"/>
    </xf>
    <xf borderId="17" fillId="0" fontId="7" numFmtId="0" xfId="0" applyBorder="1" applyFont="1"/>
    <xf borderId="18" fillId="0" fontId="7" numFmtId="0" xfId="0" applyBorder="1" applyFont="1"/>
    <xf borderId="0" fillId="2" fontId="21" numFmtId="0" xfId="0" applyAlignment="1" applyFill="1" applyFont="1">
      <alignment horizontal="center" readingOrder="0" vertical="center"/>
    </xf>
    <xf borderId="10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0" fillId="2" fontId="15" numFmtId="0" xfId="0" applyAlignment="1" applyFill="1" applyFont="1">
      <alignment horizontal="center" readingOrder="0" vertical="center"/>
    </xf>
    <xf borderId="12" fillId="2" fontId="14" numFmtId="167" xfId="0" applyAlignment="1" applyBorder="1" applyFill="1" applyFont="1" applyNumberFormat="1">
      <alignment vertical="center"/>
    </xf>
    <xf borderId="13" fillId="0" fontId="7" numFmtId="0" xfId="0" applyBorder="1" applyFont="1"/>
    <xf borderId="14" fillId="0" fontId="7" numFmtId="0" xfId="0" applyBorder="1" applyFont="1"/>
    <xf borderId="0" fillId="2" fontId="22" numFmtId="0" xfId="0" applyAlignment="1" applyFill="1" applyFont="1">
      <alignment horizontal="center" readingOrder="0" vertical="center"/>
    </xf>
    <xf borderId="2" fillId="2" fontId="23" numFmtId="167" xfId="0" applyAlignment="1" applyBorder="1" applyFill="1" applyFont="1" applyNumberFormat="1">
      <alignment vertical="center"/>
    </xf>
    <xf borderId="24" fillId="2" fontId="24" numFmtId="167" xfId="0" applyAlignment="1" applyBorder="1" applyFill="1" applyFont="1" applyNumberFormat="1">
      <alignment vertical="center"/>
    </xf>
    <xf borderId="25" fillId="0" fontId="7" numFmtId="0" xfId="0" applyBorder="1" applyFont="1"/>
    <xf borderId="26" fillId="0" fontId="7" numFmtId="0" xfId="0" applyBorder="1" applyFont="1"/>
    <xf borderId="0" fillId="2" fontId="25" numFmtId="0" xfId="0" applyAlignment="1" applyFill="1" applyFont="1">
      <alignment horizontal="center" readingOrder="0" shrinkToFit="0" vertical="center" wrapText="1"/>
    </xf>
    <xf borderId="27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0" fillId="2" fontId="26" numFmtId="0" xfId="0" applyAlignment="1" applyFill="1" applyFont="1">
      <alignment horizontal="left" readingOrder="0" shrinkToFit="0" vertical="center" wrapText="1"/>
    </xf>
    <xf borderId="2" fillId="2" fontId="24" numFmtId="10" xfId="0" applyAlignment="1" applyBorder="1" applyFill="1" applyFont="1" applyNumberFormat="1">
      <alignment horizontal="center" vertical="center"/>
    </xf>
    <xf borderId="0" fillId="2" fontId="27" numFmtId="0" xfId="0" applyAlignment="1" applyFill="1" applyFont="1">
      <alignment horizontal="center" readingOrder="0" shrinkToFit="0" vertical="center" wrapText="1"/>
    </xf>
    <xf borderId="0" fillId="2" fontId="28" numFmtId="0" xfId="0" applyAlignment="1" applyFill="1" applyFont="1">
      <alignment readingOrder="0" vertical="center"/>
    </xf>
    <xf borderId="0" fillId="2" fontId="28" numFmtId="0" xfId="0" applyAlignment="1" applyFill="1" applyFont="1">
      <alignment vertical="center"/>
    </xf>
    <xf borderId="0" fillId="2" fontId="28" numFmtId="0" xfId="0" applyAlignment="1" applyFill="1" applyFont="1">
      <alignment horizontal="center" vertical="center"/>
    </xf>
    <xf borderId="0" fillId="2" fontId="29" numFmtId="0" xfId="0" applyAlignment="1" applyFill="1" applyFont="1">
      <alignment horizontal="center" readingOrder="0" vertical="center"/>
    </xf>
    <xf borderId="0" fillId="2" fontId="29" numFmtId="0" xfId="0" applyAlignment="1" applyFill="1" applyFont="1">
      <alignment vertical="center"/>
    </xf>
    <xf borderId="0" fillId="2" fontId="29" numFmtId="0" xfId="0" applyAlignment="1" applyFill="1" applyFont="1">
      <alignment horizontal="center" vertical="center"/>
    </xf>
    <xf borderId="0" fillId="2" fontId="10" numFmtId="0" xfId="0" applyAlignment="1" applyFill="1" applyFont="1">
      <alignment vertical="center"/>
    </xf>
    <xf borderId="0" fillId="2" fontId="29" numFmtId="165" xfId="0" applyAlignment="1" applyFill="1" applyFont="1" applyNumberFormat="1">
      <alignment horizontal="center" vertical="center"/>
    </xf>
    <xf borderId="0" fillId="2" fontId="10" numFmtId="0" xfId="0" applyAlignment="1" applyFill="1" applyFont="1">
      <alignment horizontal="center" vertical="center"/>
    </xf>
    <xf borderId="0" fillId="2" fontId="8" numFmtId="0" xfId="0" applyAlignment="1" applyFill="1" applyFont="1">
      <alignment horizontal="center" readingOrder="0" vertical="center"/>
    </xf>
    <xf borderId="0" fillId="2" fontId="13" numFmtId="0" xfId="0" applyAlignment="1" applyFill="1" applyFont="1">
      <alignment horizontal="center" vertical="center"/>
    </xf>
    <xf borderId="0" fillId="2" fontId="10" numFmtId="165" xfId="0" applyAlignment="1" applyFill="1" applyFont="1" applyNumberFormat="1">
      <alignment horizontal="center" vertical="center"/>
    </xf>
    <xf borderId="0" fillId="2" fontId="30" numFmtId="0" xfId="0" applyAlignment="1" applyFill="1" applyFont="1">
      <alignment horizontal="center" readingOrder="0" vertical="center"/>
    </xf>
    <xf borderId="0" fillId="2" fontId="30" numFmtId="0" xfId="0" applyAlignment="1" applyFill="1" applyFont="1">
      <alignment horizontal="center" vertical="center"/>
    </xf>
    <xf borderId="0" fillId="2" fontId="30" numFmtId="165" xfId="0" applyAlignment="1" applyFill="1" applyFont="1" applyNumberFormat="1">
      <alignment horizontal="center" vertical="center"/>
    </xf>
    <xf borderId="0" fillId="2" fontId="30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Projected Import Costs Breakdown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'Financial Projections'!$AO$12:$AO$13</c:f>
            </c:strRef>
          </c:cat>
          <c:val>
            <c:numRef>
              <c:f>'Financial Projections'!$AP$12:$AP$13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26</xdr:row>
      <xdr:rowOff>142875</xdr:rowOff>
    </xdr:from>
    <xdr:ext cx="5343525" cy="2762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.63"/>
    <col customWidth="1" min="3" max="3" width="1.25"/>
    <col customWidth="1" min="4" max="4" width="19.88"/>
    <col customWidth="1" min="5" max="5" width="1.63"/>
    <col customWidth="1" min="7" max="7" width="1.63"/>
    <col customWidth="1" min="8" max="8" width="14.38"/>
    <col customWidth="1" min="9" max="9" width="1.63"/>
    <col customWidth="1" min="10" max="10" width="10.63"/>
    <col customWidth="1" min="11" max="21" width="9.13"/>
    <col customWidth="1" min="22" max="22" width="3.5"/>
    <col customWidth="1" min="23" max="23" width="13.75"/>
    <col customWidth="1" min="26" max="26" width="1.25"/>
    <col customWidth="1" min="27" max="29" width="11.38"/>
    <col customWidth="1" min="30" max="33" width="3.38"/>
    <col customWidth="1" min="34" max="35" width="1.63"/>
  </cols>
  <sheetData>
    <row r="1" ht="9.75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/>
      <c r="W1" s="4"/>
      <c r="X1" s="4"/>
      <c r="Y1" s="4"/>
      <c r="Z1" s="2"/>
      <c r="AA1" s="4"/>
      <c r="AB1" s="4"/>
      <c r="AC1" s="4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5"/>
      <c r="AQ1" s="6" t="s">
        <v>0</v>
      </c>
    </row>
    <row r="2" ht="9.75" customHeight="1">
      <c r="A2" s="2"/>
      <c r="B2" s="5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"/>
      <c r="W2" s="7"/>
      <c r="X2" s="7"/>
      <c r="Y2" s="7"/>
      <c r="Z2" s="5"/>
      <c r="AA2" s="7"/>
      <c r="AB2" s="7"/>
      <c r="AC2" s="7"/>
      <c r="AD2" s="5"/>
      <c r="AE2" s="5"/>
      <c r="AF2" s="5"/>
      <c r="AG2" s="5"/>
      <c r="AH2" s="5"/>
      <c r="AI2" s="5"/>
      <c r="AJ2" s="2"/>
      <c r="AK2" s="2"/>
      <c r="AL2" s="2"/>
      <c r="AM2" s="2"/>
      <c r="AN2" s="2"/>
      <c r="AO2" s="2"/>
      <c r="AP2" s="5"/>
      <c r="AQ2" s="5"/>
    </row>
    <row r="3">
      <c r="A3" s="2"/>
      <c r="B3" s="5"/>
      <c r="C3" s="2"/>
      <c r="D3" s="2"/>
      <c r="E3" s="2"/>
      <c r="F3" s="9" t="s">
        <v>1</v>
      </c>
      <c r="J3" s="4"/>
      <c r="K3" s="11">
        <f>F6+K5+F13</f>
        <v>154</v>
      </c>
      <c r="L3" s="11">
        <f>F6+L5+F13</f>
        <v>149</v>
      </c>
      <c r="M3" s="11">
        <f>F6+M5+F13</f>
        <v>144</v>
      </c>
      <c r="N3" s="4"/>
      <c r="O3" s="4"/>
      <c r="P3" s="4"/>
      <c r="Q3" s="4"/>
      <c r="R3" s="4"/>
      <c r="S3" s="4"/>
      <c r="T3" s="4"/>
      <c r="U3" s="12"/>
      <c r="V3" s="2"/>
      <c r="W3" s="13"/>
      <c r="X3" s="13"/>
      <c r="Y3" s="13"/>
      <c r="Z3" s="2"/>
      <c r="AA3" s="4"/>
      <c r="AB3" s="4"/>
      <c r="AC3" s="4"/>
      <c r="AD3" s="2"/>
      <c r="AE3" s="2"/>
      <c r="AF3" s="2"/>
      <c r="AG3" s="2"/>
      <c r="AH3" s="2"/>
      <c r="AI3" s="5"/>
      <c r="AJ3" s="2"/>
      <c r="AK3" s="2"/>
      <c r="AL3" s="2"/>
      <c r="AM3" s="2"/>
      <c r="AN3" s="2"/>
      <c r="AO3" s="3"/>
      <c r="AP3" s="14"/>
      <c r="AQ3" s="14"/>
    </row>
    <row r="4" ht="14.25" customHeight="1">
      <c r="A4" s="2"/>
      <c r="B4" s="5"/>
      <c r="C4" s="2"/>
      <c r="D4" s="2"/>
      <c r="E4" s="2"/>
      <c r="F4" s="2"/>
      <c r="G4" s="2"/>
      <c r="H4" s="2"/>
      <c r="I4" s="2"/>
      <c r="J4" s="4"/>
      <c r="K4" s="11"/>
      <c r="L4" s="11"/>
      <c r="M4" s="11"/>
      <c r="N4" s="4"/>
      <c r="O4" s="4"/>
      <c r="P4" s="4"/>
      <c r="Q4" s="4"/>
      <c r="R4" s="4"/>
      <c r="S4" s="4"/>
      <c r="T4" s="4"/>
      <c r="U4" s="15" t="s">
        <v>2</v>
      </c>
      <c r="V4" s="2"/>
      <c r="W4" s="16" t="s">
        <v>3</v>
      </c>
      <c r="X4" s="17"/>
      <c r="Y4" s="18"/>
      <c r="Z4" s="2"/>
      <c r="AA4" s="4"/>
      <c r="AB4" s="4"/>
      <c r="AC4" s="4"/>
      <c r="AD4" s="2"/>
      <c r="AE4" s="2"/>
      <c r="AF4" s="2"/>
      <c r="AG4" s="2"/>
      <c r="AH4" s="2"/>
      <c r="AI4" s="5"/>
      <c r="AJ4" s="2"/>
      <c r="AK4" s="2"/>
      <c r="AL4" s="2"/>
      <c r="AM4" s="2"/>
      <c r="AN4" s="2"/>
      <c r="AO4" s="3" t="s">
        <v>4</v>
      </c>
      <c r="AP4" s="14" t="str">
        <f>K6</f>
        <v>Sea</v>
      </c>
      <c r="AQ4" s="14" t="str">
        <f>W5</f>
        <v>SkyRockets</v>
      </c>
    </row>
    <row r="5">
      <c r="A5" s="2"/>
      <c r="B5" s="5"/>
      <c r="C5" s="2"/>
      <c r="D5" s="3"/>
      <c r="E5" s="2"/>
      <c r="F5" s="2"/>
      <c r="G5" s="2"/>
      <c r="H5" s="12" t="s">
        <v>5</v>
      </c>
      <c r="I5" s="2"/>
      <c r="J5" s="12" t="s">
        <v>6</v>
      </c>
      <c r="K5" s="19">
        <v>25.0</v>
      </c>
      <c r="L5" s="19">
        <v>20.0</v>
      </c>
      <c r="M5" s="19">
        <v>15.0</v>
      </c>
      <c r="N5" s="13" t="s">
        <v>7</v>
      </c>
      <c r="P5" s="4"/>
      <c r="Q5" s="4"/>
      <c r="R5" s="4"/>
      <c r="S5" s="4"/>
      <c r="T5" s="4"/>
      <c r="U5" s="22"/>
      <c r="V5" s="2"/>
      <c r="W5" s="23" t="s">
        <v>8</v>
      </c>
      <c r="X5" s="24" t="s">
        <v>9</v>
      </c>
      <c r="Y5" s="25" t="s">
        <v>10</v>
      </c>
      <c r="Z5" s="2"/>
      <c r="AA5" s="4"/>
      <c r="AB5" s="4"/>
      <c r="AC5" s="4"/>
      <c r="AD5" s="2"/>
      <c r="AE5" s="2"/>
      <c r="AF5" s="2"/>
      <c r="AG5" s="2"/>
      <c r="AH5" s="2"/>
      <c r="AI5" s="5"/>
      <c r="AJ5" s="2"/>
      <c r="AK5" s="2"/>
      <c r="AL5" s="2"/>
      <c r="AM5" s="2"/>
      <c r="AN5" s="2"/>
      <c r="AO5" s="3" t="s">
        <v>11</v>
      </c>
      <c r="AP5" s="14" t="str">
        <f>L6</f>
        <v>Air</v>
      </c>
      <c r="AQ5" s="14" t="str">
        <f>X5</f>
        <v>Steady Eddy</v>
      </c>
    </row>
    <row r="6">
      <c r="A6" s="2"/>
      <c r="B6" s="5"/>
      <c r="C6" s="2"/>
      <c r="D6" s="3" t="s">
        <v>13</v>
      </c>
      <c r="E6" s="2"/>
      <c r="F6" s="26">
        <v>120.0</v>
      </c>
      <c r="G6" s="2"/>
      <c r="I6" s="2"/>
      <c r="K6" s="13" t="s">
        <v>14</v>
      </c>
      <c r="L6" s="13" t="s">
        <v>15</v>
      </c>
      <c r="M6" s="13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"/>
      <c r="AA6" s="4"/>
      <c r="AB6" s="4"/>
      <c r="AC6" s="4"/>
      <c r="AD6" s="2"/>
      <c r="AE6" s="2"/>
      <c r="AF6" s="2"/>
      <c r="AG6" s="2"/>
      <c r="AH6" s="2"/>
      <c r="AI6" s="5"/>
      <c r="AJ6" s="2"/>
      <c r="AK6" s="2"/>
      <c r="AL6" s="2"/>
      <c r="AM6" s="2"/>
      <c r="AN6" s="2"/>
      <c r="AO6" s="2"/>
      <c r="AP6" s="14" t="str">
        <f>M6</f>
        <v>Express</v>
      </c>
      <c r="AQ6" s="14" t="str">
        <f>Y5</f>
        <v>Slow Burn</v>
      </c>
    </row>
    <row r="7">
      <c r="A7" s="2"/>
      <c r="B7" s="5"/>
      <c r="C7" s="2"/>
      <c r="D7" s="3" t="s">
        <v>17</v>
      </c>
      <c r="E7" s="2"/>
      <c r="F7" s="28">
        <v>0.6</v>
      </c>
      <c r="G7" s="2"/>
      <c r="H7" s="29">
        <v>2500.0</v>
      </c>
      <c r="I7" s="2"/>
      <c r="J7" s="13" t="s">
        <v>18</v>
      </c>
      <c r="K7" s="29">
        <v>3500.0</v>
      </c>
      <c r="L7" s="29">
        <v>5000.0</v>
      </c>
      <c r="M7" s="29">
        <v>6500.0</v>
      </c>
      <c r="N7" s="4"/>
      <c r="O7" s="4"/>
      <c r="P7" s="4"/>
      <c r="Q7" s="4"/>
      <c r="R7" s="4"/>
      <c r="S7" s="4"/>
      <c r="T7" s="4"/>
      <c r="U7" s="30">
        <v>30.0</v>
      </c>
      <c r="V7" s="2"/>
      <c r="W7" s="31">
        <v>0.4</v>
      </c>
      <c r="X7" s="31">
        <v>0.2</v>
      </c>
      <c r="Y7" s="31">
        <v>0.1</v>
      </c>
      <c r="Z7" s="3" t="s">
        <v>0</v>
      </c>
      <c r="AA7" s="4"/>
      <c r="AB7" s="4"/>
      <c r="AC7" s="4"/>
      <c r="AD7" s="2"/>
      <c r="AE7" s="2"/>
      <c r="AF7" s="2"/>
      <c r="AG7" s="2"/>
      <c r="AH7" s="2"/>
      <c r="AI7" s="5"/>
      <c r="AJ7" s="2"/>
      <c r="AK7" s="2"/>
      <c r="AL7" s="2"/>
      <c r="AM7" s="2"/>
      <c r="AN7" s="2"/>
      <c r="AO7" s="2"/>
      <c r="AP7" s="14"/>
      <c r="AQ7" s="14"/>
    </row>
    <row r="8">
      <c r="A8" s="2"/>
      <c r="B8" s="5"/>
      <c r="C8" s="2"/>
      <c r="D8" s="3" t="s">
        <v>19</v>
      </c>
      <c r="E8" s="2"/>
      <c r="F8" s="28">
        <v>0.06</v>
      </c>
      <c r="G8" s="2"/>
      <c r="H8" s="29">
        <v>4000.0</v>
      </c>
      <c r="I8" s="2"/>
      <c r="J8" s="13" t="s">
        <v>20</v>
      </c>
      <c r="K8" s="29">
        <v>8000.0</v>
      </c>
      <c r="L8" s="29">
        <v>10000.0</v>
      </c>
      <c r="M8" s="29">
        <v>11500.0</v>
      </c>
      <c r="N8" s="4"/>
      <c r="O8" s="4"/>
      <c r="P8" s="4"/>
      <c r="Q8" s="4"/>
      <c r="R8" s="4"/>
      <c r="S8" s="4"/>
      <c r="T8" s="13" t="s">
        <v>0</v>
      </c>
      <c r="U8" s="30">
        <v>60.0</v>
      </c>
      <c r="V8" s="2"/>
      <c r="W8" s="31">
        <v>0.25</v>
      </c>
      <c r="X8" s="31">
        <v>0.3</v>
      </c>
      <c r="Y8" s="31">
        <v>0.3</v>
      </c>
      <c r="Z8" s="2"/>
      <c r="AA8" s="4"/>
      <c r="AB8" s="4"/>
      <c r="AC8" s="4"/>
      <c r="AD8" s="2"/>
      <c r="AE8" s="2"/>
      <c r="AF8" s="2"/>
      <c r="AG8" s="2"/>
      <c r="AH8" s="2"/>
      <c r="AI8" s="5"/>
      <c r="AJ8" s="2"/>
      <c r="AK8" s="2"/>
      <c r="AL8" s="2"/>
      <c r="AM8" s="2"/>
      <c r="AN8" s="2"/>
      <c r="AO8" s="2"/>
      <c r="AP8" s="14"/>
      <c r="AQ8" s="14"/>
    </row>
    <row r="9">
      <c r="A9" s="2"/>
      <c r="B9" s="5"/>
      <c r="C9" s="2"/>
      <c r="D9" s="3" t="s">
        <v>21</v>
      </c>
      <c r="E9" s="2"/>
      <c r="F9" s="28">
        <v>0.1</v>
      </c>
      <c r="G9" s="2"/>
      <c r="H9" s="29">
        <v>6000.0</v>
      </c>
      <c r="I9" s="2"/>
      <c r="J9" s="13" t="s">
        <v>22</v>
      </c>
      <c r="K9" s="29">
        <v>12000.0</v>
      </c>
      <c r="L9" s="29">
        <v>14000.0</v>
      </c>
      <c r="M9" s="29">
        <v>15500.0</v>
      </c>
      <c r="N9" s="4"/>
      <c r="O9" s="4"/>
      <c r="P9" s="4"/>
      <c r="Q9" s="4"/>
      <c r="R9" s="4"/>
      <c r="S9" s="4"/>
      <c r="T9" s="4"/>
      <c r="U9" s="30">
        <v>90.0</v>
      </c>
      <c r="V9" s="2"/>
      <c r="W9" s="31">
        <v>0.2</v>
      </c>
      <c r="X9" s="31">
        <v>0.2</v>
      </c>
      <c r="Y9" s="31">
        <v>0.4</v>
      </c>
      <c r="Z9" s="2"/>
      <c r="AA9" s="4"/>
      <c r="AB9" s="4"/>
      <c r="AC9" s="4"/>
      <c r="AD9" s="2"/>
      <c r="AE9" s="2"/>
      <c r="AF9" s="2"/>
      <c r="AG9" s="2"/>
      <c r="AH9" s="2"/>
      <c r="AI9" s="5"/>
      <c r="AJ9" s="2"/>
      <c r="AK9" s="2"/>
      <c r="AL9" s="2"/>
      <c r="AM9" s="2"/>
      <c r="AN9" s="2"/>
      <c r="AO9" s="2"/>
      <c r="AP9" s="5"/>
      <c r="AQ9" s="5"/>
    </row>
    <row r="10">
      <c r="A10" s="2"/>
      <c r="B10" s="5"/>
      <c r="C10" s="2"/>
      <c r="D10" s="3" t="s">
        <v>23</v>
      </c>
      <c r="E10" s="2"/>
      <c r="F10" s="26">
        <v>91.0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0">
        <v>120.0</v>
      </c>
      <c r="V10" s="2"/>
      <c r="W10" s="31">
        <v>0.15</v>
      </c>
      <c r="X10" s="31">
        <v>0.3</v>
      </c>
      <c r="Y10" s="31">
        <v>0.2</v>
      </c>
      <c r="Z10" s="2"/>
      <c r="AA10" s="4"/>
      <c r="AB10" s="4"/>
      <c r="AC10" s="4"/>
      <c r="AD10" s="2"/>
      <c r="AE10" s="2"/>
      <c r="AF10" s="2"/>
      <c r="AG10" s="2"/>
      <c r="AH10" s="2"/>
      <c r="AI10" s="5"/>
      <c r="AJ10" s="2"/>
      <c r="AK10" s="2"/>
      <c r="AL10" s="2"/>
      <c r="AM10" s="2"/>
      <c r="AN10" s="2"/>
      <c r="AO10" s="2"/>
      <c r="AP10" s="5"/>
      <c r="AQ10" s="5"/>
    </row>
    <row r="11" ht="6.0" customHeight="1">
      <c r="A11" s="2"/>
      <c r="B11" s="5"/>
      <c r="C11" s="2"/>
      <c r="D11" s="2"/>
      <c r="E11" s="2"/>
      <c r="F11" s="2"/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2"/>
      <c r="W11" s="4"/>
      <c r="X11" s="4"/>
      <c r="Y11" s="4"/>
      <c r="Z11" s="2"/>
      <c r="AA11" s="4"/>
      <c r="AB11" s="4"/>
      <c r="AC11" s="4"/>
      <c r="AD11" s="2"/>
      <c r="AE11" s="2"/>
      <c r="AF11" s="2"/>
      <c r="AG11" s="2"/>
      <c r="AH11" s="2"/>
      <c r="AI11" s="5"/>
      <c r="AJ11" s="2"/>
      <c r="AK11" s="2"/>
      <c r="AL11" s="2"/>
      <c r="AM11" s="2"/>
      <c r="AN11" s="2"/>
      <c r="AO11" s="2"/>
      <c r="AP11" s="5"/>
      <c r="AQ11" s="5"/>
    </row>
    <row r="12">
      <c r="A12" s="2"/>
      <c r="B12" s="5"/>
      <c r="C12" s="2"/>
      <c r="D12" s="2"/>
      <c r="E12" s="2"/>
      <c r="F12" s="2"/>
      <c r="G12" s="2"/>
      <c r="H12" s="32" t="s">
        <v>24</v>
      </c>
      <c r="I12" s="33"/>
      <c r="J12" s="34">
        <f t="shared" ref="J12:U12" si="1">J54</f>
        <v>64585.8</v>
      </c>
      <c r="K12" s="34">
        <f t="shared" si="1"/>
        <v>23379.6</v>
      </c>
      <c r="L12" s="34">
        <f t="shared" si="1"/>
        <v>56586.6</v>
      </c>
      <c r="M12" s="34">
        <f t="shared" si="1"/>
        <v>33959.4</v>
      </c>
      <c r="N12" s="34">
        <f t="shared" si="1"/>
        <v>47503.8</v>
      </c>
      <c r="O12" s="34">
        <f t="shared" si="1"/>
        <v>60406.2</v>
      </c>
      <c r="P12" s="34">
        <f t="shared" si="1"/>
        <v>17821.8</v>
      </c>
      <c r="Q12" s="34">
        <f t="shared" si="1"/>
        <v>17206.2</v>
      </c>
      <c r="R12" s="34">
        <f t="shared" si="1"/>
        <v>47119.2</v>
      </c>
      <c r="S12" s="34">
        <f t="shared" si="1"/>
        <v>17749.8</v>
      </c>
      <c r="T12" s="34">
        <f t="shared" si="1"/>
        <v>21619.8</v>
      </c>
      <c r="U12" s="35">
        <f t="shared" si="1"/>
        <v>8024.4</v>
      </c>
      <c r="V12" s="2"/>
      <c r="W12" s="36">
        <f t="shared" ref="W12:Y12" si="2">100%-sum(W7:W10)</f>
        <v>0</v>
      </c>
      <c r="X12" s="36">
        <f t="shared" si="2"/>
        <v>0</v>
      </c>
      <c r="Y12" s="36">
        <f t="shared" si="2"/>
        <v>0</v>
      </c>
      <c r="Z12" s="4"/>
      <c r="AA12" s="4"/>
      <c r="AB12" s="4"/>
      <c r="AC12" s="4"/>
      <c r="AD12" s="2"/>
      <c r="AE12" s="2"/>
      <c r="AF12" s="2"/>
      <c r="AG12" s="2"/>
      <c r="AH12" s="2"/>
      <c r="AI12" s="5"/>
      <c r="AJ12" s="2"/>
      <c r="AK12" s="2"/>
      <c r="AL12" s="2"/>
      <c r="AM12" s="2"/>
      <c r="AN12" s="2"/>
      <c r="AO12" s="2"/>
      <c r="AP12" s="5"/>
      <c r="AQ12" s="5"/>
    </row>
    <row r="13">
      <c r="A13" s="2"/>
      <c r="B13" s="5"/>
      <c r="C13" s="2"/>
      <c r="D13" s="3" t="s">
        <v>25</v>
      </c>
      <c r="E13" s="2"/>
      <c r="F13" s="37">
        <v>9.0</v>
      </c>
      <c r="G13" s="2"/>
      <c r="H13" s="38" t="s">
        <v>26</v>
      </c>
      <c r="I13" s="2"/>
      <c r="J13" s="39">
        <f t="shared" ref="J13:U13" si="3">J75</f>
        <v>0</v>
      </c>
      <c r="K13" s="39">
        <f t="shared" si="3"/>
        <v>0</v>
      </c>
      <c r="L13" s="39">
        <f t="shared" si="3"/>
        <v>0</v>
      </c>
      <c r="M13" s="39">
        <f t="shared" si="3"/>
        <v>44798.62453</v>
      </c>
      <c r="N13" s="39">
        <f t="shared" si="3"/>
        <v>16216.78329</v>
      </c>
      <c r="O13" s="39">
        <f t="shared" si="3"/>
        <v>39250.1424</v>
      </c>
      <c r="P13" s="39">
        <f t="shared" si="3"/>
        <v>23555.24604</v>
      </c>
      <c r="Q13" s="39">
        <f t="shared" si="3"/>
        <v>32950.0432</v>
      </c>
      <c r="R13" s="39">
        <f t="shared" si="3"/>
        <v>41899.53013</v>
      </c>
      <c r="S13" s="39">
        <f t="shared" si="3"/>
        <v>12361.72853</v>
      </c>
      <c r="T13" s="39">
        <f t="shared" si="3"/>
        <v>11934.73013</v>
      </c>
      <c r="U13" s="40">
        <f t="shared" si="3"/>
        <v>32683.27324</v>
      </c>
      <c r="V13" s="2"/>
      <c r="W13" s="16" t="s">
        <v>27</v>
      </c>
      <c r="X13" s="41" t="s">
        <v>27</v>
      </c>
      <c r="Y13" s="41" t="s">
        <v>27</v>
      </c>
      <c r="Z13" s="42"/>
      <c r="AA13" s="43" t="str">
        <f>U4</f>
        <v>Stock Turn Days</v>
      </c>
      <c r="AB13" s="4"/>
      <c r="AC13" s="4"/>
      <c r="AD13" s="2"/>
      <c r="AE13" s="2"/>
      <c r="AF13" s="2"/>
      <c r="AG13" s="2"/>
      <c r="AH13" s="2"/>
      <c r="AI13" s="5"/>
      <c r="AJ13" s="2"/>
      <c r="AK13" s="2"/>
      <c r="AL13" s="2"/>
      <c r="AM13" s="2"/>
      <c r="AN13" s="2"/>
      <c r="AO13" s="2"/>
      <c r="AP13" s="5"/>
      <c r="AQ13" s="5"/>
    </row>
    <row r="14" ht="6.0" customHeight="1">
      <c r="A14" s="2"/>
      <c r="B14" s="5"/>
      <c r="C14" s="2"/>
      <c r="D14" s="2"/>
      <c r="E14" s="2"/>
      <c r="F14" s="2"/>
      <c r="G14" s="2"/>
      <c r="H14" s="44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5"/>
      <c r="V14" s="2"/>
      <c r="W14" s="46"/>
      <c r="X14" s="4"/>
      <c r="Y14" s="4"/>
      <c r="Z14" s="4"/>
      <c r="AA14" s="47"/>
      <c r="AB14" s="4"/>
      <c r="AC14" s="4"/>
      <c r="AD14" s="2"/>
      <c r="AE14" s="2"/>
      <c r="AF14" s="2"/>
      <c r="AG14" s="2"/>
      <c r="AH14" s="2"/>
      <c r="AI14" s="5"/>
      <c r="AJ14" s="2"/>
      <c r="AK14" s="2"/>
      <c r="AL14" s="2"/>
      <c r="AM14" s="2"/>
      <c r="AN14" s="2"/>
      <c r="AO14" s="2"/>
      <c r="AP14" s="5"/>
      <c r="AQ14" s="5"/>
    </row>
    <row r="15" ht="15.0" customHeight="1">
      <c r="A15" s="2"/>
      <c r="B15" s="5"/>
      <c r="C15" s="2"/>
      <c r="D15" s="2"/>
      <c r="E15" s="2"/>
      <c r="F15" s="2"/>
      <c r="G15" s="2"/>
      <c r="H15" s="48" t="s">
        <v>28</v>
      </c>
      <c r="I15" s="49"/>
      <c r="J15" s="50">
        <f t="shared" ref="J15:U15" si="4">sum(J12:J13)</f>
        <v>64585.8</v>
      </c>
      <c r="K15" s="50">
        <f t="shared" si="4"/>
        <v>23379.6</v>
      </c>
      <c r="L15" s="50">
        <f t="shared" si="4"/>
        <v>56586.6</v>
      </c>
      <c r="M15" s="50">
        <f t="shared" si="4"/>
        <v>78758.02453</v>
      </c>
      <c r="N15" s="50">
        <f t="shared" si="4"/>
        <v>63720.58329</v>
      </c>
      <c r="O15" s="50">
        <f t="shared" si="4"/>
        <v>99656.3424</v>
      </c>
      <c r="P15" s="50">
        <f t="shared" si="4"/>
        <v>41377.04604</v>
      </c>
      <c r="Q15" s="50">
        <f t="shared" si="4"/>
        <v>50156.2432</v>
      </c>
      <c r="R15" s="50">
        <f t="shared" si="4"/>
        <v>89018.73013</v>
      </c>
      <c r="S15" s="50">
        <f t="shared" si="4"/>
        <v>30111.52853</v>
      </c>
      <c r="T15" s="50">
        <f t="shared" si="4"/>
        <v>33554.53013</v>
      </c>
      <c r="U15" s="51">
        <f t="shared" si="4"/>
        <v>40707.67324</v>
      </c>
      <c r="V15" s="2"/>
      <c r="W15" s="52">
        <f>U8</f>
        <v>60</v>
      </c>
      <c r="X15" s="53">
        <f>U9</f>
        <v>90</v>
      </c>
      <c r="Y15" s="53">
        <f>U10</f>
        <v>120</v>
      </c>
      <c r="Z15" s="53"/>
      <c r="AA15" s="54"/>
      <c r="AB15" s="4"/>
      <c r="AC15" s="4"/>
      <c r="AD15" s="2"/>
      <c r="AE15" s="2"/>
      <c r="AF15" s="2"/>
      <c r="AG15" s="2"/>
      <c r="AH15" s="2"/>
      <c r="AI15" s="5"/>
      <c r="AJ15" s="2"/>
      <c r="AK15" s="2"/>
      <c r="AL15" s="2"/>
      <c r="AM15" s="2"/>
      <c r="AN15" s="2"/>
      <c r="AO15" s="2"/>
      <c r="AP15" s="5"/>
      <c r="AQ15" s="5"/>
    </row>
    <row r="16" ht="6.75" customHeight="1">
      <c r="A16" s="2"/>
      <c r="B16" s="5"/>
      <c r="C16" s="2"/>
      <c r="D16" s="2"/>
      <c r="E16" s="2"/>
      <c r="F16" s="2"/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"/>
      <c r="W16" s="4"/>
      <c r="X16" s="4"/>
      <c r="Y16" s="4"/>
      <c r="Z16" s="2"/>
      <c r="AA16" s="4"/>
      <c r="AB16" s="4"/>
      <c r="AC16" s="4"/>
      <c r="AD16" s="2"/>
      <c r="AE16" s="2"/>
      <c r="AF16" s="2"/>
      <c r="AG16" s="2"/>
      <c r="AH16" s="2"/>
      <c r="AI16" s="5"/>
      <c r="AJ16" s="2"/>
      <c r="AK16" s="2"/>
      <c r="AL16" s="2"/>
      <c r="AM16" s="2"/>
      <c r="AN16" s="2"/>
      <c r="AO16" s="2"/>
      <c r="AP16" s="5"/>
      <c r="AQ16" s="5"/>
    </row>
    <row r="17">
      <c r="A17" s="2"/>
      <c r="B17" s="5"/>
      <c r="C17" s="2"/>
      <c r="D17" s="55"/>
      <c r="E17" s="2"/>
      <c r="F17" s="55"/>
      <c r="G17" s="56"/>
      <c r="H17" s="57" t="s">
        <v>29</v>
      </c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3"/>
      <c r="W17" s="12"/>
      <c r="X17" s="12"/>
      <c r="Y17" s="12"/>
      <c r="Z17" s="2"/>
      <c r="AA17" s="12"/>
      <c r="AB17" s="12"/>
      <c r="AC17" s="12"/>
      <c r="AD17" s="2"/>
      <c r="AE17" s="2"/>
      <c r="AF17" s="2"/>
      <c r="AG17" s="2"/>
      <c r="AH17" s="2"/>
      <c r="AI17" s="5"/>
      <c r="AJ17" s="2"/>
      <c r="AK17" s="2"/>
      <c r="AL17" s="2"/>
      <c r="AM17" s="2"/>
      <c r="AN17" s="2"/>
      <c r="AO17" s="2"/>
      <c r="AP17" s="5"/>
      <c r="AQ17" s="5"/>
    </row>
    <row r="18" ht="6.0" customHeight="1">
      <c r="A18" s="2"/>
      <c r="B18" s="5"/>
      <c r="C18" s="2"/>
      <c r="D18" s="55"/>
      <c r="E18" s="2"/>
      <c r="F18" s="55"/>
      <c r="G18" s="56"/>
      <c r="H18" s="12"/>
      <c r="I18" s="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3"/>
      <c r="W18" s="12"/>
      <c r="X18" s="12"/>
      <c r="Y18" s="12"/>
      <c r="Z18" s="2"/>
      <c r="AA18" s="12"/>
      <c r="AB18" s="12"/>
      <c r="AC18" s="12"/>
      <c r="AD18" s="2"/>
      <c r="AE18" s="2"/>
      <c r="AF18" s="2"/>
      <c r="AG18" s="2"/>
      <c r="AH18" s="2"/>
      <c r="AI18" s="5"/>
      <c r="AJ18" s="2"/>
      <c r="AK18" s="2"/>
      <c r="AL18" s="2"/>
      <c r="AM18" s="2"/>
      <c r="AN18" s="2"/>
      <c r="AO18" s="2"/>
      <c r="AP18" s="5"/>
      <c r="AQ18" s="5"/>
    </row>
    <row r="19">
      <c r="A19" s="2"/>
      <c r="B19" s="5"/>
      <c r="C19" s="2"/>
      <c r="D19" s="55" t="s">
        <v>30</v>
      </c>
      <c r="E19" s="2"/>
      <c r="F19" s="55" t="s">
        <v>31</v>
      </c>
      <c r="G19" s="56"/>
      <c r="H19" s="12" t="s">
        <v>32</v>
      </c>
      <c r="I19" s="2"/>
      <c r="J19" s="58" t="s">
        <v>33</v>
      </c>
      <c r="K19" s="58" t="s">
        <v>34</v>
      </c>
      <c r="L19" s="58" t="s">
        <v>35</v>
      </c>
      <c r="M19" s="58" t="s">
        <v>36</v>
      </c>
      <c r="N19" s="58" t="s">
        <v>37</v>
      </c>
      <c r="O19" s="58" t="s">
        <v>38</v>
      </c>
      <c r="P19" s="58" t="s">
        <v>39</v>
      </c>
      <c r="Q19" s="58" t="s">
        <v>40</v>
      </c>
      <c r="R19" s="58" t="s">
        <v>41</v>
      </c>
      <c r="S19" s="58" t="s">
        <v>42</v>
      </c>
      <c r="T19" s="58" t="s">
        <v>43</v>
      </c>
      <c r="U19" s="58" t="s">
        <v>44</v>
      </c>
      <c r="V19" s="3"/>
      <c r="W19" s="59" t="s">
        <v>45</v>
      </c>
      <c r="X19" s="60" t="s">
        <v>46</v>
      </c>
      <c r="Y19" s="61" t="s">
        <v>47</v>
      </c>
      <c r="Z19" s="2"/>
      <c r="AA19" s="12" t="s">
        <v>48</v>
      </c>
      <c r="AB19" s="12" t="s">
        <v>49</v>
      </c>
      <c r="AC19" s="12" t="s">
        <v>50</v>
      </c>
      <c r="AD19" s="2"/>
      <c r="AE19" s="2"/>
      <c r="AF19" s="2"/>
      <c r="AG19" s="2"/>
      <c r="AH19" s="2"/>
      <c r="AI19" s="5"/>
      <c r="AJ19" s="2"/>
      <c r="AK19" s="2"/>
      <c r="AL19" s="2"/>
      <c r="AM19" s="2"/>
      <c r="AN19" s="2"/>
      <c r="AO19" s="2"/>
      <c r="AP19" s="5"/>
      <c r="AQ19" s="5"/>
    </row>
    <row r="20" ht="6.0" customHeight="1">
      <c r="A20" s="2"/>
      <c r="B20" s="5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"/>
      <c r="W20" s="4"/>
      <c r="X20" s="4"/>
      <c r="Y20" s="4"/>
      <c r="Z20" s="2"/>
      <c r="AA20" s="4"/>
      <c r="AB20" s="4"/>
      <c r="AC20" s="4"/>
      <c r="AD20" s="2"/>
      <c r="AE20" s="2"/>
      <c r="AF20" s="2"/>
      <c r="AG20" s="2"/>
      <c r="AH20" s="2"/>
      <c r="AI20" s="5"/>
      <c r="AJ20" s="2"/>
      <c r="AK20" s="2"/>
      <c r="AL20" s="2"/>
      <c r="AM20" s="2"/>
      <c r="AN20" s="2"/>
      <c r="AO20" s="2"/>
      <c r="AP20" s="5"/>
      <c r="AQ20" s="5"/>
    </row>
    <row r="21">
      <c r="A21" s="2"/>
      <c r="B21" s="5"/>
      <c r="C21" s="2"/>
      <c r="D21" s="26" t="s">
        <v>51</v>
      </c>
      <c r="E21" s="2"/>
      <c r="F21" s="62">
        <v>145.0</v>
      </c>
      <c r="G21" s="2"/>
      <c r="H21" s="26" t="s">
        <v>8</v>
      </c>
      <c r="I21" s="2"/>
      <c r="J21" s="63">
        <v>34.0</v>
      </c>
      <c r="K21" s="63">
        <v>12.0</v>
      </c>
      <c r="L21" s="63">
        <v>35.0</v>
      </c>
      <c r="M21" s="63">
        <v>24.0</v>
      </c>
      <c r="N21" s="63">
        <v>12.0</v>
      </c>
      <c r="O21" s="63">
        <v>46.0</v>
      </c>
      <c r="P21" s="63">
        <v>14.0</v>
      </c>
      <c r="Q21" s="63">
        <v>12.0</v>
      </c>
      <c r="R21" s="63">
        <v>36.0</v>
      </c>
      <c r="S21" s="63">
        <v>4.0</v>
      </c>
      <c r="T21" s="63">
        <v>2.0</v>
      </c>
      <c r="U21" s="63">
        <v>16.0</v>
      </c>
      <c r="V21" s="2"/>
      <c r="W21" s="64">
        <v>1.85</v>
      </c>
      <c r="X21" s="64">
        <v>1.52</v>
      </c>
      <c r="Y21" s="64">
        <v>1.22</v>
      </c>
      <c r="Z21" s="2"/>
      <c r="AA21" s="39">
        <f t="shared" ref="AA21:AA40" si="5">(F21*W21)+F21</f>
        <v>413.25</v>
      </c>
      <c r="AB21" s="39">
        <f t="shared" ref="AB21:AB40" si="6">(F21*X21)+F21</f>
        <v>365.4</v>
      </c>
      <c r="AC21" s="39">
        <f t="shared" ref="AC21:AC40" si="7">(F21*Y21)+F21</f>
        <v>321.9</v>
      </c>
      <c r="AD21" s="2"/>
      <c r="AE21" s="2"/>
      <c r="AF21" s="2"/>
      <c r="AG21" s="2"/>
      <c r="AH21" s="2"/>
      <c r="AI21" s="5"/>
      <c r="AJ21" s="2"/>
      <c r="AK21" s="2"/>
      <c r="AL21" s="2"/>
      <c r="AM21" s="2"/>
      <c r="AN21" s="2"/>
      <c r="AO21" s="2"/>
      <c r="AP21" s="5"/>
      <c r="AQ21" s="5"/>
    </row>
    <row r="22">
      <c r="A22" s="2"/>
      <c r="B22" s="5"/>
      <c r="C22" s="2"/>
      <c r="D22" s="26" t="s">
        <v>52</v>
      </c>
      <c r="E22" s="2"/>
      <c r="F22" s="62">
        <v>146.0</v>
      </c>
      <c r="G22" s="2"/>
      <c r="H22" s="26" t="s">
        <v>9</v>
      </c>
      <c r="I22" s="2"/>
      <c r="J22" s="63">
        <v>33.0</v>
      </c>
      <c r="K22" s="63">
        <v>14.0</v>
      </c>
      <c r="L22" s="63">
        <v>35.0</v>
      </c>
      <c r="M22" s="63">
        <v>23.0</v>
      </c>
      <c r="N22" s="63">
        <v>14.0</v>
      </c>
      <c r="O22" s="63">
        <v>45.0</v>
      </c>
      <c r="P22" s="63">
        <v>13.0</v>
      </c>
      <c r="Q22" s="63"/>
      <c r="R22" s="63">
        <v>25.0</v>
      </c>
      <c r="S22" s="63">
        <v>3.0</v>
      </c>
      <c r="T22" s="63"/>
      <c r="U22" s="63">
        <v>15.0</v>
      </c>
      <c r="V22" s="2"/>
      <c r="W22" s="64">
        <v>1.85</v>
      </c>
      <c r="X22" s="64">
        <v>1.52</v>
      </c>
      <c r="Y22" s="64">
        <v>1.22</v>
      </c>
      <c r="Z22" s="2"/>
      <c r="AA22" s="39">
        <f t="shared" si="5"/>
        <v>416.1</v>
      </c>
      <c r="AB22" s="39">
        <f t="shared" si="6"/>
        <v>367.92</v>
      </c>
      <c r="AC22" s="39">
        <f t="shared" si="7"/>
        <v>324.12</v>
      </c>
      <c r="AD22" s="2"/>
      <c r="AE22" s="2"/>
      <c r="AF22" s="2"/>
      <c r="AG22" s="2"/>
      <c r="AH22" s="2"/>
      <c r="AI22" s="5"/>
      <c r="AJ22" s="2"/>
      <c r="AK22" s="2"/>
      <c r="AL22" s="2"/>
      <c r="AM22" s="2"/>
      <c r="AN22" s="2"/>
      <c r="AO22" s="2"/>
      <c r="AP22" s="5"/>
      <c r="AQ22" s="5"/>
    </row>
    <row r="23">
      <c r="A23" s="2"/>
      <c r="B23" s="5"/>
      <c r="C23" s="2"/>
      <c r="D23" s="26" t="s">
        <v>53</v>
      </c>
      <c r="E23" s="2"/>
      <c r="F23" s="62">
        <v>147.0</v>
      </c>
      <c r="G23" s="2"/>
      <c r="H23" s="26" t="s">
        <v>10</v>
      </c>
      <c r="I23" s="2"/>
      <c r="J23" s="63">
        <v>35.0</v>
      </c>
      <c r="K23" s="63"/>
      <c r="L23" s="63">
        <v>34.0</v>
      </c>
      <c r="M23" s="63"/>
      <c r="N23" s="63">
        <v>16.0</v>
      </c>
      <c r="O23" s="63">
        <v>44.0</v>
      </c>
      <c r="P23" s="63">
        <v>15.0</v>
      </c>
      <c r="Q23" s="63"/>
      <c r="R23" s="63"/>
      <c r="S23" s="63">
        <v>5.0</v>
      </c>
      <c r="T23" s="63"/>
      <c r="U23" s="63"/>
      <c r="V23" s="2"/>
      <c r="W23" s="64">
        <v>1.85</v>
      </c>
      <c r="X23" s="64">
        <v>1.52</v>
      </c>
      <c r="Y23" s="64">
        <v>1.22</v>
      </c>
      <c r="Z23" s="2"/>
      <c r="AA23" s="39">
        <f t="shared" si="5"/>
        <v>418.95</v>
      </c>
      <c r="AB23" s="39">
        <f t="shared" si="6"/>
        <v>370.44</v>
      </c>
      <c r="AC23" s="39">
        <f t="shared" si="7"/>
        <v>326.34</v>
      </c>
      <c r="AD23" s="2"/>
      <c r="AE23" s="2"/>
      <c r="AF23" s="2"/>
      <c r="AG23" s="2"/>
      <c r="AH23" s="2"/>
      <c r="AI23" s="5"/>
      <c r="AJ23" s="2"/>
      <c r="AK23" s="2"/>
      <c r="AL23" s="2"/>
      <c r="AM23" s="2"/>
      <c r="AN23" s="2"/>
      <c r="AO23" s="2"/>
      <c r="AP23" s="5"/>
      <c r="AQ23" s="5"/>
    </row>
    <row r="24">
      <c r="A24" s="2"/>
      <c r="B24" s="5"/>
      <c r="C24" s="2"/>
      <c r="D24" s="26" t="s">
        <v>54</v>
      </c>
      <c r="E24" s="2"/>
      <c r="F24" s="62">
        <v>148.0</v>
      </c>
      <c r="G24" s="2"/>
      <c r="H24" s="26" t="s">
        <v>9</v>
      </c>
      <c r="I24" s="2"/>
      <c r="J24" s="63">
        <v>38.0</v>
      </c>
      <c r="K24" s="63"/>
      <c r="L24" s="63">
        <v>39.0</v>
      </c>
      <c r="M24" s="63"/>
      <c r="N24" s="63">
        <v>18.0</v>
      </c>
      <c r="O24" s="63">
        <v>49.0</v>
      </c>
      <c r="P24" s="63"/>
      <c r="Q24" s="63"/>
      <c r="R24" s="63"/>
      <c r="S24" s="63">
        <v>8.0</v>
      </c>
      <c r="T24" s="63">
        <v>18.0</v>
      </c>
      <c r="U24" s="63"/>
      <c r="V24" s="2"/>
      <c r="W24" s="64">
        <v>1.85</v>
      </c>
      <c r="X24" s="64">
        <v>1.52</v>
      </c>
      <c r="Y24" s="64">
        <v>1.22</v>
      </c>
      <c r="Z24" s="2"/>
      <c r="AA24" s="39">
        <f t="shared" si="5"/>
        <v>421.8</v>
      </c>
      <c r="AB24" s="39">
        <f t="shared" si="6"/>
        <v>372.96</v>
      </c>
      <c r="AC24" s="39">
        <f t="shared" si="7"/>
        <v>328.56</v>
      </c>
      <c r="AD24" s="2"/>
      <c r="AE24" s="2"/>
      <c r="AF24" s="2"/>
      <c r="AG24" s="2"/>
      <c r="AH24" s="2"/>
      <c r="AI24" s="5"/>
      <c r="AJ24" s="2"/>
      <c r="AK24" s="2"/>
      <c r="AL24" s="2"/>
      <c r="AM24" s="2"/>
      <c r="AN24" s="2"/>
      <c r="AO24" s="2"/>
      <c r="AP24" s="5"/>
      <c r="AQ24" s="5"/>
    </row>
    <row r="25">
      <c r="A25" s="2"/>
      <c r="B25" s="5"/>
      <c r="C25" s="2"/>
      <c r="D25" s="26" t="s">
        <v>55</v>
      </c>
      <c r="E25" s="2"/>
      <c r="F25" s="62">
        <v>149.0</v>
      </c>
      <c r="G25" s="2"/>
      <c r="H25" s="26" t="s">
        <v>8</v>
      </c>
      <c r="I25" s="2"/>
      <c r="J25" s="63">
        <v>36.0</v>
      </c>
      <c r="K25" s="63"/>
      <c r="L25" s="63">
        <v>38.0</v>
      </c>
      <c r="M25" s="63">
        <v>26.0</v>
      </c>
      <c r="N25" s="63">
        <v>11.0</v>
      </c>
      <c r="O25" s="63">
        <v>48.0</v>
      </c>
      <c r="P25" s="63"/>
      <c r="Q25" s="63">
        <v>11.0</v>
      </c>
      <c r="R25" s="63">
        <v>28.0</v>
      </c>
      <c r="S25" s="63">
        <v>6.0</v>
      </c>
      <c r="T25" s="63">
        <v>17.0</v>
      </c>
      <c r="U25" s="63"/>
      <c r="V25" s="2"/>
      <c r="W25" s="64">
        <v>1.85</v>
      </c>
      <c r="X25" s="64">
        <v>1.52</v>
      </c>
      <c r="Y25" s="64">
        <v>1.22</v>
      </c>
      <c r="Z25" s="2"/>
      <c r="AA25" s="39">
        <f t="shared" si="5"/>
        <v>424.65</v>
      </c>
      <c r="AB25" s="39">
        <f t="shared" si="6"/>
        <v>375.48</v>
      </c>
      <c r="AC25" s="39">
        <f t="shared" si="7"/>
        <v>330.78</v>
      </c>
      <c r="AD25" s="2"/>
      <c r="AE25" s="2"/>
      <c r="AF25" s="2"/>
      <c r="AG25" s="2"/>
      <c r="AH25" s="2"/>
      <c r="AI25" s="5"/>
      <c r="AJ25" s="2"/>
      <c r="AK25" s="2"/>
      <c r="AL25" s="2"/>
      <c r="AM25" s="2"/>
      <c r="AN25" s="2"/>
      <c r="AO25" s="2"/>
      <c r="AP25" s="5"/>
      <c r="AQ25" s="5"/>
    </row>
    <row r="26">
      <c r="A26" s="2"/>
      <c r="B26" s="5"/>
      <c r="C26" s="2"/>
      <c r="D26" s="26" t="s">
        <v>56</v>
      </c>
      <c r="E26" s="2"/>
      <c r="F26" s="62">
        <v>150.0</v>
      </c>
      <c r="G26" s="2"/>
      <c r="H26" s="26" t="s">
        <v>10</v>
      </c>
      <c r="I26" s="2"/>
      <c r="J26" s="63">
        <v>35.0</v>
      </c>
      <c r="K26" s="63">
        <v>13.0</v>
      </c>
      <c r="L26" s="63"/>
      <c r="M26" s="63">
        <v>25.0</v>
      </c>
      <c r="N26" s="63"/>
      <c r="O26" s="63">
        <v>47.0</v>
      </c>
      <c r="P26" s="63"/>
      <c r="Q26" s="63">
        <v>13.0</v>
      </c>
      <c r="R26" s="63">
        <v>37.0</v>
      </c>
      <c r="S26" s="63"/>
      <c r="T26" s="63">
        <v>13.0</v>
      </c>
      <c r="U26" s="63">
        <v>17.0</v>
      </c>
      <c r="V26" s="2"/>
      <c r="W26" s="64">
        <v>1.85</v>
      </c>
      <c r="X26" s="64">
        <v>1.52</v>
      </c>
      <c r="Y26" s="64">
        <v>1.22</v>
      </c>
      <c r="Z26" s="2"/>
      <c r="AA26" s="39">
        <f t="shared" si="5"/>
        <v>427.5</v>
      </c>
      <c r="AB26" s="39">
        <f t="shared" si="6"/>
        <v>378</v>
      </c>
      <c r="AC26" s="39">
        <f t="shared" si="7"/>
        <v>333</v>
      </c>
      <c r="AD26" s="2"/>
      <c r="AE26" s="2"/>
      <c r="AF26" s="2"/>
      <c r="AG26" s="2"/>
      <c r="AH26" s="2"/>
      <c r="AI26" s="5"/>
      <c r="AJ26" s="2"/>
      <c r="AK26" s="2"/>
      <c r="AL26" s="2"/>
      <c r="AM26" s="2"/>
      <c r="AN26" s="2"/>
      <c r="AO26" s="2"/>
      <c r="AP26" s="5"/>
      <c r="AQ26" s="5"/>
    </row>
    <row r="27">
      <c r="A27" s="2"/>
      <c r="B27" s="5"/>
      <c r="C27" s="2"/>
      <c r="D27" s="26" t="s">
        <v>57</v>
      </c>
      <c r="E27" s="2"/>
      <c r="F27" s="62">
        <v>151.0</v>
      </c>
      <c r="G27" s="2"/>
      <c r="H27" s="26" t="s">
        <v>8</v>
      </c>
      <c r="I27" s="2"/>
      <c r="J27" s="63">
        <v>34.0</v>
      </c>
      <c r="K27" s="63">
        <v>15.0</v>
      </c>
      <c r="L27" s="63"/>
      <c r="M27" s="63">
        <v>24.0</v>
      </c>
      <c r="N27" s="63"/>
      <c r="O27" s="63"/>
      <c r="P27" s="63"/>
      <c r="Q27" s="63">
        <v>15.0</v>
      </c>
      <c r="R27" s="63">
        <v>33.0</v>
      </c>
      <c r="S27" s="63"/>
      <c r="T27" s="63">
        <v>15.0</v>
      </c>
      <c r="U27" s="63">
        <v>3.0</v>
      </c>
      <c r="V27" s="2"/>
      <c r="W27" s="64">
        <v>1.85</v>
      </c>
      <c r="X27" s="64">
        <v>1.52</v>
      </c>
      <c r="Y27" s="64">
        <v>1.22</v>
      </c>
      <c r="Z27" s="2"/>
      <c r="AA27" s="39">
        <f t="shared" si="5"/>
        <v>430.35</v>
      </c>
      <c r="AB27" s="39">
        <f t="shared" si="6"/>
        <v>380.52</v>
      </c>
      <c r="AC27" s="39">
        <f t="shared" si="7"/>
        <v>335.22</v>
      </c>
      <c r="AD27" s="2"/>
      <c r="AE27" s="2"/>
      <c r="AF27" s="2"/>
      <c r="AG27" s="2"/>
      <c r="AH27" s="2"/>
      <c r="AI27" s="5"/>
      <c r="AJ27" s="2"/>
      <c r="AK27" s="2"/>
      <c r="AL27" s="2"/>
      <c r="AM27" s="2"/>
      <c r="AN27" s="2"/>
      <c r="AO27" s="2"/>
      <c r="AP27" s="5"/>
      <c r="AQ27" s="5"/>
    </row>
    <row r="28">
      <c r="A28" s="2"/>
      <c r="B28" s="5"/>
      <c r="C28" s="2"/>
      <c r="D28" s="26" t="s">
        <v>58</v>
      </c>
      <c r="E28" s="2"/>
      <c r="F28" s="62">
        <v>152.0</v>
      </c>
      <c r="G28" s="2"/>
      <c r="H28" s="26" t="s">
        <v>8</v>
      </c>
      <c r="I28" s="2"/>
      <c r="J28" s="63">
        <v>37.0</v>
      </c>
      <c r="K28" s="63">
        <v>17.0</v>
      </c>
      <c r="L28" s="63"/>
      <c r="M28" s="63">
        <v>27.0</v>
      </c>
      <c r="N28" s="63">
        <v>37.0</v>
      </c>
      <c r="O28" s="63"/>
      <c r="P28" s="63"/>
      <c r="Q28" s="63">
        <v>17.0</v>
      </c>
      <c r="R28" s="63"/>
      <c r="S28" s="63">
        <v>27.0</v>
      </c>
      <c r="T28" s="63">
        <v>17.0</v>
      </c>
      <c r="U28" s="63">
        <v>5.0</v>
      </c>
      <c r="V28" s="2"/>
      <c r="W28" s="64">
        <v>1.85</v>
      </c>
      <c r="X28" s="64">
        <v>1.52</v>
      </c>
      <c r="Y28" s="64">
        <v>1.22</v>
      </c>
      <c r="Z28" s="2"/>
      <c r="AA28" s="39">
        <f t="shared" si="5"/>
        <v>433.2</v>
      </c>
      <c r="AB28" s="39">
        <f t="shared" si="6"/>
        <v>383.04</v>
      </c>
      <c r="AC28" s="39">
        <f t="shared" si="7"/>
        <v>337.44</v>
      </c>
      <c r="AD28" s="2"/>
      <c r="AE28" s="2"/>
      <c r="AF28" s="2"/>
      <c r="AG28" s="2"/>
      <c r="AH28" s="2"/>
      <c r="AI28" s="5"/>
      <c r="AJ28" s="2"/>
      <c r="AK28" s="2"/>
      <c r="AL28" s="2"/>
      <c r="AM28" s="2"/>
      <c r="AN28" s="2"/>
      <c r="AO28" s="2"/>
      <c r="AP28" s="5"/>
      <c r="AQ28" s="5"/>
    </row>
    <row r="29">
      <c r="A29" s="2"/>
      <c r="B29" s="5"/>
      <c r="C29" s="2"/>
      <c r="D29" s="26" t="s">
        <v>59</v>
      </c>
      <c r="E29" s="2"/>
      <c r="F29" s="62">
        <v>153.0</v>
      </c>
      <c r="G29" s="2"/>
      <c r="H29" s="26" t="s">
        <v>9</v>
      </c>
      <c r="I29" s="2"/>
      <c r="J29" s="63">
        <v>34.0</v>
      </c>
      <c r="K29" s="63">
        <v>12.0</v>
      </c>
      <c r="L29" s="63">
        <v>37.0</v>
      </c>
      <c r="M29" s="63">
        <v>24.0</v>
      </c>
      <c r="N29" s="63">
        <v>32.0</v>
      </c>
      <c r="O29" s="63"/>
      <c r="P29" s="63"/>
      <c r="Q29" s="63">
        <v>12.0</v>
      </c>
      <c r="R29" s="63"/>
      <c r="S29" s="63">
        <v>24.0</v>
      </c>
      <c r="T29" s="63">
        <v>12.0</v>
      </c>
      <c r="U29" s="63">
        <v>7.0</v>
      </c>
      <c r="V29" s="2"/>
      <c r="W29" s="64">
        <v>1.85</v>
      </c>
      <c r="X29" s="64">
        <v>1.52</v>
      </c>
      <c r="Y29" s="64">
        <v>1.22</v>
      </c>
      <c r="Z29" s="2"/>
      <c r="AA29" s="39">
        <f t="shared" si="5"/>
        <v>436.05</v>
      </c>
      <c r="AB29" s="39">
        <f t="shared" si="6"/>
        <v>385.56</v>
      </c>
      <c r="AC29" s="39">
        <f t="shared" si="7"/>
        <v>339.66</v>
      </c>
      <c r="AD29" s="2"/>
      <c r="AE29" s="2"/>
      <c r="AF29" s="2"/>
      <c r="AG29" s="2"/>
      <c r="AH29" s="2"/>
      <c r="AI29" s="5"/>
      <c r="AJ29" s="2"/>
      <c r="AK29" s="2"/>
      <c r="AL29" s="2"/>
      <c r="AM29" s="2"/>
      <c r="AN29" s="2"/>
      <c r="AO29" s="2"/>
      <c r="AP29" s="5"/>
      <c r="AQ29" s="5"/>
    </row>
    <row r="30">
      <c r="A30" s="2"/>
      <c r="B30" s="5"/>
      <c r="C30" s="2"/>
      <c r="D30" s="26" t="s">
        <v>60</v>
      </c>
      <c r="E30" s="2"/>
      <c r="F30" s="62">
        <v>154.0</v>
      </c>
      <c r="G30" s="2"/>
      <c r="H30" s="26" t="s">
        <v>9</v>
      </c>
      <c r="I30" s="2"/>
      <c r="J30" s="63">
        <v>33.0</v>
      </c>
      <c r="K30" s="63">
        <v>14.0</v>
      </c>
      <c r="L30" s="63">
        <v>31.0</v>
      </c>
      <c r="M30" s="63">
        <v>23.0</v>
      </c>
      <c r="N30" s="63">
        <v>34.0</v>
      </c>
      <c r="O30" s="63">
        <v>31.0</v>
      </c>
      <c r="P30" s="63"/>
      <c r="Q30" s="63">
        <v>14.0</v>
      </c>
      <c r="R30" s="63">
        <v>41.0</v>
      </c>
      <c r="S30" s="63">
        <v>23.0</v>
      </c>
      <c r="T30" s="63"/>
      <c r="U30" s="63">
        <v>1.0</v>
      </c>
      <c r="V30" s="2"/>
      <c r="W30" s="64">
        <v>1.85</v>
      </c>
      <c r="X30" s="64">
        <v>1.52</v>
      </c>
      <c r="Y30" s="64">
        <v>1.22</v>
      </c>
      <c r="Z30" s="2"/>
      <c r="AA30" s="39">
        <f t="shared" si="5"/>
        <v>438.9</v>
      </c>
      <c r="AB30" s="39">
        <f t="shared" si="6"/>
        <v>388.08</v>
      </c>
      <c r="AC30" s="39">
        <f t="shared" si="7"/>
        <v>341.88</v>
      </c>
      <c r="AD30" s="2"/>
      <c r="AE30" s="2"/>
      <c r="AF30" s="2"/>
      <c r="AG30" s="2"/>
      <c r="AH30" s="2"/>
      <c r="AI30" s="5"/>
      <c r="AJ30" s="2"/>
      <c r="AK30" s="2"/>
      <c r="AL30" s="2"/>
      <c r="AM30" s="2"/>
      <c r="AN30" s="2"/>
      <c r="AO30" s="2"/>
      <c r="AP30" s="5"/>
      <c r="AQ30" s="5"/>
    </row>
    <row r="31">
      <c r="A31" s="2"/>
      <c r="B31" s="5"/>
      <c r="C31" s="2"/>
      <c r="D31" s="26" t="s">
        <v>61</v>
      </c>
      <c r="E31" s="2"/>
      <c r="F31" s="62">
        <v>155.0</v>
      </c>
      <c r="G31" s="2"/>
      <c r="H31" s="26" t="s">
        <v>9</v>
      </c>
      <c r="I31" s="2"/>
      <c r="J31" s="63">
        <v>35.0</v>
      </c>
      <c r="K31" s="63">
        <v>16.0</v>
      </c>
      <c r="L31" s="63">
        <v>35.0</v>
      </c>
      <c r="M31" s="63"/>
      <c r="N31" s="63">
        <v>36.0</v>
      </c>
      <c r="O31" s="63">
        <v>35.0</v>
      </c>
      <c r="P31" s="63">
        <v>15.0</v>
      </c>
      <c r="Q31" s="63">
        <v>16.0</v>
      </c>
      <c r="R31" s="63">
        <v>55.0</v>
      </c>
      <c r="S31" s="63">
        <v>25.0</v>
      </c>
      <c r="T31" s="63"/>
      <c r="U31" s="63">
        <v>5.0</v>
      </c>
      <c r="V31" s="2"/>
      <c r="W31" s="64">
        <v>1.85</v>
      </c>
      <c r="X31" s="64">
        <v>1.52</v>
      </c>
      <c r="Y31" s="64">
        <v>1.22</v>
      </c>
      <c r="Z31" s="2"/>
      <c r="AA31" s="39">
        <f t="shared" si="5"/>
        <v>441.75</v>
      </c>
      <c r="AB31" s="39">
        <f t="shared" si="6"/>
        <v>390.6</v>
      </c>
      <c r="AC31" s="39">
        <f t="shared" si="7"/>
        <v>344.1</v>
      </c>
      <c r="AD31" s="2"/>
      <c r="AE31" s="2"/>
      <c r="AF31" s="2"/>
      <c r="AG31" s="2"/>
      <c r="AH31" s="2"/>
      <c r="AI31" s="5"/>
      <c r="AJ31" s="2"/>
      <c r="AK31" s="2"/>
      <c r="AL31" s="2"/>
      <c r="AM31" s="2"/>
      <c r="AN31" s="2"/>
      <c r="AO31" s="2"/>
      <c r="AP31" s="5"/>
      <c r="AQ31" s="5"/>
    </row>
    <row r="32">
      <c r="A32" s="2"/>
      <c r="B32" s="5"/>
      <c r="C32" s="2"/>
      <c r="D32" s="26" t="s">
        <v>62</v>
      </c>
      <c r="E32" s="2"/>
      <c r="F32" s="62">
        <v>156.0</v>
      </c>
      <c r="G32" s="2"/>
      <c r="H32" s="26" t="s">
        <v>9</v>
      </c>
      <c r="I32" s="2"/>
      <c r="J32" s="63">
        <v>38.0</v>
      </c>
      <c r="K32" s="63">
        <v>18.0</v>
      </c>
      <c r="L32" s="63">
        <v>39.0</v>
      </c>
      <c r="M32" s="63"/>
      <c r="N32" s="63">
        <v>38.0</v>
      </c>
      <c r="O32" s="63">
        <v>39.0</v>
      </c>
      <c r="P32" s="63">
        <v>18.0</v>
      </c>
      <c r="Q32" s="63">
        <v>18.0</v>
      </c>
      <c r="R32" s="63">
        <v>69.0</v>
      </c>
      <c r="S32" s="63">
        <v>28.0</v>
      </c>
      <c r="T32" s="63">
        <v>18.0</v>
      </c>
      <c r="U32" s="63"/>
      <c r="V32" s="2"/>
      <c r="W32" s="64">
        <v>1.85</v>
      </c>
      <c r="X32" s="64">
        <v>1.52</v>
      </c>
      <c r="Y32" s="64">
        <v>1.22</v>
      </c>
      <c r="Z32" s="2"/>
      <c r="AA32" s="39">
        <f t="shared" si="5"/>
        <v>444.6</v>
      </c>
      <c r="AB32" s="39">
        <f t="shared" si="6"/>
        <v>393.12</v>
      </c>
      <c r="AC32" s="39">
        <f t="shared" si="7"/>
        <v>346.32</v>
      </c>
      <c r="AD32" s="2"/>
      <c r="AE32" s="2"/>
      <c r="AF32" s="2"/>
      <c r="AG32" s="2"/>
      <c r="AH32" s="2"/>
      <c r="AI32" s="5"/>
      <c r="AJ32" s="2"/>
      <c r="AK32" s="2"/>
      <c r="AL32" s="2"/>
      <c r="AM32" s="2"/>
      <c r="AN32" s="2"/>
      <c r="AO32" s="2"/>
      <c r="AP32" s="5"/>
      <c r="AQ32" s="5"/>
    </row>
    <row r="33">
      <c r="A33" s="2"/>
      <c r="B33" s="5"/>
      <c r="C33" s="2"/>
      <c r="D33" s="26" t="s">
        <v>63</v>
      </c>
      <c r="E33" s="2"/>
      <c r="F33" s="62">
        <v>157.0</v>
      </c>
      <c r="G33" s="2"/>
      <c r="H33" s="26" t="s">
        <v>9</v>
      </c>
      <c r="I33" s="2"/>
      <c r="J33" s="63">
        <v>36.0</v>
      </c>
      <c r="K33" s="63">
        <v>13.0</v>
      </c>
      <c r="L33" s="63">
        <v>38.0</v>
      </c>
      <c r="M33" s="63"/>
      <c r="N33" s="63">
        <v>33.0</v>
      </c>
      <c r="O33" s="63">
        <v>38.0</v>
      </c>
      <c r="P33" s="63">
        <v>16.0</v>
      </c>
      <c r="Q33" s="63">
        <v>13.0</v>
      </c>
      <c r="R33" s="63"/>
      <c r="S33" s="63">
        <v>26.0</v>
      </c>
      <c r="T33" s="63">
        <v>13.0</v>
      </c>
      <c r="U33" s="63"/>
      <c r="V33" s="2"/>
      <c r="W33" s="64">
        <v>1.85</v>
      </c>
      <c r="X33" s="64">
        <v>1.52</v>
      </c>
      <c r="Y33" s="64">
        <v>1.22</v>
      </c>
      <c r="Z33" s="2"/>
      <c r="AA33" s="39">
        <f t="shared" si="5"/>
        <v>447.45</v>
      </c>
      <c r="AB33" s="39">
        <f t="shared" si="6"/>
        <v>395.64</v>
      </c>
      <c r="AC33" s="39">
        <f t="shared" si="7"/>
        <v>348.54</v>
      </c>
      <c r="AD33" s="2"/>
      <c r="AE33" s="2"/>
      <c r="AF33" s="2"/>
      <c r="AG33" s="2"/>
      <c r="AH33" s="2"/>
      <c r="AI33" s="5"/>
      <c r="AJ33" s="2"/>
      <c r="AK33" s="2"/>
      <c r="AL33" s="2"/>
      <c r="AM33" s="2"/>
      <c r="AN33" s="2"/>
      <c r="AO33" s="2"/>
      <c r="AP33" s="5"/>
      <c r="AQ33" s="5"/>
    </row>
    <row r="34">
      <c r="A34" s="2"/>
      <c r="B34" s="5"/>
      <c r="C34" s="2"/>
      <c r="D34" s="26" t="s">
        <v>64</v>
      </c>
      <c r="E34" s="2"/>
      <c r="F34" s="62">
        <v>158.0</v>
      </c>
      <c r="G34" s="2"/>
      <c r="H34" s="26" t="s">
        <v>8</v>
      </c>
      <c r="I34" s="2"/>
      <c r="J34" s="63">
        <v>35.0</v>
      </c>
      <c r="K34" s="63">
        <v>15.0</v>
      </c>
      <c r="L34" s="63">
        <v>35.0</v>
      </c>
      <c r="M34" s="63">
        <v>25.0</v>
      </c>
      <c r="N34" s="63"/>
      <c r="O34" s="63"/>
      <c r="P34" s="63">
        <v>15.0</v>
      </c>
      <c r="Q34" s="63"/>
      <c r="R34" s="63"/>
      <c r="S34" s="63"/>
      <c r="T34" s="63">
        <v>15.0</v>
      </c>
      <c r="U34" s="63"/>
      <c r="V34" s="2"/>
      <c r="W34" s="64">
        <v>1.85</v>
      </c>
      <c r="X34" s="64">
        <v>1.52</v>
      </c>
      <c r="Y34" s="64">
        <v>1.22</v>
      </c>
      <c r="Z34" s="2"/>
      <c r="AA34" s="39">
        <f t="shared" si="5"/>
        <v>450.3</v>
      </c>
      <c r="AB34" s="39">
        <f t="shared" si="6"/>
        <v>398.16</v>
      </c>
      <c r="AC34" s="39">
        <f t="shared" si="7"/>
        <v>350.76</v>
      </c>
      <c r="AD34" s="2"/>
      <c r="AE34" s="2"/>
      <c r="AF34" s="2"/>
      <c r="AG34" s="2"/>
      <c r="AH34" s="2"/>
      <c r="AI34" s="5"/>
      <c r="AJ34" s="2"/>
      <c r="AK34" s="2"/>
      <c r="AL34" s="2"/>
      <c r="AM34" s="2"/>
      <c r="AN34" s="2"/>
      <c r="AO34" s="2"/>
      <c r="AP34" s="5"/>
      <c r="AQ34" s="5"/>
    </row>
    <row r="35">
      <c r="A35" s="2"/>
      <c r="B35" s="5"/>
      <c r="C35" s="2"/>
      <c r="D35" s="26" t="s">
        <v>65</v>
      </c>
      <c r="E35" s="2"/>
      <c r="F35" s="62">
        <v>159.0</v>
      </c>
      <c r="G35" s="2"/>
      <c r="H35" s="26" t="s">
        <v>8</v>
      </c>
      <c r="I35" s="2"/>
      <c r="J35" s="63">
        <v>34.0</v>
      </c>
      <c r="K35" s="63">
        <v>17.0</v>
      </c>
      <c r="L35" s="63">
        <v>32.0</v>
      </c>
      <c r="M35" s="63">
        <v>24.0</v>
      </c>
      <c r="N35" s="63"/>
      <c r="O35" s="63"/>
      <c r="P35" s="63">
        <v>14.0</v>
      </c>
      <c r="Q35" s="63"/>
      <c r="R35" s="63">
        <v>42.0</v>
      </c>
      <c r="S35" s="63"/>
      <c r="T35" s="63">
        <v>17.0</v>
      </c>
      <c r="U35" s="63"/>
      <c r="V35" s="2"/>
      <c r="W35" s="64">
        <v>1.85</v>
      </c>
      <c r="X35" s="64">
        <v>1.52</v>
      </c>
      <c r="Y35" s="64">
        <v>1.22</v>
      </c>
      <c r="Z35" s="2"/>
      <c r="AA35" s="39">
        <f t="shared" si="5"/>
        <v>453.15</v>
      </c>
      <c r="AB35" s="39">
        <f t="shared" si="6"/>
        <v>400.68</v>
      </c>
      <c r="AC35" s="39">
        <f t="shared" si="7"/>
        <v>352.98</v>
      </c>
      <c r="AD35" s="2"/>
      <c r="AE35" s="2"/>
      <c r="AF35" s="2"/>
      <c r="AG35" s="2"/>
      <c r="AH35" s="2"/>
      <c r="AI35" s="5"/>
      <c r="AJ35" s="2"/>
      <c r="AK35" s="2"/>
      <c r="AL35" s="2"/>
      <c r="AM35" s="2"/>
      <c r="AN35" s="2"/>
      <c r="AO35" s="2"/>
      <c r="AP35" s="5"/>
      <c r="AQ35" s="5"/>
    </row>
    <row r="36">
      <c r="A36" s="2"/>
      <c r="B36" s="5"/>
      <c r="C36" s="2"/>
      <c r="D36" s="26" t="s">
        <v>66</v>
      </c>
      <c r="E36" s="2"/>
      <c r="F36" s="62">
        <v>160.0</v>
      </c>
      <c r="G36" s="2"/>
      <c r="H36" s="26" t="s">
        <v>8</v>
      </c>
      <c r="I36" s="2"/>
      <c r="J36" s="63">
        <v>37.0</v>
      </c>
      <c r="K36" s="63">
        <v>19.0</v>
      </c>
      <c r="L36" s="63">
        <v>36.0</v>
      </c>
      <c r="M36" s="63">
        <v>27.0</v>
      </c>
      <c r="N36" s="63">
        <v>49.0</v>
      </c>
      <c r="O36" s="63">
        <v>46.0</v>
      </c>
      <c r="P36" s="63">
        <v>17.0</v>
      </c>
      <c r="Q36" s="63"/>
      <c r="R36" s="63">
        <v>36.0</v>
      </c>
      <c r="S36" s="63"/>
      <c r="T36" s="63">
        <v>19.0</v>
      </c>
      <c r="U36" s="63"/>
      <c r="V36" s="2"/>
      <c r="W36" s="64">
        <v>1.85</v>
      </c>
      <c r="X36" s="64">
        <v>1.52</v>
      </c>
      <c r="Y36" s="64">
        <v>1.22</v>
      </c>
      <c r="Z36" s="2"/>
      <c r="AA36" s="39">
        <f t="shared" si="5"/>
        <v>456</v>
      </c>
      <c r="AB36" s="39">
        <f t="shared" si="6"/>
        <v>403.2</v>
      </c>
      <c r="AC36" s="39">
        <f t="shared" si="7"/>
        <v>355.2</v>
      </c>
      <c r="AD36" s="2"/>
      <c r="AE36" s="2"/>
      <c r="AF36" s="2"/>
      <c r="AG36" s="2"/>
      <c r="AH36" s="2"/>
      <c r="AI36" s="5"/>
      <c r="AJ36" s="2"/>
      <c r="AK36" s="2"/>
      <c r="AL36" s="2"/>
      <c r="AM36" s="2"/>
      <c r="AN36" s="2"/>
      <c r="AO36" s="2"/>
      <c r="AP36" s="5"/>
      <c r="AQ36" s="5"/>
    </row>
    <row r="37">
      <c r="A37" s="2"/>
      <c r="B37" s="5"/>
      <c r="C37" s="2"/>
      <c r="D37" s="26" t="s">
        <v>67</v>
      </c>
      <c r="E37" s="2"/>
      <c r="F37" s="62">
        <v>161.0</v>
      </c>
      <c r="G37" s="2"/>
      <c r="H37" s="26" t="s">
        <v>10</v>
      </c>
      <c r="I37" s="2"/>
      <c r="J37" s="63">
        <v>36.0</v>
      </c>
      <c r="K37" s="63">
        <v>11.0</v>
      </c>
      <c r="L37" s="63">
        <v>35.0</v>
      </c>
      <c r="M37" s="63">
        <v>26.0</v>
      </c>
      <c r="N37" s="63">
        <v>41.0</v>
      </c>
      <c r="O37" s="63">
        <v>45.0</v>
      </c>
      <c r="P37" s="63">
        <v>16.0</v>
      </c>
      <c r="Q37" s="63"/>
      <c r="R37" s="63">
        <v>25.0</v>
      </c>
      <c r="S37" s="63">
        <v>6.0</v>
      </c>
      <c r="T37" s="63">
        <v>11.0</v>
      </c>
      <c r="U37" s="63"/>
      <c r="V37" s="2"/>
      <c r="W37" s="64">
        <v>1.85</v>
      </c>
      <c r="X37" s="64">
        <v>1.52</v>
      </c>
      <c r="Y37" s="64">
        <v>1.22</v>
      </c>
      <c r="Z37" s="2"/>
      <c r="AA37" s="39">
        <f t="shared" si="5"/>
        <v>458.85</v>
      </c>
      <c r="AB37" s="39">
        <f t="shared" si="6"/>
        <v>405.72</v>
      </c>
      <c r="AC37" s="39">
        <f t="shared" si="7"/>
        <v>357.42</v>
      </c>
      <c r="AD37" s="2"/>
      <c r="AE37" s="2"/>
      <c r="AF37" s="2"/>
      <c r="AG37" s="2"/>
      <c r="AH37" s="2"/>
      <c r="AI37" s="5"/>
      <c r="AJ37" s="2"/>
      <c r="AK37" s="2"/>
      <c r="AL37" s="2"/>
      <c r="AM37" s="2"/>
      <c r="AN37" s="2"/>
      <c r="AO37" s="2"/>
      <c r="AP37" s="5"/>
      <c r="AQ37" s="5"/>
    </row>
    <row r="38">
      <c r="A38" s="2"/>
      <c r="B38" s="5"/>
      <c r="C38" s="2"/>
      <c r="D38" s="26" t="s">
        <v>68</v>
      </c>
      <c r="E38" s="2"/>
      <c r="F38" s="62">
        <v>162.0</v>
      </c>
      <c r="G38" s="2"/>
      <c r="H38" s="26" t="s">
        <v>10</v>
      </c>
      <c r="I38" s="2"/>
      <c r="J38" s="63">
        <v>32.0</v>
      </c>
      <c r="K38" s="63">
        <v>12.0</v>
      </c>
      <c r="L38" s="63">
        <v>34.0</v>
      </c>
      <c r="M38" s="63">
        <v>22.0</v>
      </c>
      <c r="N38" s="63">
        <v>42.0</v>
      </c>
      <c r="O38" s="63">
        <v>44.0</v>
      </c>
      <c r="P38" s="63">
        <v>12.0</v>
      </c>
      <c r="Q38" s="63">
        <v>12.0</v>
      </c>
      <c r="R38" s="63">
        <v>24.0</v>
      </c>
      <c r="S38" s="63">
        <v>2.0</v>
      </c>
      <c r="T38" s="63">
        <v>12.0</v>
      </c>
      <c r="U38" s="63">
        <v>4.0</v>
      </c>
      <c r="V38" s="2"/>
      <c r="W38" s="64">
        <v>1.85</v>
      </c>
      <c r="X38" s="64">
        <v>1.52</v>
      </c>
      <c r="Y38" s="64">
        <v>1.22</v>
      </c>
      <c r="Z38" s="2"/>
      <c r="AA38" s="39">
        <f t="shared" si="5"/>
        <v>461.7</v>
      </c>
      <c r="AB38" s="39">
        <f t="shared" si="6"/>
        <v>408.24</v>
      </c>
      <c r="AC38" s="39">
        <f t="shared" si="7"/>
        <v>359.64</v>
      </c>
      <c r="AD38" s="2"/>
      <c r="AE38" s="2"/>
      <c r="AF38" s="2"/>
      <c r="AG38" s="2"/>
      <c r="AH38" s="2"/>
      <c r="AI38" s="5"/>
      <c r="AJ38" s="2"/>
      <c r="AK38" s="2"/>
      <c r="AL38" s="2"/>
      <c r="AM38" s="2"/>
      <c r="AN38" s="2"/>
      <c r="AO38" s="2"/>
      <c r="AP38" s="5"/>
      <c r="AQ38" s="5"/>
    </row>
    <row r="39">
      <c r="A39" s="2"/>
      <c r="B39" s="5"/>
      <c r="C39" s="2"/>
      <c r="D39" s="26" t="s">
        <v>69</v>
      </c>
      <c r="E39" s="2"/>
      <c r="F39" s="62">
        <v>163.0</v>
      </c>
      <c r="G39" s="2"/>
      <c r="H39" s="26" t="s">
        <v>8</v>
      </c>
      <c r="I39" s="2"/>
      <c r="J39" s="63">
        <v>31.0</v>
      </c>
      <c r="K39" s="63">
        <v>14.0</v>
      </c>
      <c r="L39" s="63">
        <v>37.0</v>
      </c>
      <c r="M39" s="63">
        <v>21.0</v>
      </c>
      <c r="N39" s="63">
        <v>44.0</v>
      </c>
      <c r="O39" s="63">
        <v>47.0</v>
      </c>
      <c r="P39" s="63">
        <v>11.0</v>
      </c>
      <c r="Q39" s="63">
        <v>14.0</v>
      </c>
      <c r="R39" s="63">
        <v>17.0</v>
      </c>
      <c r="S39" s="63">
        <v>1.0</v>
      </c>
      <c r="T39" s="63">
        <v>14.0</v>
      </c>
      <c r="U39" s="63">
        <v>7.0</v>
      </c>
      <c r="V39" s="2"/>
      <c r="W39" s="64">
        <v>1.85</v>
      </c>
      <c r="X39" s="64">
        <v>1.52</v>
      </c>
      <c r="Y39" s="64">
        <v>1.22</v>
      </c>
      <c r="Z39" s="2"/>
      <c r="AA39" s="39">
        <f t="shared" si="5"/>
        <v>464.55</v>
      </c>
      <c r="AB39" s="39">
        <f t="shared" si="6"/>
        <v>410.76</v>
      </c>
      <c r="AC39" s="39">
        <f t="shared" si="7"/>
        <v>361.86</v>
      </c>
      <c r="AD39" s="2"/>
      <c r="AE39" s="2"/>
      <c r="AF39" s="2"/>
      <c r="AG39" s="2"/>
      <c r="AH39" s="2"/>
      <c r="AI39" s="5"/>
      <c r="AJ39" s="2"/>
      <c r="AK39" s="2"/>
      <c r="AL39" s="2"/>
      <c r="AM39" s="2"/>
      <c r="AN39" s="2"/>
      <c r="AO39" s="2"/>
      <c r="AP39" s="5"/>
      <c r="AQ39" s="5"/>
    </row>
    <row r="40">
      <c r="A40" s="2"/>
      <c r="B40" s="5"/>
      <c r="C40" s="2"/>
      <c r="D40" s="26" t="s">
        <v>70</v>
      </c>
      <c r="E40" s="2"/>
      <c r="F40" s="62">
        <v>164.0</v>
      </c>
      <c r="G40" s="2"/>
      <c r="H40" s="26" t="s">
        <v>9</v>
      </c>
      <c r="I40" s="2"/>
      <c r="J40" s="63">
        <v>34.0</v>
      </c>
      <c r="K40" s="63">
        <v>18.0</v>
      </c>
      <c r="L40" s="63">
        <v>38.0</v>
      </c>
      <c r="M40" s="63">
        <v>24.0</v>
      </c>
      <c r="N40" s="63">
        <v>48.0</v>
      </c>
      <c r="O40" s="63">
        <v>48.0</v>
      </c>
      <c r="P40" s="63">
        <v>14.0</v>
      </c>
      <c r="Q40" s="63">
        <v>18.0</v>
      </c>
      <c r="R40" s="63">
        <v>38.0</v>
      </c>
      <c r="S40" s="63">
        <v>4.0</v>
      </c>
      <c r="T40" s="63">
        <v>18.0</v>
      </c>
      <c r="U40" s="63">
        <v>8.0</v>
      </c>
      <c r="V40" s="2"/>
      <c r="W40" s="64">
        <v>1.85</v>
      </c>
      <c r="X40" s="64">
        <v>1.52</v>
      </c>
      <c r="Y40" s="64">
        <v>1.22</v>
      </c>
      <c r="Z40" s="2"/>
      <c r="AA40" s="39">
        <f t="shared" si="5"/>
        <v>467.4</v>
      </c>
      <c r="AB40" s="39">
        <f t="shared" si="6"/>
        <v>413.28</v>
      </c>
      <c r="AC40" s="39">
        <f t="shared" si="7"/>
        <v>364.08</v>
      </c>
      <c r="AD40" s="2"/>
      <c r="AE40" s="2"/>
      <c r="AF40" s="2"/>
      <c r="AG40" s="2"/>
      <c r="AH40" s="2"/>
      <c r="AI40" s="5"/>
      <c r="AJ40" s="2"/>
      <c r="AK40" s="2"/>
      <c r="AL40" s="2"/>
      <c r="AM40" s="2"/>
      <c r="AN40" s="2"/>
      <c r="AO40" s="2"/>
      <c r="AP40" s="5"/>
      <c r="AQ40" s="5"/>
    </row>
    <row r="41" ht="11.25" customHeight="1">
      <c r="A41" s="2"/>
      <c r="B41" s="5"/>
      <c r="C41" s="2"/>
      <c r="D41" s="55"/>
      <c r="E41" s="55"/>
      <c r="F41" s="55"/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2"/>
      <c r="W41" s="4"/>
      <c r="X41" s="4"/>
      <c r="Y41" s="4"/>
      <c r="Z41" s="2"/>
      <c r="AA41" s="4"/>
      <c r="AB41" s="4"/>
      <c r="AC41" s="4"/>
      <c r="AD41" s="2"/>
      <c r="AE41" s="2"/>
      <c r="AF41" s="2"/>
      <c r="AG41" s="2"/>
      <c r="AH41" s="2"/>
      <c r="AI41" s="5"/>
      <c r="AJ41" s="2"/>
      <c r="AK41" s="2"/>
      <c r="AL41" s="2"/>
      <c r="AM41" s="2"/>
      <c r="AN41" s="2"/>
      <c r="AO41" s="2"/>
      <c r="AP41" s="5"/>
      <c r="AQ41" s="5"/>
    </row>
    <row r="42" ht="13.5" customHeight="1">
      <c r="A42" s="2"/>
      <c r="B42" s="5"/>
      <c r="C42" s="2"/>
      <c r="D42" s="55"/>
      <c r="E42" s="55"/>
      <c r="F42" s="55"/>
      <c r="G42" s="2"/>
      <c r="H42" s="3" t="s">
        <v>71</v>
      </c>
      <c r="I42" s="2"/>
      <c r="J42" s="65" t="s">
        <v>4</v>
      </c>
      <c r="K42" s="65" t="s">
        <v>11</v>
      </c>
      <c r="L42" s="65" t="s">
        <v>4</v>
      </c>
      <c r="M42" s="65" t="s">
        <v>4</v>
      </c>
      <c r="N42" s="65" t="s">
        <v>11</v>
      </c>
      <c r="O42" s="65" t="s">
        <v>11</v>
      </c>
      <c r="P42" s="65" t="s">
        <v>11</v>
      </c>
      <c r="Q42" s="65" t="s">
        <v>4</v>
      </c>
      <c r="R42" s="65" t="s">
        <v>11</v>
      </c>
      <c r="S42" s="65" t="s">
        <v>11</v>
      </c>
      <c r="T42" s="65" t="s">
        <v>4</v>
      </c>
      <c r="U42" s="65" t="s">
        <v>11</v>
      </c>
      <c r="V42" s="2"/>
      <c r="W42" s="4"/>
      <c r="X42" s="4"/>
      <c r="Y42" s="4"/>
      <c r="Z42" s="2"/>
      <c r="AA42" s="4"/>
      <c r="AB42" s="4"/>
      <c r="AC42" s="4"/>
      <c r="AD42" s="2"/>
      <c r="AE42" s="2"/>
      <c r="AF42" s="2"/>
      <c r="AG42" s="2"/>
      <c r="AH42" s="2"/>
      <c r="AI42" s="5"/>
      <c r="AJ42" s="2"/>
      <c r="AK42" s="2"/>
      <c r="AL42" s="2"/>
      <c r="AM42" s="2"/>
      <c r="AN42" s="2"/>
      <c r="AO42" s="2"/>
      <c r="AP42" s="5"/>
      <c r="AQ42" s="5"/>
    </row>
    <row r="43" ht="13.5" customHeight="1">
      <c r="A43" s="2"/>
      <c r="B43" s="5"/>
      <c r="C43" s="2"/>
      <c r="D43" s="55"/>
      <c r="E43" s="55"/>
      <c r="F43" s="55"/>
      <c r="G43" s="2"/>
      <c r="H43" s="3" t="s">
        <v>6</v>
      </c>
      <c r="I43" s="2"/>
      <c r="J43" s="65" t="s">
        <v>18</v>
      </c>
      <c r="K43" s="65" t="s">
        <v>20</v>
      </c>
      <c r="L43" s="65" t="s">
        <v>22</v>
      </c>
      <c r="M43" s="65" t="s">
        <v>20</v>
      </c>
      <c r="N43" s="65" t="s">
        <v>18</v>
      </c>
      <c r="O43" s="65" t="s">
        <v>20</v>
      </c>
      <c r="P43" s="65" t="s">
        <v>22</v>
      </c>
      <c r="Q43" s="65" t="s">
        <v>18</v>
      </c>
      <c r="R43" s="65" t="s">
        <v>18</v>
      </c>
      <c r="S43" s="65" t="s">
        <v>20</v>
      </c>
      <c r="T43" s="65" t="s">
        <v>22</v>
      </c>
      <c r="U43" s="65" t="s">
        <v>20</v>
      </c>
      <c r="V43" s="2"/>
      <c r="W43" s="4"/>
      <c r="X43" s="4"/>
      <c r="Y43" s="4"/>
      <c r="Z43" s="2"/>
      <c r="AA43" s="4"/>
      <c r="AB43" s="4"/>
      <c r="AC43" s="4"/>
      <c r="AD43" s="2"/>
      <c r="AE43" s="2"/>
      <c r="AF43" s="2"/>
      <c r="AG43" s="2"/>
      <c r="AH43" s="2"/>
      <c r="AI43" s="5"/>
      <c r="AJ43" s="2"/>
      <c r="AK43" s="2"/>
      <c r="AL43" s="2"/>
      <c r="AM43" s="2"/>
      <c r="AN43" s="2"/>
      <c r="AO43" s="2"/>
      <c r="AP43" s="5"/>
      <c r="AQ43" s="5"/>
    </row>
    <row r="44" ht="13.5" customHeight="1">
      <c r="A44" s="2"/>
      <c r="B44" s="5"/>
      <c r="C44" s="2"/>
      <c r="D44" s="55"/>
      <c r="E44" s="55"/>
      <c r="F44" s="55"/>
      <c r="G44" s="2"/>
      <c r="H44" s="3" t="s">
        <v>72</v>
      </c>
      <c r="I44" s="2"/>
      <c r="J44" s="65" t="s">
        <v>15</v>
      </c>
      <c r="K44" s="65" t="s">
        <v>14</v>
      </c>
      <c r="L44" s="65" t="s">
        <v>16</v>
      </c>
      <c r="M44" s="65" t="s">
        <v>16</v>
      </c>
      <c r="N44" s="65" t="s">
        <v>14</v>
      </c>
      <c r="O44" s="65" t="s">
        <v>15</v>
      </c>
      <c r="P44" s="65" t="s">
        <v>16</v>
      </c>
      <c r="Q44" s="65" t="s">
        <v>14</v>
      </c>
      <c r="R44" s="65" t="s">
        <v>15</v>
      </c>
      <c r="S44" s="65" t="s">
        <v>16</v>
      </c>
      <c r="T44" s="65" t="s">
        <v>14</v>
      </c>
      <c r="U44" s="65" t="s">
        <v>16</v>
      </c>
      <c r="V44" s="2"/>
      <c r="W44" s="4"/>
      <c r="X44" s="4"/>
      <c r="Y44" s="4"/>
      <c r="Z44" s="2"/>
      <c r="AA44" s="4"/>
      <c r="AB44" s="4"/>
      <c r="AC44" s="4"/>
      <c r="AD44" s="2"/>
      <c r="AE44" s="2"/>
      <c r="AF44" s="2"/>
      <c r="AG44" s="2"/>
      <c r="AH44" s="2"/>
      <c r="AI44" s="5"/>
      <c r="AJ44" s="2"/>
      <c r="AK44" s="2"/>
      <c r="AL44" s="2"/>
      <c r="AM44" s="2"/>
      <c r="AN44" s="2"/>
      <c r="AO44" s="2"/>
      <c r="AP44" s="5"/>
      <c r="AQ44" s="5"/>
    </row>
    <row r="45" ht="13.5" customHeight="1">
      <c r="A45" s="2"/>
      <c r="B45" s="5"/>
      <c r="C45" s="2"/>
      <c r="D45" s="55"/>
      <c r="E45" s="55"/>
      <c r="F45" s="55"/>
      <c r="G45" s="2"/>
      <c r="H45" s="3" t="s">
        <v>73</v>
      </c>
      <c r="I45" s="2"/>
      <c r="J45" s="19">
        <v>1.0</v>
      </c>
      <c r="K45" s="19">
        <v>1.5</v>
      </c>
      <c r="L45" s="19">
        <v>2.0</v>
      </c>
      <c r="M45" s="19">
        <v>1.0</v>
      </c>
      <c r="N45" s="19">
        <v>1.5</v>
      </c>
      <c r="O45" s="19">
        <v>2.0</v>
      </c>
      <c r="P45" s="19">
        <v>1.0</v>
      </c>
      <c r="Q45" s="19">
        <v>1.25</v>
      </c>
      <c r="R45" s="19">
        <v>1.0</v>
      </c>
      <c r="S45" s="19">
        <v>1.0</v>
      </c>
      <c r="T45" s="19">
        <v>1.0</v>
      </c>
      <c r="U45" s="19">
        <v>1.0</v>
      </c>
      <c r="V45" s="2"/>
      <c r="W45" s="4"/>
      <c r="X45" s="4"/>
      <c r="Y45" s="4"/>
      <c r="Z45" s="2"/>
      <c r="AA45" s="4"/>
      <c r="AB45" s="4"/>
      <c r="AC45" s="4"/>
      <c r="AD45" s="2"/>
      <c r="AE45" s="2"/>
      <c r="AF45" s="2"/>
      <c r="AG45" s="2"/>
      <c r="AH45" s="2"/>
      <c r="AI45" s="5"/>
      <c r="AJ45" s="2"/>
      <c r="AK45" s="2"/>
      <c r="AL45" s="2"/>
      <c r="AM45" s="2"/>
      <c r="AN45" s="2"/>
      <c r="AO45" s="2"/>
      <c r="AP45" s="5"/>
      <c r="AQ45" s="5"/>
    </row>
    <row r="46" ht="5.25" customHeight="1">
      <c r="A46" s="2"/>
      <c r="B46" s="5"/>
      <c r="C46" s="2"/>
      <c r="D46" s="55"/>
      <c r="E46" s="55"/>
      <c r="F46" s="55"/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"/>
      <c r="W46" s="4"/>
      <c r="X46" s="4"/>
      <c r="Y46" s="4"/>
      <c r="Z46" s="2"/>
      <c r="AA46" s="4"/>
      <c r="AB46" s="4"/>
      <c r="AC46" s="4"/>
      <c r="AD46" s="2"/>
      <c r="AE46" s="2"/>
      <c r="AF46" s="2"/>
      <c r="AG46" s="2"/>
      <c r="AH46" s="2"/>
      <c r="AI46" s="5"/>
      <c r="AJ46" s="2"/>
      <c r="AK46" s="2"/>
      <c r="AL46" s="2"/>
      <c r="AM46" s="2"/>
      <c r="AN46" s="2"/>
      <c r="AO46" s="2"/>
      <c r="AP46" s="5"/>
      <c r="AQ46" s="5"/>
    </row>
    <row r="47" ht="13.5" customHeight="1">
      <c r="A47" s="2"/>
      <c r="B47" s="5"/>
      <c r="C47" s="2"/>
      <c r="D47" s="55"/>
      <c r="E47" s="55"/>
      <c r="F47" s="55"/>
      <c r="G47" s="2"/>
      <c r="H47" s="66" t="s">
        <v>74</v>
      </c>
      <c r="I47" s="67"/>
      <c r="J47" s="68">
        <f t="shared" ref="J47:U47" si="8">J98</f>
        <v>0</v>
      </c>
      <c r="K47" s="68">
        <f t="shared" si="8"/>
        <v>0</v>
      </c>
      <c r="L47" s="68">
        <f t="shared" si="8"/>
        <v>0</v>
      </c>
      <c r="M47" s="68">
        <f t="shared" si="8"/>
        <v>7500</v>
      </c>
      <c r="N47" s="68">
        <f t="shared" si="8"/>
        <v>12000</v>
      </c>
      <c r="O47" s="68">
        <f t="shared" si="8"/>
        <v>43000</v>
      </c>
      <c r="P47" s="68">
        <f t="shared" si="8"/>
        <v>11500</v>
      </c>
      <c r="Q47" s="68">
        <f t="shared" si="8"/>
        <v>5250</v>
      </c>
      <c r="R47" s="68">
        <f t="shared" si="8"/>
        <v>20000</v>
      </c>
      <c r="S47" s="68">
        <f t="shared" si="8"/>
        <v>21500</v>
      </c>
      <c r="T47" s="68">
        <f t="shared" si="8"/>
        <v>4375</v>
      </c>
      <c r="U47" s="69">
        <f t="shared" si="8"/>
        <v>7500</v>
      </c>
      <c r="V47" s="2"/>
      <c r="W47" s="4"/>
      <c r="X47" s="4"/>
      <c r="Y47" s="4"/>
      <c r="Z47" s="2"/>
      <c r="AA47" s="4"/>
      <c r="AB47" s="4"/>
      <c r="AC47" s="4"/>
      <c r="AD47" s="2"/>
      <c r="AE47" s="2"/>
      <c r="AF47" s="2"/>
      <c r="AG47" s="2"/>
      <c r="AH47" s="2"/>
      <c r="AI47" s="5"/>
      <c r="AJ47" s="2"/>
      <c r="AK47" s="2"/>
      <c r="AL47" s="2"/>
      <c r="AM47" s="2"/>
      <c r="AN47" s="2"/>
      <c r="AO47" s="2"/>
      <c r="AP47" s="5"/>
      <c r="AQ47" s="5"/>
    </row>
    <row r="48" ht="6.0" customHeight="1">
      <c r="A48" s="2"/>
      <c r="B48" s="5"/>
      <c r="C48" s="2"/>
      <c r="D48" s="55"/>
      <c r="E48" s="55"/>
      <c r="F48" s="55"/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2"/>
      <c r="W48" s="4"/>
      <c r="X48" s="4"/>
      <c r="Y48" s="4"/>
      <c r="Z48" s="2"/>
      <c r="AA48" s="4"/>
      <c r="AB48" s="4"/>
      <c r="AC48" s="4"/>
      <c r="AD48" s="2"/>
      <c r="AE48" s="2"/>
      <c r="AF48" s="2"/>
      <c r="AG48" s="2"/>
      <c r="AH48" s="2"/>
      <c r="AI48" s="5"/>
      <c r="AJ48" s="2"/>
      <c r="AK48" s="2"/>
      <c r="AL48" s="2"/>
      <c r="AM48" s="2"/>
      <c r="AN48" s="2"/>
      <c r="AO48" s="2"/>
      <c r="AP48" s="5"/>
      <c r="AQ48" s="5"/>
    </row>
    <row r="49" ht="7.5" customHeight="1">
      <c r="A49" s="2"/>
      <c r="B49" s="5"/>
      <c r="C49" s="2"/>
      <c r="D49" s="55"/>
      <c r="E49" s="55"/>
      <c r="F49" s="55"/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2"/>
      <c r="W49" s="4"/>
      <c r="X49" s="4"/>
      <c r="Y49" s="4"/>
      <c r="Z49" s="2"/>
      <c r="AA49" s="4"/>
      <c r="AB49" s="4"/>
      <c r="AC49" s="4"/>
      <c r="AD49" s="2"/>
      <c r="AE49" s="2"/>
      <c r="AF49" s="2"/>
      <c r="AG49" s="2"/>
      <c r="AH49" s="2"/>
      <c r="AI49" s="5"/>
      <c r="AJ49" s="2"/>
      <c r="AK49" s="2"/>
      <c r="AL49" s="2"/>
      <c r="AM49" s="2"/>
      <c r="AN49" s="2"/>
      <c r="AO49" s="2"/>
      <c r="AP49" s="5"/>
      <c r="AQ49" s="5"/>
    </row>
    <row r="50">
      <c r="A50" s="2"/>
      <c r="B50" s="5"/>
      <c r="C50" s="2"/>
      <c r="D50" s="70" t="s">
        <v>75</v>
      </c>
      <c r="F50" s="55"/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2"/>
      <c r="W50" s="4"/>
      <c r="X50" s="4"/>
      <c r="Y50" s="4"/>
      <c r="Z50" s="2"/>
      <c r="AA50" s="4"/>
      <c r="AB50" s="4"/>
      <c r="AC50" s="4"/>
      <c r="AD50" s="2"/>
      <c r="AE50" s="2"/>
      <c r="AF50" s="2"/>
      <c r="AG50" s="2"/>
      <c r="AH50" s="2"/>
      <c r="AI50" s="5"/>
      <c r="AJ50" s="2"/>
      <c r="AK50" s="2"/>
      <c r="AL50" s="2"/>
      <c r="AM50" s="2"/>
      <c r="AN50" s="2"/>
      <c r="AO50" s="2"/>
      <c r="AP50" s="5"/>
      <c r="AQ50" s="5"/>
    </row>
    <row r="51">
      <c r="A51" s="2"/>
      <c r="B51" s="5"/>
      <c r="C51" s="2"/>
      <c r="D51" s="55"/>
      <c r="E51" s="55"/>
      <c r="F51" s="71">
        <f t="shared" ref="F51:F52" si="10">sum(J51:U51)</f>
        <v>4469</v>
      </c>
      <c r="G51" s="2"/>
      <c r="H51" s="3" t="s">
        <v>76</v>
      </c>
      <c r="I51" s="2"/>
      <c r="J51" s="4">
        <f t="shared" ref="J51:U51" si="9">sum(J21:J40)</f>
        <v>697</v>
      </c>
      <c r="K51" s="4">
        <f t="shared" si="9"/>
        <v>250</v>
      </c>
      <c r="L51" s="4">
        <f t="shared" si="9"/>
        <v>608</v>
      </c>
      <c r="M51" s="4">
        <f t="shared" si="9"/>
        <v>365</v>
      </c>
      <c r="N51" s="4">
        <f t="shared" si="9"/>
        <v>505</v>
      </c>
      <c r="O51" s="4">
        <f t="shared" si="9"/>
        <v>652</v>
      </c>
      <c r="P51" s="4">
        <f t="shared" si="9"/>
        <v>190</v>
      </c>
      <c r="Q51" s="4">
        <f t="shared" si="9"/>
        <v>185</v>
      </c>
      <c r="R51" s="4">
        <f t="shared" si="9"/>
        <v>506</v>
      </c>
      <c r="S51" s="4">
        <f t="shared" si="9"/>
        <v>192</v>
      </c>
      <c r="T51" s="4">
        <f t="shared" si="9"/>
        <v>231</v>
      </c>
      <c r="U51" s="4">
        <f t="shared" si="9"/>
        <v>88</v>
      </c>
      <c r="V51" s="2"/>
      <c r="W51" s="4"/>
      <c r="X51" s="4"/>
      <c r="Y51" s="4"/>
      <c r="Z51" s="2"/>
      <c r="AA51" s="4"/>
      <c r="AB51" s="4"/>
      <c r="AC51" s="4"/>
      <c r="AD51" s="2"/>
      <c r="AE51" s="2"/>
      <c r="AF51" s="2"/>
      <c r="AG51" s="2"/>
      <c r="AH51" s="2"/>
      <c r="AI51" s="5"/>
      <c r="AJ51" s="2"/>
      <c r="AK51" s="2"/>
      <c r="AL51" s="2"/>
      <c r="AM51" s="2"/>
      <c r="AN51" s="2"/>
      <c r="AO51" s="2"/>
      <c r="AP51" s="5"/>
      <c r="AQ51" s="5"/>
    </row>
    <row r="52">
      <c r="A52" s="2"/>
      <c r="B52" s="5"/>
      <c r="C52" s="2"/>
      <c r="D52" s="55"/>
      <c r="E52" s="55"/>
      <c r="F52" s="72">
        <f t="shared" si="10"/>
        <v>693271</v>
      </c>
      <c r="G52" s="2"/>
      <c r="H52" s="3" t="s">
        <v>77</v>
      </c>
      <c r="I52" s="2"/>
      <c r="J52" s="39">
        <f t="shared" ref="J52:U52" si="11">J21*$F$21+J22*$F$22+J23*$F$23+J24*$F$24+J25*$F$25+J26*$F$26+J27*$F$27+J28*$F$28+J29*$F$29+J30*$F$30+J31*$F$31+J32*$F$32+J33*$F$33+J34*$F$34+J35*$F$35+J36*$F$36+J37*$F$37+J38*$F$38+J39*$F$39+J40*$F$40</f>
        <v>107643</v>
      </c>
      <c r="K52" s="39">
        <f t="shared" si="11"/>
        <v>38966</v>
      </c>
      <c r="L52" s="39">
        <f t="shared" si="11"/>
        <v>94311</v>
      </c>
      <c r="M52" s="39">
        <f t="shared" si="11"/>
        <v>56599</v>
      </c>
      <c r="N52" s="39">
        <f t="shared" si="11"/>
        <v>79173</v>
      </c>
      <c r="O52" s="39">
        <f t="shared" si="11"/>
        <v>100677</v>
      </c>
      <c r="P52" s="39">
        <f t="shared" si="11"/>
        <v>29703</v>
      </c>
      <c r="Q52" s="39">
        <f t="shared" si="11"/>
        <v>28677</v>
      </c>
      <c r="R52" s="39">
        <f t="shared" si="11"/>
        <v>78532</v>
      </c>
      <c r="S52" s="39">
        <f t="shared" si="11"/>
        <v>29583</v>
      </c>
      <c r="T52" s="39">
        <f t="shared" si="11"/>
        <v>36033</v>
      </c>
      <c r="U52" s="39">
        <f t="shared" si="11"/>
        <v>13374</v>
      </c>
      <c r="V52" s="2"/>
      <c r="W52" s="4"/>
      <c r="X52" s="4"/>
      <c r="Y52" s="4"/>
      <c r="Z52" s="2"/>
      <c r="AA52" s="4"/>
      <c r="AB52" s="4"/>
      <c r="AC52" s="4"/>
      <c r="AD52" s="2"/>
      <c r="AE52" s="2"/>
      <c r="AF52" s="2"/>
      <c r="AG52" s="2"/>
      <c r="AH52" s="2"/>
      <c r="AI52" s="5"/>
      <c r="AJ52" s="2"/>
      <c r="AK52" s="2"/>
      <c r="AL52" s="2"/>
      <c r="AM52" s="2"/>
      <c r="AN52" s="2"/>
      <c r="AO52" s="2"/>
      <c r="AP52" s="5"/>
      <c r="AQ52" s="5"/>
    </row>
    <row r="53" ht="6.75" customHeight="1">
      <c r="A53" s="2"/>
      <c r="B53" s="5"/>
      <c r="C53" s="2"/>
      <c r="D53" s="55"/>
      <c r="E53" s="55"/>
      <c r="F53" s="71"/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2"/>
      <c r="W53" s="4"/>
      <c r="X53" s="4"/>
      <c r="Y53" s="4"/>
      <c r="Z53" s="2"/>
      <c r="AA53" s="4"/>
      <c r="AB53" s="4"/>
      <c r="AC53" s="4"/>
      <c r="AD53" s="2"/>
      <c r="AE53" s="2"/>
      <c r="AF53" s="2"/>
      <c r="AG53" s="2"/>
      <c r="AH53" s="2"/>
      <c r="AI53" s="5"/>
      <c r="AJ53" s="2"/>
      <c r="AK53" s="2"/>
      <c r="AL53" s="2"/>
      <c r="AM53" s="2"/>
      <c r="AN53" s="2"/>
      <c r="AO53" s="2"/>
      <c r="AP53" s="5"/>
      <c r="AQ53" s="5"/>
    </row>
    <row r="54">
      <c r="A54" s="2"/>
      <c r="B54" s="5"/>
      <c r="C54" s="2"/>
      <c r="D54" s="55"/>
      <c r="E54" s="55"/>
      <c r="F54" s="72">
        <f>sum(J54:U54)</f>
        <v>415962.6</v>
      </c>
      <c r="G54" s="13"/>
      <c r="H54" s="13" t="s">
        <v>78</v>
      </c>
      <c r="I54" s="2"/>
      <c r="J54" s="39">
        <f t="shared" ref="J54:U54" si="12">J52*$F$7</f>
        <v>64585.8</v>
      </c>
      <c r="K54" s="39">
        <f t="shared" si="12"/>
        <v>23379.6</v>
      </c>
      <c r="L54" s="39">
        <f t="shared" si="12"/>
        <v>56586.6</v>
      </c>
      <c r="M54" s="39">
        <f t="shared" si="12"/>
        <v>33959.4</v>
      </c>
      <c r="N54" s="39">
        <f t="shared" si="12"/>
        <v>47503.8</v>
      </c>
      <c r="O54" s="39">
        <f t="shared" si="12"/>
        <v>60406.2</v>
      </c>
      <c r="P54" s="39">
        <f t="shared" si="12"/>
        <v>17821.8</v>
      </c>
      <c r="Q54" s="39">
        <f t="shared" si="12"/>
        <v>17206.2</v>
      </c>
      <c r="R54" s="39">
        <f t="shared" si="12"/>
        <v>47119.2</v>
      </c>
      <c r="S54" s="39">
        <f t="shared" si="12"/>
        <v>17749.8</v>
      </c>
      <c r="T54" s="39">
        <f t="shared" si="12"/>
        <v>21619.8</v>
      </c>
      <c r="U54" s="39">
        <f t="shared" si="12"/>
        <v>8024.4</v>
      </c>
      <c r="V54" s="2"/>
      <c r="W54" s="4"/>
      <c r="X54" s="4"/>
      <c r="Y54" s="4"/>
      <c r="Z54" s="2"/>
      <c r="AA54" s="4"/>
      <c r="AB54" s="4"/>
      <c r="AC54" s="4"/>
      <c r="AD54" s="2"/>
      <c r="AE54" s="2"/>
      <c r="AF54" s="2"/>
      <c r="AG54" s="2"/>
      <c r="AH54" s="2"/>
      <c r="AI54" s="5"/>
      <c r="AJ54" s="2"/>
      <c r="AK54" s="2"/>
      <c r="AL54" s="2"/>
      <c r="AM54" s="2"/>
      <c r="AN54" s="2"/>
      <c r="AO54" s="2"/>
      <c r="AP54" s="5"/>
      <c r="AQ54" s="5"/>
    </row>
    <row r="55" ht="6.75" customHeight="1">
      <c r="A55" s="2"/>
      <c r="B55" s="5"/>
      <c r="C55" s="2"/>
      <c r="D55" s="55"/>
      <c r="E55" s="55"/>
      <c r="F55" s="71"/>
      <c r="G55" s="13"/>
      <c r="H55" s="13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2"/>
      <c r="W55" s="4"/>
      <c r="X55" s="4"/>
      <c r="Y55" s="4"/>
      <c r="Z55" s="2"/>
      <c r="AA55" s="4"/>
      <c r="AB55" s="4"/>
      <c r="AC55" s="4"/>
      <c r="AD55" s="2"/>
      <c r="AE55" s="2"/>
      <c r="AF55" s="2"/>
      <c r="AG55" s="2"/>
      <c r="AH55" s="2"/>
      <c r="AI55" s="5"/>
      <c r="AJ55" s="2"/>
      <c r="AK55" s="2"/>
      <c r="AL55" s="2"/>
      <c r="AM55" s="2"/>
      <c r="AN55" s="2"/>
      <c r="AO55" s="2"/>
      <c r="AP55" s="5"/>
      <c r="AQ55" s="5"/>
    </row>
    <row r="56">
      <c r="A56" s="2"/>
      <c r="B56" s="5"/>
      <c r="C56" s="2"/>
      <c r="D56" s="73">
        <f>F54+F56</f>
        <v>671612.7015</v>
      </c>
      <c r="E56" s="55"/>
      <c r="F56" s="72">
        <f>sum(J75:U75)</f>
        <v>255650.1015</v>
      </c>
      <c r="G56" s="13"/>
      <c r="H56" s="13" t="s">
        <v>79</v>
      </c>
      <c r="I56" s="2"/>
      <c r="J56" s="39">
        <f t="shared" ref="J56:U56" si="13">J52-J54</f>
        <v>43057.2</v>
      </c>
      <c r="K56" s="39">
        <f t="shared" si="13"/>
        <v>15586.4</v>
      </c>
      <c r="L56" s="39">
        <f t="shared" si="13"/>
        <v>37724.4</v>
      </c>
      <c r="M56" s="39">
        <f t="shared" si="13"/>
        <v>22639.6</v>
      </c>
      <c r="N56" s="39">
        <f t="shared" si="13"/>
        <v>31669.2</v>
      </c>
      <c r="O56" s="39">
        <f t="shared" si="13"/>
        <v>40270.8</v>
      </c>
      <c r="P56" s="39">
        <f t="shared" si="13"/>
        <v>11881.2</v>
      </c>
      <c r="Q56" s="39">
        <f t="shared" si="13"/>
        <v>11470.8</v>
      </c>
      <c r="R56" s="39">
        <f t="shared" si="13"/>
        <v>31412.8</v>
      </c>
      <c r="S56" s="39">
        <f t="shared" si="13"/>
        <v>11833.2</v>
      </c>
      <c r="T56" s="39">
        <f t="shared" si="13"/>
        <v>14413.2</v>
      </c>
      <c r="U56" s="39">
        <f t="shared" si="13"/>
        <v>5349.6</v>
      </c>
      <c r="V56" s="2"/>
      <c r="W56" s="4"/>
      <c r="X56" s="4"/>
      <c r="Y56" s="4"/>
      <c r="Z56" s="2"/>
      <c r="AA56" s="4"/>
      <c r="AB56" s="4"/>
      <c r="AC56" s="4"/>
      <c r="AD56" s="2"/>
      <c r="AE56" s="2"/>
      <c r="AF56" s="2"/>
      <c r="AG56" s="2"/>
      <c r="AH56" s="2"/>
      <c r="AI56" s="5"/>
      <c r="AJ56" s="2"/>
      <c r="AK56" s="2"/>
      <c r="AL56" s="2"/>
      <c r="AM56" s="2"/>
      <c r="AN56" s="2"/>
      <c r="AO56" s="2"/>
      <c r="AP56" s="5"/>
      <c r="AQ56" s="5"/>
    </row>
    <row r="57" ht="6.0" customHeight="1">
      <c r="A57" s="2"/>
      <c r="B57" s="5"/>
      <c r="C57" s="2"/>
      <c r="D57" s="55"/>
      <c r="E57" s="55"/>
      <c r="F57" s="55"/>
      <c r="G57" s="13"/>
      <c r="H57" s="13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2"/>
      <c r="W57" s="4"/>
      <c r="X57" s="4"/>
      <c r="Y57" s="4"/>
      <c r="Z57" s="2"/>
      <c r="AA57" s="4"/>
      <c r="AB57" s="4"/>
      <c r="AC57" s="4"/>
      <c r="AD57" s="2"/>
      <c r="AE57" s="2"/>
      <c r="AF57" s="2"/>
      <c r="AG57" s="2"/>
      <c r="AH57" s="2"/>
      <c r="AI57" s="5"/>
      <c r="AJ57" s="2"/>
      <c r="AK57" s="2"/>
      <c r="AL57" s="2"/>
      <c r="AM57" s="2"/>
      <c r="AN57" s="2"/>
      <c r="AO57" s="2"/>
      <c r="AP57" s="5"/>
      <c r="AQ57" s="5"/>
    </row>
    <row r="58">
      <c r="A58" s="2"/>
      <c r="B58" s="5"/>
      <c r="C58" s="2"/>
      <c r="D58" s="55"/>
      <c r="E58" s="55"/>
      <c r="F58" s="55"/>
      <c r="G58" s="13"/>
      <c r="H58" s="13" t="s">
        <v>80</v>
      </c>
      <c r="I58" s="2"/>
      <c r="J58" s="39">
        <f t="shared" ref="J58:U58" si="14">J56*$F$8/12*$F$10/30</f>
        <v>653.0342</v>
      </c>
      <c r="K58" s="39">
        <f t="shared" si="14"/>
        <v>236.3937333</v>
      </c>
      <c r="L58" s="39">
        <f t="shared" si="14"/>
        <v>572.1534</v>
      </c>
      <c r="M58" s="39">
        <f t="shared" si="14"/>
        <v>343.3672667</v>
      </c>
      <c r="N58" s="39">
        <f t="shared" si="14"/>
        <v>480.3162</v>
      </c>
      <c r="O58" s="39">
        <f t="shared" si="14"/>
        <v>610.7738</v>
      </c>
      <c r="P58" s="39">
        <f t="shared" si="14"/>
        <v>180.1982</v>
      </c>
      <c r="Q58" s="39">
        <f t="shared" si="14"/>
        <v>173.9738</v>
      </c>
      <c r="R58" s="39">
        <f t="shared" si="14"/>
        <v>476.4274667</v>
      </c>
      <c r="S58" s="39">
        <f t="shared" si="14"/>
        <v>179.4702</v>
      </c>
      <c r="T58" s="39">
        <f t="shared" si="14"/>
        <v>218.6002</v>
      </c>
      <c r="U58" s="39">
        <f t="shared" si="14"/>
        <v>81.1356</v>
      </c>
      <c r="V58" s="2"/>
      <c r="W58" s="4"/>
      <c r="X58" s="4"/>
      <c r="Y58" s="4"/>
      <c r="Z58" s="2"/>
      <c r="AA58" s="4"/>
      <c r="AB58" s="4"/>
      <c r="AC58" s="4"/>
      <c r="AD58" s="2"/>
      <c r="AE58" s="2"/>
      <c r="AF58" s="2"/>
      <c r="AG58" s="2"/>
      <c r="AH58" s="2"/>
      <c r="AI58" s="5"/>
      <c r="AJ58" s="2"/>
      <c r="AK58" s="2"/>
      <c r="AL58" s="2"/>
      <c r="AM58" s="2"/>
      <c r="AN58" s="2"/>
      <c r="AO58" s="2"/>
      <c r="AP58" s="5"/>
      <c r="AQ58" s="5"/>
    </row>
    <row r="59">
      <c r="A59" s="2"/>
      <c r="B59" s="5"/>
      <c r="C59" s="2"/>
      <c r="D59" s="55"/>
      <c r="E59" s="55"/>
      <c r="F59" s="55"/>
      <c r="G59" s="13"/>
      <c r="H59" s="13" t="s">
        <v>81</v>
      </c>
      <c r="I59" s="2"/>
      <c r="J59" s="39">
        <f t="shared" ref="J59:U59" si="15">J56*$F$9/12*$F$10/30</f>
        <v>1088.390333</v>
      </c>
      <c r="K59" s="39">
        <f t="shared" si="15"/>
        <v>393.9895556</v>
      </c>
      <c r="L59" s="39">
        <f t="shared" si="15"/>
        <v>953.589</v>
      </c>
      <c r="M59" s="39">
        <f t="shared" si="15"/>
        <v>572.2787778</v>
      </c>
      <c r="N59" s="39">
        <f t="shared" si="15"/>
        <v>800.527</v>
      </c>
      <c r="O59" s="39">
        <f t="shared" si="15"/>
        <v>1017.956333</v>
      </c>
      <c r="P59" s="39">
        <f t="shared" si="15"/>
        <v>300.3303333</v>
      </c>
      <c r="Q59" s="39">
        <f t="shared" si="15"/>
        <v>289.9563333</v>
      </c>
      <c r="R59" s="39">
        <f t="shared" si="15"/>
        <v>794.0457778</v>
      </c>
      <c r="S59" s="39">
        <f t="shared" si="15"/>
        <v>299.117</v>
      </c>
      <c r="T59" s="39">
        <f t="shared" si="15"/>
        <v>364.3336667</v>
      </c>
      <c r="U59" s="39">
        <f t="shared" si="15"/>
        <v>135.226</v>
      </c>
      <c r="V59" s="2"/>
      <c r="W59" s="4"/>
      <c r="X59" s="4"/>
      <c r="Y59" s="4"/>
      <c r="Z59" s="2"/>
      <c r="AA59" s="4"/>
      <c r="AB59" s="4"/>
      <c r="AC59" s="4"/>
      <c r="AD59" s="2"/>
      <c r="AE59" s="2"/>
      <c r="AF59" s="2"/>
      <c r="AG59" s="2"/>
      <c r="AH59" s="2"/>
      <c r="AI59" s="5"/>
      <c r="AJ59" s="2"/>
      <c r="AK59" s="2"/>
      <c r="AL59" s="2"/>
      <c r="AM59" s="2"/>
      <c r="AN59" s="2"/>
      <c r="AO59" s="2"/>
      <c r="AP59" s="5"/>
      <c r="AQ59" s="5"/>
    </row>
    <row r="60">
      <c r="A60" s="2"/>
      <c r="B60" s="5"/>
      <c r="C60" s="2"/>
      <c r="D60" s="55"/>
      <c r="E60" s="55"/>
      <c r="F60" s="55"/>
      <c r="G60" s="13"/>
      <c r="H60" s="13" t="s">
        <v>82</v>
      </c>
      <c r="I60" s="2"/>
      <c r="J60" s="39">
        <f t="shared" ref="J60:U60" si="16">J58+J59</f>
        <v>1741.424533</v>
      </c>
      <c r="K60" s="39">
        <f t="shared" si="16"/>
        <v>630.3832889</v>
      </c>
      <c r="L60" s="39">
        <f t="shared" si="16"/>
        <v>1525.7424</v>
      </c>
      <c r="M60" s="39">
        <f t="shared" si="16"/>
        <v>915.6460444</v>
      </c>
      <c r="N60" s="39">
        <f t="shared" si="16"/>
        <v>1280.8432</v>
      </c>
      <c r="O60" s="39">
        <f t="shared" si="16"/>
        <v>1628.730133</v>
      </c>
      <c r="P60" s="39">
        <f t="shared" si="16"/>
        <v>480.5285333</v>
      </c>
      <c r="Q60" s="39">
        <f t="shared" si="16"/>
        <v>463.9301333</v>
      </c>
      <c r="R60" s="39">
        <f t="shared" si="16"/>
        <v>1270.473244</v>
      </c>
      <c r="S60" s="39">
        <f t="shared" si="16"/>
        <v>478.5872</v>
      </c>
      <c r="T60" s="39">
        <f t="shared" si="16"/>
        <v>582.9338667</v>
      </c>
      <c r="U60" s="39">
        <f t="shared" si="16"/>
        <v>216.3616</v>
      </c>
      <c r="V60" s="2"/>
      <c r="W60" s="4"/>
      <c r="X60" s="4"/>
      <c r="Y60" s="4"/>
      <c r="Z60" s="2"/>
      <c r="AA60" s="4"/>
      <c r="AB60" s="4"/>
      <c r="AC60" s="4"/>
      <c r="AD60" s="2"/>
      <c r="AE60" s="2"/>
      <c r="AF60" s="2"/>
      <c r="AG60" s="2"/>
      <c r="AH60" s="2"/>
      <c r="AI60" s="5"/>
      <c r="AJ60" s="2"/>
      <c r="AK60" s="2"/>
      <c r="AL60" s="2"/>
      <c r="AM60" s="2"/>
      <c r="AN60" s="2"/>
      <c r="AO60" s="2"/>
      <c r="AP60" s="5"/>
      <c r="AQ60" s="5"/>
    </row>
    <row r="61">
      <c r="A61" s="2"/>
      <c r="B61" s="5"/>
      <c r="C61" s="2"/>
      <c r="D61" s="55"/>
      <c r="E61" s="55"/>
      <c r="F61" s="55"/>
      <c r="G61" s="13"/>
      <c r="H61" s="13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2"/>
      <c r="W61" s="4"/>
      <c r="X61" s="4"/>
      <c r="Y61" s="4"/>
      <c r="Z61" s="2"/>
      <c r="AA61" s="4"/>
      <c r="AB61" s="4"/>
      <c r="AC61" s="4"/>
      <c r="AD61" s="2"/>
      <c r="AE61" s="2"/>
      <c r="AF61" s="2"/>
      <c r="AG61" s="2"/>
      <c r="AH61" s="2"/>
      <c r="AI61" s="5"/>
      <c r="AJ61" s="2"/>
      <c r="AK61" s="2"/>
      <c r="AL61" s="2"/>
      <c r="AM61" s="2"/>
      <c r="AN61" s="2"/>
      <c r="AO61" s="2"/>
      <c r="AP61" s="5"/>
      <c r="AQ61" s="5"/>
    </row>
    <row r="62">
      <c r="A62" s="2"/>
      <c r="B62" s="5"/>
      <c r="C62" s="2"/>
      <c r="D62" s="55"/>
      <c r="E62" s="55"/>
      <c r="F62" s="55"/>
      <c r="G62" s="13">
        <v>1.0</v>
      </c>
      <c r="H62" s="13">
        <v>30.0</v>
      </c>
      <c r="I62" s="2"/>
      <c r="J62" s="4">
        <f t="shared" ref="J62:U62" si="17">if($F$10&lt;=$H$62,J56+J60,0)</f>
        <v>0</v>
      </c>
      <c r="K62" s="4">
        <f t="shared" si="17"/>
        <v>0</v>
      </c>
      <c r="L62" s="4">
        <f t="shared" si="17"/>
        <v>0</v>
      </c>
      <c r="M62" s="4">
        <f t="shared" si="17"/>
        <v>0</v>
      </c>
      <c r="N62" s="4">
        <f t="shared" si="17"/>
        <v>0</v>
      </c>
      <c r="O62" s="4">
        <f t="shared" si="17"/>
        <v>0</v>
      </c>
      <c r="P62" s="4">
        <f t="shared" si="17"/>
        <v>0</v>
      </c>
      <c r="Q62" s="4">
        <f t="shared" si="17"/>
        <v>0</v>
      </c>
      <c r="R62" s="4">
        <f t="shared" si="17"/>
        <v>0</v>
      </c>
      <c r="S62" s="4">
        <f t="shared" si="17"/>
        <v>0</v>
      </c>
      <c r="T62" s="4">
        <f t="shared" si="17"/>
        <v>0</v>
      </c>
      <c r="U62" s="4">
        <f t="shared" si="17"/>
        <v>0</v>
      </c>
      <c r="V62" s="2"/>
      <c r="W62" s="4"/>
      <c r="X62" s="4"/>
      <c r="Y62" s="4"/>
      <c r="Z62" s="2"/>
      <c r="AA62" s="4"/>
      <c r="AB62" s="4"/>
      <c r="AC62" s="4"/>
      <c r="AD62" s="2"/>
      <c r="AE62" s="2"/>
      <c r="AF62" s="2"/>
      <c r="AG62" s="2"/>
      <c r="AH62" s="2"/>
      <c r="AI62" s="5"/>
      <c r="AJ62" s="2"/>
      <c r="AK62" s="2"/>
      <c r="AL62" s="2"/>
      <c r="AM62" s="2"/>
      <c r="AN62" s="2"/>
      <c r="AO62" s="2"/>
      <c r="AP62" s="5"/>
      <c r="AQ62" s="5"/>
    </row>
    <row r="63">
      <c r="A63" s="2"/>
      <c r="B63" s="5"/>
      <c r="C63" s="2"/>
      <c r="D63" s="2"/>
      <c r="E63" s="2"/>
      <c r="F63" s="3"/>
      <c r="G63" s="13">
        <v>2.0</v>
      </c>
      <c r="H63" s="13">
        <v>60.0</v>
      </c>
      <c r="I63" s="2"/>
      <c r="J63" s="4"/>
      <c r="K63" s="4">
        <f t="shared" ref="K63:V63" si="18">if(and($F$10&gt;$H$62,$F$10&lt;=$H$63),J56+J60,0)</f>
        <v>0</v>
      </c>
      <c r="L63" s="4">
        <f t="shared" si="18"/>
        <v>0</v>
      </c>
      <c r="M63" s="4">
        <f t="shared" si="18"/>
        <v>0</v>
      </c>
      <c r="N63" s="4">
        <f t="shared" si="18"/>
        <v>0</v>
      </c>
      <c r="O63" s="4">
        <f t="shared" si="18"/>
        <v>0</v>
      </c>
      <c r="P63" s="4">
        <f t="shared" si="18"/>
        <v>0</v>
      </c>
      <c r="Q63" s="4">
        <f t="shared" si="18"/>
        <v>0</v>
      </c>
      <c r="R63" s="4">
        <f t="shared" si="18"/>
        <v>0</v>
      </c>
      <c r="S63" s="4">
        <f t="shared" si="18"/>
        <v>0</v>
      </c>
      <c r="T63" s="4">
        <f t="shared" si="18"/>
        <v>0</v>
      </c>
      <c r="U63" s="4">
        <f t="shared" si="18"/>
        <v>0</v>
      </c>
      <c r="V63" s="4">
        <f t="shared" si="18"/>
        <v>0</v>
      </c>
      <c r="W63" s="4"/>
      <c r="X63" s="4"/>
      <c r="Y63" s="4"/>
      <c r="Z63" s="2"/>
      <c r="AA63" s="4"/>
      <c r="AB63" s="4"/>
      <c r="AC63" s="4"/>
      <c r="AD63" s="2"/>
      <c r="AE63" s="2"/>
      <c r="AF63" s="2"/>
      <c r="AG63" s="2"/>
      <c r="AH63" s="2"/>
      <c r="AI63" s="5"/>
      <c r="AJ63" s="2"/>
      <c r="AK63" s="2"/>
      <c r="AL63" s="2"/>
      <c r="AM63" s="2"/>
      <c r="AN63" s="2"/>
      <c r="AO63" s="2"/>
      <c r="AP63" s="5"/>
      <c r="AQ63" s="5"/>
    </row>
    <row r="64">
      <c r="A64" s="2"/>
      <c r="B64" s="5"/>
      <c r="C64" s="2"/>
      <c r="D64" s="2"/>
      <c r="E64" s="4"/>
      <c r="F64" s="4"/>
      <c r="G64" s="13">
        <v>3.0</v>
      </c>
      <c r="H64" s="13">
        <v>90.0</v>
      </c>
      <c r="I64" s="4"/>
      <c r="J64" s="4"/>
      <c r="K64" s="4"/>
      <c r="L64" s="4">
        <f t="shared" ref="L64:W64" si="19">if(and($F$10&gt;$H$63,$F$10&lt;=$H$64),J56+J60,0)</f>
        <v>0</v>
      </c>
      <c r="M64" s="4">
        <f t="shared" si="19"/>
        <v>0</v>
      </c>
      <c r="N64" s="4">
        <f t="shared" si="19"/>
        <v>0</v>
      </c>
      <c r="O64" s="4">
        <f t="shared" si="19"/>
        <v>0</v>
      </c>
      <c r="P64" s="4">
        <f t="shared" si="19"/>
        <v>0</v>
      </c>
      <c r="Q64" s="4">
        <f t="shared" si="19"/>
        <v>0</v>
      </c>
      <c r="R64" s="4">
        <f t="shared" si="19"/>
        <v>0</v>
      </c>
      <c r="S64" s="4">
        <f t="shared" si="19"/>
        <v>0</v>
      </c>
      <c r="T64" s="4">
        <f t="shared" si="19"/>
        <v>0</v>
      </c>
      <c r="U64" s="4">
        <f t="shared" si="19"/>
        <v>0</v>
      </c>
      <c r="V64" s="4">
        <f t="shared" si="19"/>
        <v>0</v>
      </c>
      <c r="W64" s="4">
        <f t="shared" si="19"/>
        <v>0</v>
      </c>
      <c r="X64" s="4"/>
      <c r="Y64" s="4"/>
      <c r="Z64" s="2"/>
      <c r="AA64" s="4"/>
      <c r="AB64" s="4"/>
      <c r="AC64" s="4"/>
      <c r="AD64" s="2"/>
      <c r="AE64" s="2"/>
      <c r="AF64" s="2"/>
      <c r="AG64" s="2"/>
      <c r="AH64" s="2"/>
      <c r="AI64" s="5"/>
      <c r="AJ64" s="2"/>
      <c r="AK64" s="2"/>
      <c r="AL64" s="2"/>
      <c r="AM64" s="2"/>
      <c r="AN64" s="2"/>
      <c r="AO64" s="2"/>
      <c r="AP64" s="5"/>
      <c r="AQ64" s="5"/>
    </row>
    <row r="65">
      <c r="A65" s="2"/>
      <c r="B65" s="5"/>
      <c r="C65" s="2"/>
      <c r="D65" s="2"/>
      <c r="E65" s="4"/>
      <c r="F65" s="4"/>
      <c r="G65" s="13">
        <v>4.0</v>
      </c>
      <c r="H65" s="13">
        <v>120.0</v>
      </c>
      <c r="I65" s="4"/>
      <c r="J65" s="4"/>
      <c r="K65" s="4"/>
      <c r="L65" s="4"/>
      <c r="M65" s="39">
        <f t="shared" ref="M65:X65" si="20">if(and($F$10&gt;$H$64,$F$10&lt;=$H$65),J56+J60,0)</f>
        <v>44798.62453</v>
      </c>
      <c r="N65" s="39">
        <f t="shared" si="20"/>
        <v>16216.78329</v>
      </c>
      <c r="O65" s="39">
        <f t="shared" si="20"/>
        <v>39250.1424</v>
      </c>
      <c r="P65" s="39">
        <f t="shared" si="20"/>
        <v>23555.24604</v>
      </c>
      <c r="Q65" s="39">
        <f t="shared" si="20"/>
        <v>32950.0432</v>
      </c>
      <c r="R65" s="39">
        <f t="shared" si="20"/>
        <v>41899.53013</v>
      </c>
      <c r="S65" s="39">
        <f t="shared" si="20"/>
        <v>12361.72853</v>
      </c>
      <c r="T65" s="39">
        <f t="shared" si="20"/>
        <v>11934.73013</v>
      </c>
      <c r="U65" s="39">
        <f t="shared" si="20"/>
        <v>32683.27324</v>
      </c>
      <c r="V65" s="39">
        <f t="shared" si="20"/>
        <v>12311.7872</v>
      </c>
      <c r="W65" s="39">
        <f t="shared" si="20"/>
        <v>14996.13387</v>
      </c>
      <c r="X65" s="39">
        <f t="shared" si="20"/>
        <v>5565.9616</v>
      </c>
      <c r="Y65" s="4"/>
      <c r="Z65" s="2"/>
      <c r="AA65" s="4"/>
      <c r="AB65" s="4"/>
      <c r="AC65" s="4"/>
      <c r="AD65" s="2"/>
      <c r="AE65" s="2"/>
      <c r="AF65" s="2"/>
      <c r="AG65" s="2"/>
      <c r="AH65" s="2"/>
      <c r="AI65" s="5"/>
      <c r="AJ65" s="2"/>
      <c r="AK65" s="2"/>
      <c r="AL65" s="2"/>
      <c r="AM65" s="2"/>
      <c r="AN65" s="2"/>
      <c r="AO65" s="2"/>
      <c r="AP65" s="5"/>
      <c r="AQ65" s="5"/>
    </row>
    <row r="66">
      <c r="A66" s="2"/>
      <c r="B66" s="5"/>
      <c r="C66" s="2"/>
      <c r="D66" s="2"/>
      <c r="E66" s="4"/>
      <c r="F66" s="4"/>
      <c r="G66" s="13">
        <v>5.0</v>
      </c>
      <c r="H66" s="13">
        <v>150.0</v>
      </c>
      <c r="I66" s="4"/>
      <c r="J66" s="4"/>
      <c r="K66" s="4"/>
      <c r="L66" s="4"/>
      <c r="M66" s="4"/>
      <c r="N66" s="4">
        <f t="shared" ref="N66:Y66" si="21">if(and($F$10&gt;$H$65,$F$10&lt;=$H$66),J56+J60,0)</f>
        <v>0</v>
      </c>
      <c r="O66" s="4">
        <f t="shared" si="21"/>
        <v>0</v>
      </c>
      <c r="P66" s="4">
        <f t="shared" si="21"/>
        <v>0</v>
      </c>
      <c r="Q66" s="4">
        <f t="shared" si="21"/>
        <v>0</v>
      </c>
      <c r="R66" s="4">
        <f t="shared" si="21"/>
        <v>0</v>
      </c>
      <c r="S66" s="4">
        <f t="shared" si="21"/>
        <v>0</v>
      </c>
      <c r="T66" s="4">
        <f t="shared" si="21"/>
        <v>0</v>
      </c>
      <c r="U66" s="4">
        <f t="shared" si="21"/>
        <v>0</v>
      </c>
      <c r="V66" s="4">
        <f t="shared" si="21"/>
        <v>0</v>
      </c>
      <c r="W66" s="4">
        <f t="shared" si="21"/>
        <v>0</v>
      </c>
      <c r="X66" s="4">
        <f t="shared" si="21"/>
        <v>0</v>
      </c>
      <c r="Y66" s="4">
        <f t="shared" si="21"/>
        <v>0</v>
      </c>
      <c r="Z66" s="2"/>
      <c r="AA66" s="4"/>
      <c r="AB66" s="4"/>
      <c r="AC66" s="4"/>
      <c r="AD66" s="2"/>
      <c r="AE66" s="2"/>
      <c r="AF66" s="2"/>
      <c r="AG66" s="2"/>
      <c r="AH66" s="2"/>
      <c r="AI66" s="5"/>
      <c r="AJ66" s="2"/>
      <c r="AK66" s="2"/>
      <c r="AL66" s="2"/>
      <c r="AM66" s="2"/>
      <c r="AN66" s="2"/>
      <c r="AO66" s="2"/>
      <c r="AP66" s="5"/>
      <c r="AQ66" s="5"/>
    </row>
    <row r="67">
      <c r="A67" s="2"/>
      <c r="B67" s="5"/>
      <c r="C67" s="2"/>
      <c r="D67" s="2"/>
      <c r="E67" s="4"/>
      <c r="F67" s="4"/>
      <c r="G67" s="13">
        <v>6.0</v>
      </c>
      <c r="H67" s="13">
        <v>180.0</v>
      </c>
      <c r="I67" s="4"/>
      <c r="J67" s="4"/>
      <c r="K67" s="4"/>
      <c r="L67" s="4"/>
      <c r="M67" s="4"/>
      <c r="N67" s="4"/>
      <c r="O67" s="4">
        <f t="shared" ref="O67:Z67" si="22">if(and($F$10&gt;$H$66,$F$10&lt;=$H$67),J56+J60,0)</f>
        <v>0</v>
      </c>
      <c r="P67" s="4">
        <f t="shared" si="22"/>
        <v>0</v>
      </c>
      <c r="Q67" s="4">
        <f t="shared" si="22"/>
        <v>0</v>
      </c>
      <c r="R67" s="4">
        <f t="shared" si="22"/>
        <v>0</v>
      </c>
      <c r="S67" s="4">
        <f t="shared" si="22"/>
        <v>0</v>
      </c>
      <c r="T67" s="4">
        <f t="shared" si="22"/>
        <v>0</v>
      </c>
      <c r="U67" s="4">
        <f t="shared" si="22"/>
        <v>0</v>
      </c>
      <c r="V67" s="4">
        <f t="shared" si="22"/>
        <v>0</v>
      </c>
      <c r="W67" s="4">
        <f t="shared" si="22"/>
        <v>0</v>
      </c>
      <c r="X67" s="4">
        <f t="shared" si="22"/>
        <v>0</v>
      </c>
      <c r="Y67" s="4">
        <f t="shared" si="22"/>
        <v>0</v>
      </c>
      <c r="Z67" s="4">
        <f t="shared" si="22"/>
        <v>0</v>
      </c>
      <c r="AA67" s="4"/>
      <c r="AB67" s="4"/>
      <c r="AC67" s="4"/>
      <c r="AD67" s="2"/>
      <c r="AE67" s="2"/>
      <c r="AF67" s="2"/>
      <c r="AG67" s="2"/>
      <c r="AH67" s="2"/>
      <c r="AI67" s="5"/>
      <c r="AJ67" s="2"/>
      <c r="AK67" s="2"/>
      <c r="AL67" s="2"/>
      <c r="AM67" s="2"/>
      <c r="AN67" s="2"/>
      <c r="AO67" s="2"/>
      <c r="AP67" s="5"/>
      <c r="AQ67" s="5"/>
    </row>
    <row r="68">
      <c r="A68" s="2"/>
      <c r="B68" s="5"/>
      <c r="C68" s="2"/>
      <c r="D68" s="2"/>
      <c r="E68" s="2"/>
      <c r="F68" s="2"/>
      <c r="G68" s="13">
        <v>7.0</v>
      </c>
      <c r="H68" s="13">
        <v>210.0</v>
      </c>
      <c r="I68" s="2"/>
      <c r="J68" s="4"/>
      <c r="K68" s="4"/>
      <c r="L68" s="4"/>
      <c r="M68" s="4"/>
      <c r="N68" s="4"/>
      <c r="O68" s="4"/>
      <c r="P68" s="4">
        <f t="shared" ref="P68:AA68" si="23">if(and($F$10&gt;$H$67,$F$10&lt;=$H$68),J56+J60,0)</f>
        <v>0</v>
      </c>
      <c r="Q68" s="4">
        <f t="shared" si="23"/>
        <v>0</v>
      </c>
      <c r="R68" s="4">
        <f t="shared" si="23"/>
        <v>0</v>
      </c>
      <c r="S68" s="4">
        <f t="shared" si="23"/>
        <v>0</v>
      </c>
      <c r="T68" s="4">
        <f t="shared" si="23"/>
        <v>0</v>
      </c>
      <c r="U68" s="4">
        <f t="shared" si="23"/>
        <v>0</v>
      </c>
      <c r="V68" s="4">
        <f t="shared" si="23"/>
        <v>0</v>
      </c>
      <c r="W68" s="4">
        <f t="shared" si="23"/>
        <v>0</v>
      </c>
      <c r="X68" s="4">
        <f t="shared" si="23"/>
        <v>0</v>
      </c>
      <c r="Y68" s="4">
        <f t="shared" si="23"/>
        <v>0</v>
      </c>
      <c r="Z68" s="4">
        <f t="shared" si="23"/>
        <v>0</v>
      </c>
      <c r="AA68" s="4">
        <f t="shared" si="23"/>
        <v>0</v>
      </c>
      <c r="AB68" s="4"/>
      <c r="AC68" s="4"/>
      <c r="AD68" s="2"/>
      <c r="AE68" s="2"/>
      <c r="AF68" s="2"/>
      <c r="AG68" s="2"/>
      <c r="AH68" s="2"/>
      <c r="AI68" s="5"/>
      <c r="AJ68" s="2"/>
      <c r="AK68" s="2"/>
      <c r="AL68" s="2"/>
      <c r="AM68" s="2"/>
      <c r="AN68" s="2"/>
      <c r="AO68" s="2"/>
      <c r="AP68" s="5"/>
      <c r="AQ68" s="5"/>
    </row>
    <row r="69">
      <c r="A69" s="2"/>
      <c r="B69" s="5"/>
      <c r="C69" s="2"/>
      <c r="D69" s="2"/>
      <c r="E69" s="2"/>
      <c r="F69" s="2"/>
      <c r="G69" s="13">
        <v>8.0</v>
      </c>
      <c r="H69" s="13">
        <v>240.0</v>
      </c>
      <c r="I69" s="2"/>
      <c r="J69" s="4"/>
      <c r="K69" s="4"/>
      <c r="L69" s="4"/>
      <c r="M69" s="4"/>
      <c r="N69" s="4"/>
      <c r="O69" s="4"/>
      <c r="P69" s="4"/>
      <c r="Q69" s="4">
        <f t="shared" ref="Q69:AB69" si="24">if(and($F$10&gt;$H$68,$F$10&lt;=$H$69),J56+J60,0)</f>
        <v>0</v>
      </c>
      <c r="R69" s="4">
        <f t="shared" si="24"/>
        <v>0</v>
      </c>
      <c r="S69" s="4">
        <f t="shared" si="24"/>
        <v>0</v>
      </c>
      <c r="T69" s="4">
        <f t="shared" si="24"/>
        <v>0</v>
      </c>
      <c r="U69" s="4">
        <f t="shared" si="24"/>
        <v>0</v>
      </c>
      <c r="V69" s="4">
        <f t="shared" si="24"/>
        <v>0</v>
      </c>
      <c r="W69" s="4">
        <f t="shared" si="24"/>
        <v>0</v>
      </c>
      <c r="X69" s="4">
        <f t="shared" si="24"/>
        <v>0</v>
      </c>
      <c r="Y69" s="4">
        <f t="shared" si="24"/>
        <v>0</v>
      </c>
      <c r="Z69" s="4">
        <f t="shared" si="24"/>
        <v>0</v>
      </c>
      <c r="AA69" s="4">
        <f t="shared" si="24"/>
        <v>0</v>
      </c>
      <c r="AB69" s="4">
        <f t="shared" si="24"/>
        <v>0</v>
      </c>
      <c r="AC69" s="4"/>
      <c r="AD69" s="2"/>
      <c r="AE69" s="2"/>
      <c r="AF69" s="2"/>
      <c r="AG69" s="2"/>
      <c r="AH69" s="2"/>
      <c r="AI69" s="5"/>
      <c r="AJ69" s="2"/>
      <c r="AK69" s="2"/>
      <c r="AL69" s="2"/>
      <c r="AM69" s="2"/>
      <c r="AN69" s="2"/>
      <c r="AO69" s="2"/>
      <c r="AP69" s="5"/>
      <c r="AQ69" s="5"/>
    </row>
    <row r="70">
      <c r="A70" s="2"/>
      <c r="B70" s="5"/>
      <c r="C70" s="2"/>
      <c r="D70" s="2"/>
      <c r="E70" s="2"/>
      <c r="F70" s="2"/>
      <c r="G70" s="13">
        <v>9.0</v>
      </c>
      <c r="H70" s="13">
        <v>270.0</v>
      </c>
      <c r="I70" s="2"/>
      <c r="J70" s="4"/>
      <c r="K70" s="4"/>
      <c r="L70" s="4"/>
      <c r="M70" s="4"/>
      <c r="N70" s="4"/>
      <c r="O70" s="4"/>
      <c r="P70" s="4"/>
      <c r="Q70" s="4"/>
      <c r="R70" s="4">
        <f t="shared" ref="R70:AC70" si="25">if(and($F$10&gt;$H$69,$F$10&lt;=$H$70),J56+J60,0)</f>
        <v>0</v>
      </c>
      <c r="S70" s="4">
        <f t="shared" si="25"/>
        <v>0</v>
      </c>
      <c r="T70" s="4">
        <f t="shared" si="25"/>
        <v>0</v>
      </c>
      <c r="U70" s="4">
        <f t="shared" si="25"/>
        <v>0</v>
      </c>
      <c r="V70" s="4">
        <f t="shared" si="25"/>
        <v>0</v>
      </c>
      <c r="W70" s="4">
        <f t="shared" si="25"/>
        <v>0</v>
      </c>
      <c r="X70" s="4">
        <f t="shared" si="25"/>
        <v>0</v>
      </c>
      <c r="Y70" s="4">
        <f t="shared" si="25"/>
        <v>0</v>
      </c>
      <c r="Z70" s="4">
        <f t="shared" si="25"/>
        <v>0</v>
      </c>
      <c r="AA70" s="4">
        <f t="shared" si="25"/>
        <v>0</v>
      </c>
      <c r="AB70" s="4">
        <f t="shared" si="25"/>
        <v>0</v>
      </c>
      <c r="AC70" s="4">
        <f t="shared" si="25"/>
        <v>0</v>
      </c>
      <c r="AD70" s="2"/>
      <c r="AE70" s="2"/>
      <c r="AF70" s="2"/>
      <c r="AG70" s="2"/>
      <c r="AH70" s="2"/>
      <c r="AI70" s="5"/>
      <c r="AJ70" s="2"/>
      <c r="AK70" s="2"/>
      <c r="AL70" s="2"/>
      <c r="AM70" s="2"/>
      <c r="AN70" s="2"/>
      <c r="AO70" s="2"/>
      <c r="AP70" s="5"/>
      <c r="AQ70" s="5"/>
    </row>
    <row r="71">
      <c r="A71" s="2"/>
      <c r="B71" s="5"/>
      <c r="C71" s="2"/>
      <c r="D71" s="2"/>
      <c r="E71" s="2"/>
      <c r="F71" s="2"/>
      <c r="G71" s="13">
        <v>10.0</v>
      </c>
      <c r="H71" s="13">
        <v>300.0</v>
      </c>
      <c r="I71" s="2"/>
      <c r="J71" s="4"/>
      <c r="K71" s="4"/>
      <c r="L71" s="4"/>
      <c r="M71" s="4"/>
      <c r="N71" s="4"/>
      <c r="O71" s="4"/>
      <c r="P71" s="4"/>
      <c r="Q71" s="4"/>
      <c r="R71" s="4"/>
      <c r="S71" s="4">
        <f t="shared" ref="S71:AD71" si="26">if(and($F$10&gt;$H$70,$F$10&lt;=$H$71),J56+J60,0)</f>
        <v>0</v>
      </c>
      <c r="T71" s="4">
        <f t="shared" si="26"/>
        <v>0</v>
      </c>
      <c r="U71" s="4">
        <f t="shared" si="26"/>
        <v>0</v>
      </c>
      <c r="V71" s="4">
        <f t="shared" si="26"/>
        <v>0</v>
      </c>
      <c r="W71" s="4">
        <f t="shared" si="26"/>
        <v>0</v>
      </c>
      <c r="X71" s="4">
        <f t="shared" si="26"/>
        <v>0</v>
      </c>
      <c r="Y71" s="4">
        <f t="shared" si="26"/>
        <v>0</v>
      </c>
      <c r="Z71" s="4">
        <f t="shared" si="26"/>
        <v>0</v>
      </c>
      <c r="AA71" s="4">
        <f t="shared" si="26"/>
        <v>0</v>
      </c>
      <c r="AB71" s="4">
        <f t="shared" si="26"/>
        <v>0</v>
      </c>
      <c r="AC71" s="4">
        <f t="shared" si="26"/>
        <v>0</v>
      </c>
      <c r="AD71" s="4">
        <f t="shared" si="26"/>
        <v>0</v>
      </c>
      <c r="AE71" s="2"/>
      <c r="AF71" s="2"/>
      <c r="AG71" s="2"/>
      <c r="AH71" s="2"/>
      <c r="AI71" s="5"/>
      <c r="AJ71" s="2"/>
      <c r="AK71" s="2"/>
      <c r="AL71" s="2"/>
      <c r="AM71" s="2"/>
      <c r="AN71" s="2"/>
      <c r="AO71" s="2"/>
      <c r="AP71" s="5"/>
      <c r="AQ71" s="5"/>
    </row>
    <row r="72">
      <c r="A72" s="2"/>
      <c r="B72" s="5"/>
      <c r="C72" s="2"/>
      <c r="D72" s="2"/>
      <c r="E72" s="2"/>
      <c r="F72" s="2"/>
      <c r="G72" s="13">
        <v>11.0</v>
      </c>
      <c r="H72" s="13">
        <v>330.0</v>
      </c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ref="T72:AE72" si="27">if(and($F$10&gt;$H$71,$F$10&lt;=$H$72),J56+J60,0)</f>
        <v>0</v>
      </c>
      <c r="U72" s="4">
        <f t="shared" si="27"/>
        <v>0</v>
      </c>
      <c r="V72" s="4">
        <f t="shared" si="27"/>
        <v>0</v>
      </c>
      <c r="W72" s="4">
        <f t="shared" si="27"/>
        <v>0</v>
      </c>
      <c r="X72" s="4">
        <f t="shared" si="27"/>
        <v>0</v>
      </c>
      <c r="Y72" s="4">
        <f t="shared" si="27"/>
        <v>0</v>
      </c>
      <c r="Z72" s="4">
        <f t="shared" si="27"/>
        <v>0</v>
      </c>
      <c r="AA72" s="4">
        <f t="shared" si="27"/>
        <v>0</v>
      </c>
      <c r="AB72" s="4">
        <f t="shared" si="27"/>
        <v>0</v>
      </c>
      <c r="AC72" s="4">
        <f t="shared" si="27"/>
        <v>0</v>
      </c>
      <c r="AD72" s="4">
        <f t="shared" si="27"/>
        <v>0</v>
      </c>
      <c r="AE72" s="4">
        <f t="shared" si="27"/>
        <v>0</v>
      </c>
      <c r="AF72" s="2"/>
      <c r="AG72" s="2"/>
      <c r="AH72" s="2"/>
      <c r="AI72" s="5"/>
      <c r="AJ72" s="2"/>
      <c r="AK72" s="2"/>
      <c r="AL72" s="2"/>
      <c r="AM72" s="2"/>
      <c r="AN72" s="2"/>
      <c r="AO72" s="2"/>
      <c r="AP72" s="5"/>
      <c r="AQ72" s="5"/>
    </row>
    <row r="73">
      <c r="A73" s="2"/>
      <c r="B73" s="5"/>
      <c r="C73" s="2"/>
      <c r="D73" s="2"/>
      <c r="E73" s="2"/>
      <c r="F73" s="2"/>
      <c r="G73" s="13">
        <v>12.0</v>
      </c>
      <c r="H73" s="13">
        <v>360.0</v>
      </c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>
        <f t="shared" ref="U73:AF73" si="28">if(and($F$10&gt;$H$72,$F$10&lt;=$H$73),J56+J60,0)</f>
        <v>0</v>
      </c>
      <c r="V73" s="4">
        <f t="shared" si="28"/>
        <v>0</v>
      </c>
      <c r="W73" s="4">
        <f t="shared" si="28"/>
        <v>0</v>
      </c>
      <c r="X73" s="4">
        <f t="shared" si="28"/>
        <v>0</v>
      </c>
      <c r="Y73" s="4">
        <f t="shared" si="28"/>
        <v>0</v>
      </c>
      <c r="Z73" s="4">
        <f t="shared" si="28"/>
        <v>0</v>
      </c>
      <c r="AA73" s="4">
        <f t="shared" si="28"/>
        <v>0</v>
      </c>
      <c r="AB73" s="4">
        <f t="shared" si="28"/>
        <v>0</v>
      </c>
      <c r="AC73" s="4">
        <f t="shared" si="28"/>
        <v>0</v>
      </c>
      <c r="AD73" s="4">
        <f t="shared" si="28"/>
        <v>0</v>
      </c>
      <c r="AE73" s="4">
        <f t="shared" si="28"/>
        <v>0</v>
      </c>
      <c r="AF73" s="4">
        <f t="shared" si="28"/>
        <v>0</v>
      </c>
      <c r="AG73" s="2"/>
      <c r="AH73" s="2"/>
      <c r="AI73" s="5"/>
      <c r="AJ73" s="2"/>
      <c r="AK73" s="2"/>
      <c r="AL73" s="2"/>
      <c r="AM73" s="2"/>
      <c r="AN73" s="2"/>
      <c r="AO73" s="2"/>
      <c r="AP73" s="5"/>
      <c r="AQ73" s="5"/>
    </row>
    <row r="74" ht="7.5" customHeight="1">
      <c r="A74" s="2"/>
      <c r="B74" s="5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2"/>
      <c r="W74" s="4"/>
      <c r="X74" s="4"/>
      <c r="Y74" s="4"/>
      <c r="Z74" s="2"/>
      <c r="AA74" s="4"/>
      <c r="AB74" s="4"/>
      <c r="AC74" s="4"/>
      <c r="AD74" s="2"/>
      <c r="AE74" s="2"/>
      <c r="AF74" s="2"/>
      <c r="AG74" s="2"/>
      <c r="AH74" s="2"/>
      <c r="AI74" s="5"/>
      <c r="AJ74" s="2"/>
      <c r="AK74" s="2"/>
      <c r="AL74" s="2"/>
      <c r="AM74" s="2"/>
      <c r="AN74" s="2"/>
      <c r="AO74" s="2"/>
      <c r="AP74" s="5"/>
      <c r="AQ74" s="5"/>
    </row>
    <row r="75">
      <c r="A75" s="2"/>
      <c r="B75" s="5"/>
      <c r="C75" s="2"/>
      <c r="D75" s="2"/>
      <c r="E75" s="2"/>
      <c r="F75" s="2"/>
      <c r="G75" s="2"/>
      <c r="H75" s="2" t="str">
        <f>H56</f>
        <v>Balance Due</v>
      </c>
      <c r="I75" s="2"/>
      <c r="J75" s="39">
        <f t="shared" ref="J75:AF75" si="29">sum(J62:J73)</f>
        <v>0</v>
      </c>
      <c r="K75" s="39">
        <f t="shared" si="29"/>
        <v>0</v>
      </c>
      <c r="L75" s="39">
        <f t="shared" si="29"/>
        <v>0</v>
      </c>
      <c r="M75" s="39">
        <f t="shared" si="29"/>
        <v>44798.62453</v>
      </c>
      <c r="N75" s="39">
        <f t="shared" si="29"/>
        <v>16216.78329</v>
      </c>
      <c r="O75" s="39">
        <f t="shared" si="29"/>
        <v>39250.1424</v>
      </c>
      <c r="P75" s="39">
        <f t="shared" si="29"/>
        <v>23555.24604</v>
      </c>
      <c r="Q75" s="39">
        <f t="shared" si="29"/>
        <v>32950.0432</v>
      </c>
      <c r="R75" s="39">
        <f t="shared" si="29"/>
        <v>41899.53013</v>
      </c>
      <c r="S75" s="39">
        <f t="shared" si="29"/>
        <v>12361.72853</v>
      </c>
      <c r="T75" s="39">
        <f t="shared" si="29"/>
        <v>11934.73013</v>
      </c>
      <c r="U75" s="39">
        <f t="shared" si="29"/>
        <v>32683.27324</v>
      </c>
      <c r="V75" s="39">
        <f t="shared" si="29"/>
        <v>12311.7872</v>
      </c>
      <c r="W75" s="39">
        <f t="shared" si="29"/>
        <v>14996.13387</v>
      </c>
      <c r="X75" s="39">
        <f t="shared" si="29"/>
        <v>5565.9616</v>
      </c>
      <c r="Y75" s="39">
        <f t="shared" si="29"/>
        <v>0</v>
      </c>
      <c r="Z75" s="39">
        <f t="shared" si="29"/>
        <v>0</v>
      </c>
      <c r="AA75" s="39">
        <f t="shared" si="29"/>
        <v>0</v>
      </c>
      <c r="AB75" s="39">
        <f t="shared" si="29"/>
        <v>0</v>
      </c>
      <c r="AC75" s="39">
        <f t="shared" si="29"/>
        <v>0</v>
      </c>
      <c r="AD75" s="39">
        <f t="shared" si="29"/>
        <v>0</v>
      </c>
      <c r="AE75" s="39">
        <f t="shared" si="29"/>
        <v>0</v>
      </c>
      <c r="AF75" s="39">
        <f t="shared" si="29"/>
        <v>0</v>
      </c>
      <c r="AG75" s="2"/>
      <c r="AH75" s="2"/>
      <c r="AI75" s="5"/>
      <c r="AJ75" s="2"/>
      <c r="AK75" s="2"/>
      <c r="AL75" s="2"/>
      <c r="AM75" s="2"/>
      <c r="AN75" s="2"/>
      <c r="AO75" s="2"/>
      <c r="AP75" s="5"/>
      <c r="AQ75" s="5"/>
    </row>
    <row r="76">
      <c r="A76" s="2"/>
      <c r="B76" s="5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2"/>
      <c r="W76" s="4"/>
      <c r="X76" s="4"/>
      <c r="Y76" s="4"/>
      <c r="Z76" s="2"/>
      <c r="AA76" s="4"/>
      <c r="AB76" s="4"/>
      <c r="AC76" s="4"/>
      <c r="AD76" s="2"/>
      <c r="AE76" s="2"/>
      <c r="AF76" s="2"/>
      <c r="AG76" s="2"/>
      <c r="AH76" s="2"/>
      <c r="AI76" s="5"/>
      <c r="AJ76" s="2"/>
      <c r="AK76" s="2"/>
      <c r="AL76" s="2"/>
      <c r="AM76" s="2"/>
      <c r="AN76" s="2"/>
      <c r="AO76" s="2"/>
      <c r="AP76" s="5"/>
      <c r="AQ76" s="5"/>
    </row>
    <row r="77">
      <c r="A77" s="2"/>
      <c r="B77" s="5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2"/>
      <c r="W77" s="4"/>
      <c r="X77" s="4"/>
      <c r="Y77" s="4"/>
      <c r="Z77" s="2"/>
      <c r="AA77" s="4"/>
      <c r="AB77" s="4"/>
      <c r="AC77" s="4"/>
      <c r="AD77" s="2"/>
      <c r="AE77" s="2"/>
      <c r="AF77" s="2"/>
      <c r="AG77" s="2"/>
      <c r="AH77" s="2"/>
      <c r="AI77" s="5"/>
      <c r="AJ77" s="2"/>
      <c r="AK77" s="2"/>
      <c r="AL77" s="2"/>
      <c r="AM77" s="2"/>
      <c r="AN77" s="2"/>
      <c r="AO77" s="2"/>
      <c r="AP77" s="5"/>
      <c r="AQ77" s="5"/>
    </row>
    <row r="78">
      <c r="A78" s="2"/>
      <c r="B78" s="5"/>
      <c r="C78" s="2"/>
      <c r="D78" s="74" t="s">
        <v>83</v>
      </c>
      <c r="F78" s="2"/>
      <c r="G78" s="2"/>
      <c r="H78" s="75" t="str">
        <f t="shared" ref="H78:H80" si="31">J7</f>
        <v>10 ft</v>
      </c>
      <c r="I78" s="75"/>
      <c r="J78" s="76">
        <f t="shared" ref="J78:U78" si="30">if(J45=0,0,if(J44="Sea",$K$7,if(J44="Air",$L$7,$M$7)+if($J$42="yes",$H$7,0)))</f>
        <v>7500</v>
      </c>
      <c r="K78" s="76">
        <f t="shared" si="30"/>
        <v>3500</v>
      </c>
      <c r="L78" s="76">
        <f t="shared" si="30"/>
        <v>9000</v>
      </c>
      <c r="M78" s="76">
        <f t="shared" si="30"/>
        <v>9000</v>
      </c>
      <c r="N78" s="76">
        <f t="shared" si="30"/>
        <v>3500</v>
      </c>
      <c r="O78" s="76">
        <f t="shared" si="30"/>
        <v>7500</v>
      </c>
      <c r="P78" s="76">
        <f t="shared" si="30"/>
        <v>9000</v>
      </c>
      <c r="Q78" s="76">
        <f t="shared" si="30"/>
        <v>3500</v>
      </c>
      <c r="R78" s="76">
        <f t="shared" si="30"/>
        <v>7500</v>
      </c>
      <c r="S78" s="76">
        <f t="shared" si="30"/>
        <v>9000</v>
      </c>
      <c r="T78" s="76">
        <f t="shared" si="30"/>
        <v>3500</v>
      </c>
      <c r="U78" s="76">
        <f t="shared" si="30"/>
        <v>9000</v>
      </c>
      <c r="V78" s="2"/>
      <c r="W78" s="4"/>
      <c r="X78" s="4"/>
      <c r="Y78" s="4"/>
      <c r="Z78" s="2"/>
      <c r="AA78" s="4"/>
      <c r="AB78" s="4"/>
      <c r="AC78" s="4"/>
      <c r="AD78" s="2"/>
      <c r="AE78" s="2"/>
      <c r="AF78" s="2"/>
      <c r="AG78" s="2"/>
      <c r="AH78" s="2"/>
      <c r="AI78" s="5"/>
      <c r="AJ78" s="2"/>
      <c r="AK78" s="2"/>
      <c r="AL78" s="2"/>
      <c r="AM78" s="2"/>
      <c r="AN78" s="2"/>
      <c r="AO78" s="2"/>
      <c r="AP78" s="5"/>
      <c r="AQ78" s="5"/>
    </row>
    <row r="79">
      <c r="A79" s="2"/>
      <c r="B79" s="5"/>
      <c r="C79" s="2"/>
      <c r="D79" s="2"/>
      <c r="E79" s="2"/>
      <c r="F79" s="2"/>
      <c r="G79" s="2"/>
      <c r="H79" s="75" t="str">
        <f t="shared" si="31"/>
        <v>20 ft</v>
      </c>
      <c r="I79" s="75"/>
      <c r="J79" s="76">
        <f>if(J45=0,0,if(J44="Sea",$K$8,if(J44="Air",$L$8,$M$8)+if($J$42="yes",$H$8,0)))</f>
        <v>14000</v>
      </c>
      <c r="K79" s="76">
        <f t="shared" ref="K79:U79" si="32">if(K45=0,0,if(K44="Sea",$K$8,if(K44="Air",$L$8,$M$8)))</f>
        <v>8000</v>
      </c>
      <c r="L79" s="76">
        <f t="shared" si="32"/>
        <v>11500</v>
      </c>
      <c r="M79" s="76">
        <f t="shared" si="32"/>
        <v>11500</v>
      </c>
      <c r="N79" s="76">
        <f t="shared" si="32"/>
        <v>8000</v>
      </c>
      <c r="O79" s="76">
        <f t="shared" si="32"/>
        <v>10000</v>
      </c>
      <c r="P79" s="76">
        <f t="shared" si="32"/>
        <v>11500</v>
      </c>
      <c r="Q79" s="76">
        <f t="shared" si="32"/>
        <v>8000</v>
      </c>
      <c r="R79" s="76">
        <f t="shared" si="32"/>
        <v>10000</v>
      </c>
      <c r="S79" s="76">
        <f t="shared" si="32"/>
        <v>11500</v>
      </c>
      <c r="T79" s="76">
        <f t="shared" si="32"/>
        <v>8000</v>
      </c>
      <c r="U79" s="76">
        <f t="shared" si="32"/>
        <v>11500</v>
      </c>
      <c r="V79" s="2"/>
      <c r="W79" s="4"/>
      <c r="X79" s="4"/>
      <c r="Y79" s="4"/>
      <c r="Z79" s="2"/>
      <c r="AA79" s="4"/>
      <c r="AB79" s="4"/>
      <c r="AC79" s="4"/>
      <c r="AD79" s="2"/>
      <c r="AE79" s="2"/>
      <c r="AF79" s="2"/>
      <c r="AG79" s="2"/>
      <c r="AH79" s="2"/>
      <c r="AI79" s="5"/>
      <c r="AJ79" s="2"/>
      <c r="AK79" s="2"/>
      <c r="AL79" s="2"/>
      <c r="AM79" s="2"/>
      <c r="AN79" s="2"/>
      <c r="AO79" s="2"/>
      <c r="AP79" s="5"/>
      <c r="AQ79" s="5"/>
    </row>
    <row r="80">
      <c r="A80" s="2"/>
      <c r="B80" s="5"/>
      <c r="C80" s="2"/>
      <c r="D80" s="2"/>
      <c r="E80" s="2"/>
      <c r="F80" s="2"/>
      <c r="G80" s="2"/>
      <c r="H80" s="75" t="str">
        <f t="shared" si="31"/>
        <v>40 ft</v>
      </c>
      <c r="I80" s="75"/>
      <c r="J80" s="76">
        <f t="shared" ref="J80:U80" si="33">if(J45=0,0,if(J44="Sea",$K$9,if(J44="Air",$L$9,$M$9)+if($J$42="yes",$H$9,0)))</f>
        <v>20000</v>
      </c>
      <c r="K80" s="76">
        <f t="shared" si="33"/>
        <v>12000</v>
      </c>
      <c r="L80" s="76">
        <f t="shared" si="33"/>
        <v>21500</v>
      </c>
      <c r="M80" s="76">
        <f t="shared" si="33"/>
        <v>21500</v>
      </c>
      <c r="N80" s="76">
        <f t="shared" si="33"/>
        <v>12000</v>
      </c>
      <c r="O80" s="76">
        <f t="shared" si="33"/>
        <v>20000</v>
      </c>
      <c r="P80" s="76">
        <f t="shared" si="33"/>
        <v>21500</v>
      </c>
      <c r="Q80" s="76">
        <f t="shared" si="33"/>
        <v>12000</v>
      </c>
      <c r="R80" s="76">
        <f t="shared" si="33"/>
        <v>20000</v>
      </c>
      <c r="S80" s="76">
        <f t="shared" si="33"/>
        <v>21500</v>
      </c>
      <c r="T80" s="76">
        <f t="shared" si="33"/>
        <v>12000</v>
      </c>
      <c r="U80" s="76">
        <f t="shared" si="33"/>
        <v>21500</v>
      </c>
      <c r="V80" s="2"/>
      <c r="W80" s="4"/>
      <c r="X80" s="4"/>
      <c r="Y80" s="4"/>
      <c r="Z80" s="2"/>
      <c r="AA80" s="4"/>
      <c r="AB80" s="4"/>
      <c r="AC80" s="4"/>
      <c r="AD80" s="2"/>
      <c r="AE80" s="2"/>
      <c r="AF80" s="2"/>
      <c r="AG80" s="2"/>
      <c r="AH80" s="2"/>
      <c r="AI80" s="5"/>
      <c r="AJ80" s="2"/>
      <c r="AK80" s="2"/>
      <c r="AL80" s="2"/>
      <c r="AM80" s="2"/>
      <c r="AN80" s="2"/>
      <c r="AO80" s="2"/>
      <c r="AP80" s="5"/>
      <c r="AQ80" s="5"/>
    </row>
    <row r="81">
      <c r="A81" s="2"/>
      <c r="B81" s="5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2"/>
      <c r="W81" s="4"/>
      <c r="X81" s="4"/>
      <c r="Y81" s="4"/>
      <c r="Z81" s="2"/>
      <c r="AA81" s="4"/>
      <c r="AB81" s="4"/>
      <c r="AC81" s="4"/>
      <c r="AD81" s="2"/>
      <c r="AE81" s="2"/>
      <c r="AF81" s="2"/>
      <c r="AG81" s="2"/>
      <c r="AH81" s="2"/>
      <c r="AI81" s="5"/>
      <c r="AJ81" s="2"/>
      <c r="AK81" s="2"/>
      <c r="AL81" s="2"/>
      <c r="AM81" s="2"/>
      <c r="AN81" s="2"/>
      <c r="AO81" s="2"/>
      <c r="AP81" s="5"/>
      <c r="AQ81" s="5"/>
    </row>
    <row r="82">
      <c r="A82" s="2"/>
      <c r="B82" s="5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2"/>
      <c r="W82" s="4"/>
      <c r="X82" s="4"/>
      <c r="Y82" s="4"/>
      <c r="Z82" s="2"/>
      <c r="AA82" s="4"/>
      <c r="AB82" s="4"/>
      <c r="AC82" s="4"/>
      <c r="AD82" s="2"/>
      <c r="AE82" s="2"/>
      <c r="AF82" s="2"/>
      <c r="AG82" s="2"/>
      <c r="AH82" s="2"/>
      <c r="AI82" s="5"/>
      <c r="AJ82" s="2"/>
      <c r="AK82" s="2"/>
      <c r="AL82" s="2"/>
      <c r="AM82" s="2"/>
      <c r="AN82" s="2"/>
      <c r="AO82" s="2"/>
      <c r="AP82" s="5"/>
      <c r="AQ82" s="5"/>
    </row>
    <row r="83">
      <c r="A83" s="2"/>
      <c r="B83" s="5"/>
      <c r="C83" s="2"/>
      <c r="D83" s="77" t="s">
        <v>84</v>
      </c>
      <c r="F83" s="2"/>
      <c r="G83" s="13"/>
      <c r="H83" s="13" t="s">
        <v>85</v>
      </c>
      <c r="I83" s="2"/>
      <c r="J83" s="39">
        <f t="shared" ref="J83:U83" si="34">if(J45=0,0,if(J43="10 ft",J78*J45,if(J43="20 ft",J79*J45,J80*J45)))</f>
        <v>7500</v>
      </c>
      <c r="K83" s="39">
        <f t="shared" si="34"/>
        <v>12000</v>
      </c>
      <c r="L83" s="39">
        <f t="shared" si="34"/>
        <v>43000</v>
      </c>
      <c r="M83" s="39">
        <f t="shared" si="34"/>
        <v>11500</v>
      </c>
      <c r="N83" s="39">
        <f t="shared" si="34"/>
        <v>5250</v>
      </c>
      <c r="O83" s="39">
        <f t="shared" si="34"/>
        <v>20000</v>
      </c>
      <c r="P83" s="39">
        <f t="shared" si="34"/>
        <v>21500</v>
      </c>
      <c r="Q83" s="39">
        <f t="shared" si="34"/>
        <v>4375</v>
      </c>
      <c r="R83" s="39">
        <f t="shared" si="34"/>
        <v>7500</v>
      </c>
      <c r="S83" s="39">
        <f t="shared" si="34"/>
        <v>11500</v>
      </c>
      <c r="T83" s="39">
        <f t="shared" si="34"/>
        <v>12000</v>
      </c>
      <c r="U83" s="39">
        <f t="shared" si="34"/>
        <v>11500</v>
      </c>
      <c r="V83" s="2"/>
      <c r="W83" s="4"/>
      <c r="X83" s="4"/>
      <c r="Y83" s="4"/>
      <c r="Z83" s="2"/>
      <c r="AA83" s="4"/>
      <c r="AB83" s="4"/>
      <c r="AC83" s="4"/>
      <c r="AD83" s="2"/>
      <c r="AE83" s="2"/>
      <c r="AF83" s="2"/>
      <c r="AG83" s="2"/>
      <c r="AH83" s="2"/>
      <c r="AI83" s="5"/>
      <c r="AJ83" s="2"/>
      <c r="AK83" s="2"/>
      <c r="AL83" s="2"/>
      <c r="AM83" s="2"/>
      <c r="AN83" s="2"/>
      <c r="AO83" s="2"/>
      <c r="AP83" s="5"/>
      <c r="AQ83" s="5"/>
    </row>
    <row r="84">
      <c r="A84" s="2"/>
      <c r="B84" s="5"/>
      <c r="C84" s="2"/>
      <c r="D84" s="2"/>
      <c r="E84" s="2"/>
      <c r="F84" s="2"/>
      <c r="G84" s="13"/>
      <c r="H84" s="13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2"/>
      <c r="W84" s="4"/>
      <c r="X84" s="4"/>
      <c r="Y84" s="4"/>
      <c r="Z84" s="2"/>
      <c r="AA84" s="4"/>
      <c r="AB84" s="4"/>
      <c r="AC84" s="4"/>
      <c r="AD84" s="2"/>
      <c r="AE84" s="2"/>
      <c r="AF84" s="2"/>
      <c r="AG84" s="2"/>
      <c r="AH84" s="2"/>
      <c r="AI84" s="5"/>
      <c r="AJ84" s="2"/>
      <c r="AK84" s="2"/>
      <c r="AL84" s="2"/>
      <c r="AM84" s="2"/>
      <c r="AN84" s="2"/>
      <c r="AO84" s="2"/>
      <c r="AP84" s="5"/>
      <c r="AQ84" s="5"/>
    </row>
    <row r="85">
      <c r="A85" s="2"/>
      <c r="B85" s="5"/>
      <c r="C85" s="2"/>
      <c r="D85" s="2"/>
      <c r="E85" s="2"/>
      <c r="F85" s="2"/>
      <c r="G85" s="13">
        <v>1.0</v>
      </c>
      <c r="H85" s="13">
        <v>30.0</v>
      </c>
      <c r="I85" s="2"/>
      <c r="J85" s="4">
        <f t="shared" ref="J85:U85" si="35">if($F$6&lt;=$H$85,J83,0)</f>
        <v>0</v>
      </c>
      <c r="K85" s="4">
        <f t="shared" si="35"/>
        <v>0</v>
      </c>
      <c r="L85" s="4">
        <f t="shared" si="35"/>
        <v>0</v>
      </c>
      <c r="M85" s="4">
        <f t="shared" si="35"/>
        <v>0</v>
      </c>
      <c r="N85" s="4">
        <f t="shared" si="35"/>
        <v>0</v>
      </c>
      <c r="O85" s="4">
        <f t="shared" si="35"/>
        <v>0</v>
      </c>
      <c r="P85" s="4">
        <f t="shared" si="35"/>
        <v>0</v>
      </c>
      <c r="Q85" s="4">
        <f t="shared" si="35"/>
        <v>0</v>
      </c>
      <c r="R85" s="4">
        <f t="shared" si="35"/>
        <v>0</v>
      </c>
      <c r="S85" s="4">
        <f t="shared" si="35"/>
        <v>0</v>
      </c>
      <c r="T85" s="4">
        <f t="shared" si="35"/>
        <v>0</v>
      </c>
      <c r="U85" s="4">
        <f t="shared" si="35"/>
        <v>0</v>
      </c>
      <c r="V85" s="2"/>
      <c r="W85" s="4"/>
      <c r="X85" s="4"/>
      <c r="Y85" s="4"/>
      <c r="Z85" s="2"/>
      <c r="AA85" s="4"/>
      <c r="AB85" s="4"/>
      <c r="AC85" s="4"/>
      <c r="AD85" s="2"/>
      <c r="AE85" s="2"/>
      <c r="AF85" s="2"/>
      <c r="AG85" s="2"/>
      <c r="AH85" s="2"/>
      <c r="AI85" s="5"/>
      <c r="AJ85" s="2"/>
      <c r="AK85" s="2"/>
      <c r="AL85" s="2"/>
      <c r="AM85" s="2"/>
      <c r="AN85" s="2"/>
      <c r="AO85" s="2"/>
      <c r="AP85" s="5"/>
      <c r="AQ85" s="5"/>
    </row>
    <row r="86">
      <c r="A86" s="2"/>
      <c r="B86" s="5"/>
      <c r="C86" s="2"/>
      <c r="D86" s="2"/>
      <c r="E86" s="2"/>
      <c r="F86" s="2"/>
      <c r="G86" s="13">
        <v>2.0</v>
      </c>
      <c r="H86" s="13">
        <v>60.0</v>
      </c>
      <c r="I86" s="2"/>
      <c r="J86" s="4"/>
      <c r="K86" s="4">
        <f t="shared" ref="K86:V86" si="36">if(and($F$6&gt;$H$85,$F$6&lt;=$H$86),J83,0)</f>
        <v>0</v>
      </c>
      <c r="L86" s="4">
        <f t="shared" si="36"/>
        <v>0</v>
      </c>
      <c r="M86" s="4">
        <f t="shared" si="36"/>
        <v>0</v>
      </c>
      <c r="N86" s="4">
        <f t="shared" si="36"/>
        <v>0</v>
      </c>
      <c r="O86" s="4">
        <f t="shared" si="36"/>
        <v>0</v>
      </c>
      <c r="P86" s="4">
        <f t="shared" si="36"/>
        <v>0</v>
      </c>
      <c r="Q86" s="4">
        <f t="shared" si="36"/>
        <v>0</v>
      </c>
      <c r="R86" s="4">
        <f t="shared" si="36"/>
        <v>0</v>
      </c>
      <c r="S86" s="4">
        <f t="shared" si="36"/>
        <v>0</v>
      </c>
      <c r="T86" s="4">
        <f t="shared" si="36"/>
        <v>0</v>
      </c>
      <c r="U86" s="4">
        <f t="shared" si="36"/>
        <v>0</v>
      </c>
      <c r="V86" s="4">
        <f t="shared" si="36"/>
        <v>0</v>
      </c>
      <c r="W86" s="4"/>
      <c r="X86" s="4"/>
      <c r="Y86" s="4"/>
      <c r="Z86" s="2"/>
      <c r="AA86" s="4"/>
      <c r="AB86" s="4"/>
      <c r="AC86" s="4"/>
      <c r="AD86" s="2"/>
      <c r="AE86" s="2"/>
      <c r="AF86" s="2"/>
      <c r="AG86" s="2"/>
      <c r="AH86" s="2"/>
      <c r="AI86" s="5"/>
      <c r="AJ86" s="2"/>
      <c r="AK86" s="2"/>
      <c r="AL86" s="2"/>
      <c r="AM86" s="2"/>
      <c r="AN86" s="2"/>
      <c r="AO86" s="2"/>
      <c r="AP86" s="5"/>
      <c r="AQ86" s="5"/>
    </row>
    <row r="87">
      <c r="A87" s="2"/>
      <c r="B87" s="5"/>
      <c r="C87" s="2"/>
      <c r="D87" s="2"/>
      <c r="E87" s="2"/>
      <c r="F87" s="2"/>
      <c r="G87" s="13">
        <v>3.0</v>
      </c>
      <c r="H87" s="13">
        <v>90.0</v>
      </c>
      <c r="I87" s="4"/>
      <c r="J87" s="4"/>
      <c r="K87" s="4"/>
      <c r="L87" s="4">
        <f t="shared" ref="L87:W87" si="37">if(and($F$6&gt;$H$86,$F$6&lt;=$H$87),J83,0)</f>
        <v>0</v>
      </c>
      <c r="M87" s="4">
        <f t="shared" si="37"/>
        <v>0</v>
      </c>
      <c r="N87" s="4">
        <f t="shared" si="37"/>
        <v>0</v>
      </c>
      <c r="O87" s="4">
        <f t="shared" si="37"/>
        <v>0</v>
      </c>
      <c r="P87" s="4">
        <f t="shared" si="37"/>
        <v>0</v>
      </c>
      <c r="Q87" s="4">
        <f t="shared" si="37"/>
        <v>0</v>
      </c>
      <c r="R87" s="4">
        <f t="shared" si="37"/>
        <v>0</v>
      </c>
      <c r="S87" s="4">
        <f t="shared" si="37"/>
        <v>0</v>
      </c>
      <c r="T87" s="4">
        <f t="shared" si="37"/>
        <v>0</v>
      </c>
      <c r="U87" s="4">
        <f t="shared" si="37"/>
        <v>0</v>
      </c>
      <c r="V87" s="4">
        <f t="shared" si="37"/>
        <v>0</v>
      </c>
      <c r="W87" s="4">
        <f t="shared" si="37"/>
        <v>0</v>
      </c>
      <c r="X87" s="4"/>
      <c r="Y87" s="4"/>
      <c r="Z87" s="2"/>
      <c r="AA87" s="4"/>
      <c r="AB87" s="4"/>
      <c r="AC87" s="4"/>
      <c r="AD87" s="2"/>
      <c r="AE87" s="2"/>
      <c r="AF87" s="2"/>
      <c r="AG87" s="2"/>
      <c r="AH87" s="2"/>
      <c r="AI87" s="5"/>
      <c r="AJ87" s="2"/>
      <c r="AK87" s="2"/>
      <c r="AL87" s="2"/>
      <c r="AM87" s="2"/>
      <c r="AN87" s="2"/>
      <c r="AO87" s="2"/>
      <c r="AP87" s="5"/>
      <c r="AQ87" s="5"/>
    </row>
    <row r="88">
      <c r="A88" s="2"/>
      <c r="B88" s="5"/>
      <c r="C88" s="2"/>
      <c r="D88" s="2"/>
      <c r="E88" s="2"/>
      <c r="F88" s="2"/>
      <c r="G88" s="13">
        <v>4.0</v>
      </c>
      <c r="H88" s="13">
        <v>120.0</v>
      </c>
      <c r="I88" s="4"/>
      <c r="J88" s="4"/>
      <c r="K88" s="4"/>
      <c r="L88" s="4"/>
      <c r="M88" s="39">
        <f t="shared" ref="M88:X88" si="38">if(and($F$6&gt;$H$87,$F$6&lt;=$H$88),J83,0)</f>
        <v>7500</v>
      </c>
      <c r="N88" s="39">
        <f t="shared" si="38"/>
        <v>12000</v>
      </c>
      <c r="O88" s="39">
        <f t="shared" si="38"/>
        <v>43000</v>
      </c>
      <c r="P88" s="39">
        <f t="shared" si="38"/>
        <v>11500</v>
      </c>
      <c r="Q88" s="39">
        <f t="shared" si="38"/>
        <v>5250</v>
      </c>
      <c r="R88" s="39">
        <f t="shared" si="38"/>
        <v>20000</v>
      </c>
      <c r="S88" s="39">
        <f t="shared" si="38"/>
        <v>21500</v>
      </c>
      <c r="T88" s="39">
        <f t="shared" si="38"/>
        <v>4375</v>
      </c>
      <c r="U88" s="39">
        <f t="shared" si="38"/>
        <v>7500</v>
      </c>
      <c r="V88" s="39">
        <f t="shared" si="38"/>
        <v>11500</v>
      </c>
      <c r="W88" s="39">
        <f t="shared" si="38"/>
        <v>12000</v>
      </c>
      <c r="X88" s="39">
        <f t="shared" si="38"/>
        <v>11500</v>
      </c>
      <c r="Y88" s="4"/>
      <c r="Z88" s="2"/>
      <c r="AA88" s="4"/>
      <c r="AB88" s="4"/>
      <c r="AC88" s="4"/>
      <c r="AD88" s="2"/>
      <c r="AE88" s="2"/>
      <c r="AF88" s="2"/>
      <c r="AG88" s="2"/>
      <c r="AH88" s="2"/>
      <c r="AI88" s="5"/>
      <c r="AJ88" s="2"/>
      <c r="AK88" s="2"/>
      <c r="AL88" s="2"/>
      <c r="AM88" s="2"/>
      <c r="AN88" s="2"/>
      <c r="AO88" s="2"/>
      <c r="AP88" s="5"/>
      <c r="AQ88" s="5"/>
    </row>
    <row r="89">
      <c r="A89" s="2"/>
      <c r="B89" s="5"/>
      <c r="C89" s="2"/>
      <c r="D89" s="2"/>
      <c r="E89" s="2"/>
      <c r="F89" s="2"/>
      <c r="G89" s="13">
        <v>5.0</v>
      </c>
      <c r="H89" s="13">
        <v>150.0</v>
      </c>
      <c r="I89" s="4"/>
      <c r="J89" s="4"/>
      <c r="K89" s="4"/>
      <c r="L89" s="4"/>
      <c r="M89" s="4"/>
      <c r="N89" s="4">
        <f t="shared" ref="N89:Y89" si="39">if(and($F$6&gt;$H$88,$F$6&lt;=$H$89),J83,0)</f>
        <v>0</v>
      </c>
      <c r="O89" s="4">
        <f t="shared" si="39"/>
        <v>0</v>
      </c>
      <c r="P89" s="4">
        <f t="shared" si="39"/>
        <v>0</v>
      </c>
      <c r="Q89" s="4">
        <f t="shared" si="39"/>
        <v>0</v>
      </c>
      <c r="R89" s="4">
        <f t="shared" si="39"/>
        <v>0</v>
      </c>
      <c r="S89" s="4">
        <f t="shared" si="39"/>
        <v>0</v>
      </c>
      <c r="T89" s="4">
        <f t="shared" si="39"/>
        <v>0</v>
      </c>
      <c r="U89" s="4">
        <f t="shared" si="39"/>
        <v>0</v>
      </c>
      <c r="V89" s="4">
        <f t="shared" si="39"/>
        <v>0</v>
      </c>
      <c r="W89" s="4">
        <f t="shared" si="39"/>
        <v>0</v>
      </c>
      <c r="X89" s="4">
        <f t="shared" si="39"/>
        <v>0</v>
      </c>
      <c r="Y89" s="4">
        <f t="shared" si="39"/>
        <v>0</v>
      </c>
      <c r="Z89" s="2"/>
      <c r="AA89" s="4"/>
      <c r="AB89" s="4"/>
      <c r="AC89" s="4"/>
      <c r="AD89" s="2"/>
      <c r="AE89" s="2"/>
      <c r="AF89" s="2"/>
      <c r="AG89" s="2"/>
      <c r="AH89" s="2"/>
      <c r="AI89" s="5"/>
      <c r="AJ89" s="2"/>
      <c r="AK89" s="2"/>
      <c r="AL89" s="2"/>
      <c r="AM89" s="2"/>
      <c r="AN89" s="2"/>
      <c r="AO89" s="2"/>
      <c r="AP89" s="5"/>
      <c r="AQ89" s="5"/>
    </row>
    <row r="90">
      <c r="A90" s="2"/>
      <c r="B90" s="5"/>
      <c r="C90" s="2"/>
      <c r="D90" s="2"/>
      <c r="E90" s="2"/>
      <c r="F90" s="2"/>
      <c r="G90" s="13">
        <v>6.0</v>
      </c>
      <c r="H90" s="13">
        <v>180.0</v>
      </c>
      <c r="I90" s="4"/>
      <c r="J90" s="4"/>
      <c r="K90" s="4"/>
      <c r="L90" s="4"/>
      <c r="M90" s="4"/>
      <c r="N90" s="4"/>
      <c r="O90" s="4">
        <f t="shared" ref="O90:Z90" si="40">if(and($F$6&gt;$H$89,$F$6&lt;=$H$90),J83,0)</f>
        <v>0</v>
      </c>
      <c r="P90" s="4">
        <f t="shared" si="40"/>
        <v>0</v>
      </c>
      <c r="Q90" s="4">
        <f t="shared" si="40"/>
        <v>0</v>
      </c>
      <c r="R90" s="4">
        <f t="shared" si="40"/>
        <v>0</v>
      </c>
      <c r="S90" s="4">
        <f t="shared" si="40"/>
        <v>0</v>
      </c>
      <c r="T90" s="4">
        <f t="shared" si="40"/>
        <v>0</v>
      </c>
      <c r="U90" s="4">
        <f t="shared" si="40"/>
        <v>0</v>
      </c>
      <c r="V90" s="4">
        <f t="shared" si="40"/>
        <v>0</v>
      </c>
      <c r="W90" s="4">
        <f t="shared" si="40"/>
        <v>0</v>
      </c>
      <c r="X90" s="4">
        <f t="shared" si="40"/>
        <v>0</v>
      </c>
      <c r="Y90" s="4">
        <f t="shared" si="40"/>
        <v>0</v>
      </c>
      <c r="Z90" s="4">
        <f t="shared" si="40"/>
        <v>0</v>
      </c>
      <c r="AA90" s="4"/>
      <c r="AB90" s="4"/>
      <c r="AC90" s="4"/>
      <c r="AD90" s="2"/>
      <c r="AE90" s="2"/>
      <c r="AF90" s="2"/>
      <c r="AG90" s="2"/>
      <c r="AH90" s="2"/>
      <c r="AI90" s="5"/>
      <c r="AJ90" s="2"/>
      <c r="AK90" s="2"/>
      <c r="AL90" s="2"/>
      <c r="AM90" s="2"/>
      <c r="AN90" s="2"/>
      <c r="AO90" s="2"/>
      <c r="AP90" s="5"/>
      <c r="AQ90" s="5"/>
    </row>
    <row r="91">
      <c r="A91" s="2"/>
      <c r="B91" s="5"/>
      <c r="C91" s="2"/>
      <c r="D91" s="2"/>
      <c r="E91" s="2"/>
      <c r="F91" s="2"/>
      <c r="G91" s="13">
        <v>7.0</v>
      </c>
      <c r="H91" s="13">
        <v>210.0</v>
      </c>
      <c r="I91" s="2"/>
      <c r="J91" s="4"/>
      <c r="K91" s="4"/>
      <c r="L91" s="4"/>
      <c r="M91" s="4"/>
      <c r="N91" s="4"/>
      <c r="O91" s="4"/>
      <c r="P91" s="4">
        <f t="shared" ref="P91:AA91" si="41">if(and($F$6&gt;$H$90,$F$6&lt;=$H$91),J83,0)</f>
        <v>0</v>
      </c>
      <c r="Q91" s="4">
        <f t="shared" si="41"/>
        <v>0</v>
      </c>
      <c r="R91" s="4">
        <f t="shared" si="41"/>
        <v>0</v>
      </c>
      <c r="S91" s="4">
        <f t="shared" si="41"/>
        <v>0</v>
      </c>
      <c r="T91" s="4">
        <f t="shared" si="41"/>
        <v>0</v>
      </c>
      <c r="U91" s="4">
        <f t="shared" si="41"/>
        <v>0</v>
      </c>
      <c r="V91" s="4">
        <f t="shared" si="41"/>
        <v>0</v>
      </c>
      <c r="W91" s="4">
        <f t="shared" si="41"/>
        <v>0</v>
      </c>
      <c r="X91" s="4">
        <f t="shared" si="41"/>
        <v>0</v>
      </c>
      <c r="Y91" s="4">
        <f t="shared" si="41"/>
        <v>0</v>
      </c>
      <c r="Z91" s="4">
        <f t="shared" si="41"/>
        <v>0</v>
      </c>
      <c r="AA91" s="4">
        <f t="shared" si="41"/>
        <v>0</v>
      </c>
      <c r="AB91" s="4"/>
      <c r="AC91" s="4"/>
      <c r="AD91" s="2"/>
      <c r="AE91" s="2"/>
      <c r="AF91" s="2"/>
      <c r="AG91" s="2"/>
      <c r="AH91" s="2"/>
      <c r="AI91" s="5"/>
      <c r="AJ91" s="2"/>
      <c r="AK91" s="2"/>
      <c r="AL91" s="2"/>
      <c r="AM91" s="2"/>
      <c r="AN91" s="2"/>
      <c r="AO91" s="2"/>
      <c r="AP91" s="5"/>
      <c r="AQ91" s="5"/>
    </row>
    <row r="92">
      <c r="A92" s="2"/>
      <c r="B92" s="5"/>
      <c r="C92" s="2"/>
      <c r="D92" s="2"/>
      <c r="E92" s="2"/>
      <c r="F92" s="2"/>
      <c r="G92" s="13">
        <v>8.0</v>
      </c>
      <c r="H92" s="13">
        <v>240.0</v>
      </c>
      <c r="I92" s="2"/>
      <c r="J92" s="4"/>
      <c r="K92" s="4"/>
      <c r="L92" s="4"/>
      <c r="M92" s="4"/>
      <c r="N92" s="4"/>
      <c r="O92" s="4"/>
      <c r="P92" s="4"/>
      <c r="Q92" s="4">
        <f t="shared" ref="Q92:AB92" si="42">if(and($F$6&gt;$H$91,$F$6&lt;=$H$92),J83,0)</f>
        <v>0</v>
      </c>
      <c r="R92" s="4">
        <f t="shared" si="42"/>
        <v>0</v>
      </c>
      <c r="S92" s="4">
        <f t="shared" si="42"/>
        <v>0</v>
      </c>
      <c r="T92" s="4">
        <f t="shared" si="42"/>
        <v>0</v>
      </c>
      <c r="U92" s="4">
        <f t="shared" si="42"/>
        <v>0</v>
      </c>
      <c r="V92" s="4">
        <f t="shared" si="42"/>
        <v>0</v>
      </c>
      <c r="W92" s="4">
        <f t="shared" si="42"/>
        <v>0</v>
      </c>
      <c r="X92" s="4">
        <f t="shared" si="42"/>
        <v>0</v>
      </c>
      <c r="Y92" s="4">
        <f t="shared" si="42"/>
        <v>0</v>
      </c>
      <c r="Z92" s="4">
        <f t="shared" si="42"/>
        <v>0</v>
      </c>
      <c r="AA92" s="4">
        <f t="shared" si="42"/>
        <v>0</v>
      </c>
      <c r="AB92" s="4">
        <f t="shared" si="42"/>
        <v>0</v>
      </c>
      <c r="AC92" s="4"/>
      <c r="AD92" s="2"/>
      <c r="AE92" s="2"/>
      <c r="AF92" s="2"/>
      <c r="AG92" s="2"/>
      <c r="AH92" s="2"/>
      <c r="AI92" s="5"/>
      <c r="AJ92" s="2"/>
      <c r="AK92" s="2"/>
      <c r="AL92" s="2"/>
      <c r="AM92" s="2"/>
      <c r="AN92" s="2"/>
      <c r="AO92" s="2"/>
      <c r="AP92" s="5"/>
      <c r="AQ92" s="5"/>
    </row>
    <row r="93">
      <c r="A93" s="2"/>
      <c r="B93" s="5"/>
      <c r="C93" s="2"/>
      <c r="D93" s="2"/>
      <c r="E93" s="2"/>
      <c r="F93" s="2"/>
      <c r="G93" s="13">
        <v>9.0</v>
      </c>
      <c r="H93" s="13">
        <v>270.0</v>
      </c>
      <c r="I93" s="2"/>
      <c r="J93" s="4"/>
      <c r="K93" s="4"/>
      <c r="L93" s="4"/>
      <c r="M93" s="4"/>
      <c r="N93" s="4"/>
      <c r="O93" s="4"/>
      <c r="P93" s="4"/>
      <c r="Q93" s="4"/>
      <c r="R93" s="4">
        <f t="shared" ref="R93:AC93" si="43">if(and($F$6&gt;$H$92,$F$6&lt;=$H$93),J83,0)</f>
        <v>0</v>
      </c>
      <c r="S93" s="4">
        <f t="shared" si="43"/>
        <v>0</v>
      </c>
      <c r="T93" s="4">
        <f t="shared" si="43"/>
        <v>0</v>
      </c>
      <c r="U93" s="4">
        <f t="shared" si="43"/>
        <v>0</v>
      </c>
      <c r="V93" s="4">
        <f t="shared" si="43"/>
        <v>0</v>
      </c>
      <c r="W93" s="4">
        <f t="shared" si="43"/>
        <v>0</v>
      </c>
      <c r="X93" s="4">
        <f t="shared" si="43"/>
        <v>0</v>
      </c>
      <c r="Y93" s="4">
        <f t="shared" si="43"/>
        <v>0</v>
      </c>
      <c r="Z93" s="4">
        <f t="shared" si="43"/>
        <v>0</v>
      </c>
      <c r="AA93" s="4">
        <f t="shared" si="43"/>
        <v>0</v>
      </c>
      <c r="AB93" s="4">
        <f t="shared" si="43"/>
        <v>0</v>
      </c>
      <c r="AC93" s="4">
        <f t="shared" si="43"/>
        <v>0</v>
      </c>
      <c r="AD93" s="2"/>
      <c r="AE93" s="2"/>
      <c r="AF93" s="2"/>
      <c r="AG93" s="2"/>
      <c r="AH93" s="2"/>
      <c r="AI93" s="5"/>
      <c r="AJ93" s="2"/>
      <c r="AK93" s="2"/>
      <c r="AL93" s="2"/>
      <c r="AM93" s="2"/>
      <c r="AN93" s="2"/>
      <c r="AO93" s="2"/>
      <c r="AP93" s="5"/>
      <c r="AQ93" s="5"/>
    </row>
    <row r="94">
      <c r="A94" s="2"/>
      <c r="B94" s="5"/>
      <c r="C94" s="2"/>
      <c r="D94" s="2"/>
      <c r="E94" s="2"/>
      <c r="F94" s="2"/>
      <c r="G94" s="13">
        <v>10.0</v>
      </c>
      <c r="H94" s="13">
        <v>300.0</v>
      </c>
      <c r="I94" s="2"/>
      <c r="J94" s="4"/>
      <c r="K94" s="4"/>
      <c r="L94" s="4"/>
      <c r="M94" s="4"/>
      <c r="N94" s="4"/>
      <c r="O94" s="4"/>
      <c r="P94" s="4"/>
      <c r="Q94" s="4"/>
      <c r="R94" s="4"/>
      <c r="S94" s="4">
        <f t="shared" ref="S94:AD94" si="44">if(and($F$6&gt;$H$93,$F$6&lt;=$H$94),J83,0)</f>
        <v>0</v>
      </c>
      <c r="T94" s="4">
        <f t="shared" si="44"/>
        <v>0</v>
      </c>
      <c r="U94" s="4">
        <f t="shared" si="44"/>
        <v>0</v>
      </c>
      <c r="V94" s="4">
        <f t="shared" si="44"/>
        <v>0</v>
      </c>
      <c r="W94" s="4">
        <f t="shared" si="44"/>
        <v>0</v>
      </c>
      <c r="X94" s="4">
        <f t="shared" si="44"/>
        <v>0</v>
      </c>
      <c r="Y94" s="4">
        <f t="shared" si="44"/>
        <v>0</v>
      </c>
      <c r="Z94" s="4">
        <f t="shared" si="44"/>
        <v>0</v>
      </c>
      <c r="AA94" s="4">
        <f t="shared" si="44"/>
        <v>0</v>
      </c>
      <c r="AB94" s="4">
        <f t="shared" si="44"/>
        <v>0</v>
      </c>
      <c r="AC94" s="4">
        <f t="shared" si="44"/>
        <v>0</v>
      </c>
      <c r="AD94" s="4">
        <f t="shared" si="44"/>
        <v>0</v>
      </c>
      <c r="AE94" s="2"/>
      <c r="AF94" s="2"/>
      <c r="AG94" s="2"/>
      <c r="AH94" s="2"/>
      <c r="AI94" s="5"/>
      <c r="AJ94" s="2"/>
      <c r="AK94" s="2"/>
      <c r="AL94" s="2"/>
      <c r="AM94" s="2"/>
      <c r="AN94" s="2"/>
      <c r="AO94" s="2"/>
      <c r="AP94" s="5"/>
      <c r="AQ94" s="5"/>
    </row>
    <row r="95">
      <c r="A95" s="2"/>
      <c r="B95" s="5"/>
      <c r="C95" s="2"/>
      <c r="D95" s="2"/>
      <c r="E95" s="2"/>
      <c r="F95" s="2"/>
      <c r="G95" s="13">
        <v>11.0</v>
      </c>
      <c r="H95" s="13">
        <v>330.0</v>
      </c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ref="T95:AE95" si="45">if(and($F$6&gt;$H$94,$F$6&lt;=$H$95),J83,0)</f>
        <v>0</v>
      </c>
      <c r="U95" s="4">
        <f t="shared" si="45"/>
        <v>0</v>
      </c>
      <c r="V95" s="4">
        <f t="shared" si="45"/>
        <v>0</v>
      </c>
      <c r="W95" s="4">
        <f t="shared" si="45"/>
        <v>0</v>
      </c>
      <c r="X95" s="4">
        <f t="shared" si="45"/>
        <v>0</v>
      </c>
      <c r="Y95" s="4">
        <f t="shared" si="45"/>
        <v>0</v>
      </c>
      <c r="Z95" s="4">
        <f t="shared" si="45"/>
        <v>0</v>
      </c>
      <c r="AA95" s="4">
        <f t="shared" si="45"/>
        <v>0</v>
      </c>
      <c r="AB95" s="4">
        <f t="shared" si="45"/>
        <v>0</v>
      </c>
      <c r="AC95" s="4">
        <f t="shared" si="45"/>
        <v>0</v>
      </c>
      <c r="AD95" s="4">
        <f t="shared" si="45"/>
        <v>0</v>
      </c>
      <c r="AE95" s="4">
        <f t="shared" si="45"/>
        <v>0</v>
      </c>
      <c r="AF95" s="4"/>
      <c r="AG95" s="2"/>
      <c r="AH95" s="2"/>
      <c r="AI95" s="5"/>
      <c r="AJ95" s="2"/>
      <c r="AK95" s="2"/>
      <c r="AL95" s="2"/>
      <c r="AM95" s="2"/>
      <c r="AN95" s="2"/>
      <c r="AO95" s="2"/>
      <c r="AP95" s="5"/>
      <c r="AQ95" s="5"/>
    </row>
    <row r="96">
      <c r="A96" s="2"/>
      <c r="B96" s="5"/>
      <c r="C96" s="2"/>
      <c r="D96" s="2"/>
      <c r="E96" s="2"/>
      <c r="F96" s="2"/>
      <c r="G96" s="13">
        <v>12.0</v>
      </c>
      <c r="H96" s="13">
        <v>360.0</v>
      </c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>
        <f t="shared" ref="U96:AF96" si="46">if(and($F$6&gt;$H$95,$F$6&lt;=$H$96),J83,0)</f>
        <v>0</v>
      </c>
      <c r="V96" s="4">
        <f t="shared" si="46"/>
        <v>0</v>
      </c>
      <c r="W96" s="4">
        <f t="shared" si="46"/>
        <v>0</v>
      </c>
      <c r="X96" s="4">
        <f t="shared" si="46"/>
        <v>0</v>
      </c>
      <c r="Y96" s="4">
        <f t="shared" si="46"/>
        <v>0</v>
      </c>
      <c r="Z96" s="4">
        <f t="shared" si="46"/>
        <v>0</v>
      </c>
      <c r="AA96" s="4">
        <f t="shared" si="46"/>
        <v>0</v>
      </c>
      <c r="AB96" s="4">
        <f t="shared" si="46"/>
        <v>0</v>
      </c>
      <c r="AC96" s="4">
        <f t="shared" si="46"/>
        <v>0</v>
      </c>
      <c r="AD96" s="4">
        <f t="shared" si="46"/>
        <v>0</v>
      </c>
      <c r="AE96" s="4">
        <f t="shared" si="46"/>
        <v>0</v>
      </c>
      <c r="AF96" s="4">
        <f t="shared" si="46"/>
        <v>0</v>
      </c>
      <c r="AG96" s="2"/>
      <c r="AH96" s="2"/>
      <c r="AI96" s="5"/>
      <c r="AJ96" s="2"/>
      <c r="AK96" s="2"/>
      <c r="AL96" s="2"/>
      <c r="AM96" s="2"/>
      <c r="AN96" s="2"/>
      <c r="AO96" s="2"/>
      <c r="AP96" s="5"/>
      <c r="AQ96" s="5"/>
    </row>
    <row r="97">
      <c r="A97" s="2"/>
      <c r="B97" s="5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2"/>
      <c r="W97" s="4"/>
      <c r="X97" s="4"/>
      <c r="Y97" s="4"/>
      <c r="Z97" s="2"/>
      <c r="AA97" s="4"/>
      <c r="AB97" s="4"/>
      <c r="AC97" s="4"/>
      <c r="AD97" s="2"/>
      <c r="AE97" s="2"/>
      <c r="AF97" s="2"/>
      <c r="AG97" s="2"/>
      <c r="AH97" s="2"/>
      <c r="AI97" s="5"/>
      <c r="AJ97" s="2"/>
      <c r="AK97" s="2"/>
      <c r="AL97" s="2"/>
      <c r="AM97" s="2"/>
      <c r="AN97" s="2"/>
      <c r="AO97" s="2"/>
      <c r="AP97" s="5"/>
      <c r="AQ97" s="5"/>
    </row>
    <row r="98">
      <c r="A98" s="2"/>
      <c r="B98" s="5"/>
      <c r="C98" s="2"/>
      <c r="D98" s="2"/>
      <c r="E98" s="2"/>
      <c r="F98" s="2"/>
      <c r="G98" s="2"/>
      <c r="H98" s="2"/>
      <c r="I98" s="2"/>
      <c r="J98" s="39">
        <f t="shared" ref="J98:AF98" si="47">sum(J85:J96)</f>
        <v>0</v>
      </c>
      <c r="K98" s="39">
        <f t="shared" si="47"/>
        <v>0</v>
      </c>
      <c r="L98" s="39">
        <f t="shared" si="47"/>
        <v>0</v>
      </c>
      <c r="M98" s="39">
        <f t="shared" si="47"/>
        <v>7500</v>
      </c>
      <c r="N98" s="39">
        <f t="shared" si="47"/>
        <v>12000</v>
      </c>
      <c r="O98" s="39">
        <f t="shared" si="47"/>
        <v>43000</v>
      </c>
      <c r="P98" s="39">
        <f t="shared" si="47"/>
        <v>11500</v>
      </c>
      <c r="Q98" s="39">
        <f t="shared" si="47"/>
        <v>5250</v>
      </c>
      <c r="R98" s="39">
        <f t="shared" si="47"/>
        <v>20000</v>
      </c>
      <c r="S98" s="39">
        <f t="shared" si="47"/>
        <v>21500</v>
      </c>
      <c r="T98" s="39">
        <f t="shared" si="47"/>
        <v>4375</v>
      </c>
      <c r="U98" s="39">
        <f t="shared" si="47"/>
        <v>7500</v>
      </c>
      <c r="V98" s="39">
        <f t="shared" si="47"/>
        <v>11500</v>
      </c>
      <c r="W98" s="39">
        <f t="shared" si="47"/>
        <v>12000</v>
      </c>
      <c r="X98" s="39">
        <f t="shared" si="47"/>
        <v>11500</v>
      </c>
      <c r="Y98" s="39">
        <f t="shared" si="47"/>
        <v>0</v>
      </c>
      <c r="Z98" s="39">
        <f t="shared" si="47"/>
        <v>0</v>
      </c>
      <c r="AA98" s="39">
        <f t="shared" si="47"/>
        <v>0</v>
      </c>
      <c r="AB98" s="39">
        <f t="shared" si="47"/>
        <v>0</v>
      </c>
      <c r="AC98" s="39">
        <f t="shared" si="47"/>
        <v>0</v>
      </c>
      <c r="AD98" s="39">
        <f t="shared" si="47"/>
        <v>0</v>
      </c>
      <c r="AE98" s="39">
        <f t="shared" si="47"/>
        <v>0</v>
      </c>
      <c r="AF98" s="39">
        <f t="shared" si="47"/>
        <v>0</v>
      </c>
      <c r="AG98" s="2"/>
      <c r="AH98" s="2"/>
      <c r="AI98" s="5"/>
      <c r="AJ98" s="2"/>
      <c r="AK98" s="2"/>
      <c r="AL98" s="2"/>
      <c r="AM98" s="2"/>
      <c r="AN98" s="2"/>
      <c r="AO98" s="2"/>
      <c r="AP98" s="5"/>
      <c r="AQ98" s="5"/>
    </row>
    <row r="99">
      <c r="A99" s="2"/>
      <c r="B99" s="5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2"/>
      <c r="W99" s="4"/>
      <c r="X99" s="4"/>
      <c r="Y99" s="4"/>
      <c r="Z99" s="2"/>
      <c r="AA99" s="4"/>
      <c r="AB99" s="4"/>
      <c r="AC99" s="4"/>
      <c r="AD99" s="2"/>
      <c r="AE99" s="2"/>
      <c r="AF99" s="2"/>
      <c r="AG99" s="2"/>
      <c r="AH99" s="2"/>
      <c r="AI99" s="5"/>
      <c r="AJ99" s="2"/>
      <c r="AK99" s="2"/>
      <c r="AL99" s="2"/>
      <c r="AM99" s="2"/>
      <c r="AN99" s="2"/>
      <c r="AO99" s="2"/>
      <c r="AP99" s="5"/>
      <c r="AQ99" s="5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2"/>
      <c r="W100" s="4"/>
      <c r="X100" s="4"/>
      <c r="Y100" s="4"/>
      <c r="Z100" s="2"/>
      <c r="AA100" s="4"/>
      <c r="AB100" s="4"/>
      <c r="AC100" s="4"/>
      <c r="AD100" s="2"/>
      <c r="AE100" s="2"/>
      <c r="AF100" s="2"/>
      <c r="AG100" s="2"/>
      <c r="AH100" s="2"/>
      <c r="AI100" s="5"/>
      <c r="AJ100" s="2"/>
      <c r="AK100" s="2"/>
      <c r="AL100" s="2"/>
      <c r="AM100" s="2"/>
      <c r="AN100" s="2"/>
      <c r="AO100" s="2"/>
      <c r="AP100" s="5"/>
      <c r="AQ100" s="5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2"/>
      <c r="W101" s="4"/>
      <c r="X101" s="4"/>
      <c r="Y101" s="4"/>
      <c r="Z101" s="2"/>
      <c r="AA101" s="4"/>
      <c r="AB101" s="4"/>
      <c r="AC101" s="4"/>
      <c r="AD101" s="2"/>
      <c r="AE101" s="2"/>
      <c r="AF101" s="2"/>
      <c r="AG101" s="2"/>
      <c r="AH101" s="2"/>
      <c r="AI101" s="5"/>
      <c r="AJ101" s="2"/>
      <c r="AK101" s="2"/>
      <c r="AL101" s="2"/>
      <c r="AM101" s="2"/>
      <c r="AN101" s="2"/>
      <c r="AO101" s="2"/>
      <c r="AP101" s="5"/>
      <c r="AQ101" s="5"/>
    </row>
    <row r="102">
      <c r="A102" s="2"/>
      <c r="B102" s="5"/>
      <c r="C102" s="2"/>
      <c r="D102" s="3" t="s">
        <v>86</v>
      </c>
      <c r="E102" s="2"/>
      <c r="F102" s="3" t="s">
        <v>87</v>
      </c>
      <c r="I102" s="2"/>
      <c r="J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2"/>
      <c r="W102" s="4"/>
      <c r="X102" s="4"/>
      <c r="Y102" s="4"/>
      <c r="Z102" s="2"/>
      <c r="AA102" s="4"/>
      <c r="AB102" s="4"/>
      <c r="AC102" s="4"/>
      <c r="AD102" s="2"/>
      <c r="AE102" s="2"/>
      <c r="AF102" s="2"/>
      <c r="AG102" s="2"/>
      <c r="AH102" s="2"/>
      <c r="AI102" s="5"/>
      <c r="AJ102" s="2"/>
      <c r="AK102" s="2"/>
      <c r="AL102" s="2"/>
      <c r="AM102" s="2"/>
      <c r="AN102" s="2"/>
      <c r="AO102" s="2"/>
      <c r="AP102" s="5"/>
      <c r="AQ102" s="5"/>
    </row>
    <row r="103">
      <c r="A103" s="2"/>
      <c r="B103" s="5"/>
      <c r="C103" s="2"/>
      <c r="D103" s="2" t="str">
        <f t="shared" ref="D103:D122" si="49">D21</f>
        <v>Stock 1</v>
      </c>
      <c r="E103" s="2"/>
      <c r="F103" s="2"/>
      <c r="G103" s="2"/>
      <c r="H103" s="2" t="str">
        <f t="shared" ref="H103:H122" si="50">H21</f>
        <v>SkyRockets</v>
      </c>
      <c r="I103" s="2"/>
      <c r="J103" s="39">
        <f t="shared" ref="J103:U103" si="48">if($H$103="",0,if($H$103="Sky Rockets",J21*$W$7*$AA$21,if($H$103="Steady Eddy",J21*$X$7*$AA$21,J21*$Y$7*$AA$21)))</f>
        <v>1405.05</v>
      </c>
      <c r="K103" s="39">
        <f t="shared" si="48"/>
        <v>495.9</v>
      </c>
      <c r="L103" s="39">
        <f t="shared" si="48"/>
        <v>1446.375</v>
      </c>
      <c r="M103" s="39">
        <f t="shared" si="48"/>
        <v>991.8</v>
      </c>
      <c r="N103" s="39">
        <f t="shared" si="48"/>
        <v>495.9</v>
      </c>
      <c r="O103" s="39">
        <f t="shared" si="48"/>
        <v>1900.95</v>
      </c>
      <c r="P103" s="39">
        <f t="shared" si="48"/>
        <v>578.55</v>
      </c>
      <c r="Q103" s="39">
        <f t="shared" si="48"/>
        <v>495.9</v>
      </c>
      <c r="R103" s="39">
        <f t="shared" si="48"/>
        <v>1487.7</v>
      </c>
      <c r="S103" s="39">
        <f t="shared" si="48"/>
        <v>165.3</v>
      </c>
      <c r="T103" s="39">
        <f t="shared" si="48"/>
        <v>82.65</v>
      </c>
      <c r="U103" s="39">
        <f t="shared" si="48"/>
        <v>661.2</v>
      </c>
      <c r="V103" s="2"/>
      <c r="W103" s="4"/>
      <c r="X103" s="4"/>
      <c r="Y103" s="4"/>
      <c r="Z103" s="2"/>
      <c r="AA103" s="4"/>
      <c r="AB103" s="4"/>
      <c r="AC103" s="4"/>
      <c r="AD103" s="2"/>
      <c r="AE103" s="2"/>
      <c r="AF103" s="2"/>
      <c r="AG103" s="2"/>
      <c r="AH103" s="2"/>
      <c r="AI103" s="5"/>
      <c r="AJ103" s="2"/>
      <c r="AK103" s="2"/>
      <c r="AL103" s="2"/>
      <c r="AM103" s="2"/>
      <c r="AN103" s="2"/>
      <c r="AO103" s="2"/>
      <c r="AP103" s="5"/>
      <c r="AQ103" s="5"/>
    </row>
    <row r="104">
      <c r="A104" s="2"/>
      <c r="B104" s="5"/>
      <c r="C104" s="2"/>
      <c r="D104" s="2" t="str">
        <f t="shared" si="49"/>
        <v>Stock 2</v>
      </c>
      <c r="E104" s="2"/>
      <c r="F104" s="2"/>
      <c r="G104" s="2"/>
      <c r="H104" s="2" t="str">
        <f t="shared" si="50"/>
        <v>Steady Eddy</v>
      </c>
      <c r="I104" s="2"/>
      <c r="J104" s="39">
        <f t="shared" ref="J104:U104" si="51">if($H$104="",0,if($H$104="Sky Rockets",J22*$W$7*$AA$22,if($H$104="Steady Eddy",J22*$X$7*$AA$22,J22*$Y$7*$AA$22)))</f>
        <v>2746.26</v>
      </c>
      <c r="K104" s="39">
        <f t="shared" si="51"/>
        <v>1165.08</v>
      </c>
      <c r="L104" s="39">
        <f t="shared" si="51"/>
        <v>2912.7</v>
      </c>
      <c r="M104" s="39">
        <f t="shared" si="51"/>
        <v>1914.06</v>
      </c>
      <c r="N104" s="39">
        <f t="shared" si="51"/>
        <v>1165.08</v>
      </c>
      <c r="O104" s="39">
        <f t="shared" si="51"/>
        <v>3744.9</v>
      </c>
      <c r="P104" s="39">
        <f t="shared" si="51"/>
        <v>1081.86</v>
      </c>
      <c r="Q104" s="39">
        <f t="shared" si="51"/>
        <v>0</v>
      </c>
      <c r="R104" s="39">
        <f t="shared" si="51"/>
        <v>2080.5</v>
      </c>
      <c r="S104" s="39">
        <f t="shared" si="51"/>
        <v>249.66</v>
      </c>
      <c r="T104" s="39">
        <f t="shared" si="51"/>
        <v>0</v>
      </c>
      <c r="U104" s="39">
        <f t="shared" si="51"/>
        <v>1248.3</v>
      </c>
      <c r="V104" s="2"/>
      <c r="W104" s="4"/>
      <c r="X104" s="4"/>
      <c r="Y104" s="4"/>
      <c r="Z104" s="2"/>
      <c r="AA104" s="4"/>
      <c r="AB104" s="4"/>
      <c r="AC104" s="4"/>
      <c r="AD104" s="2"/>
      <c r="AE104" s="2"/>
      <c r="AF104" s="2"/>
      <c r="AG104" s="2"/>
      <c r="AH104" s="2"/>
      <c r="AI104" s="5"/>
      <c r="AJ104" s="2"/>
      <c r="AK104" s="2"/>
      <c r="AL104" s="2"/>
      <c r="AM104" s="2"/>
      <c r="AN104" s="2"/>
      <c r="AO104" s="2"/>
      <c r="AP104" s="5"/>
      <c r="AQ104" s="5"/>
    </row>
    <row r="105">
      <c r="A105" s="2"/>
      <c r="B105" s="5"/>
      <c r="C105" s="2"/>
      <c r="D105" s="2" t="str">
        <f t="shared" si="49"/>
        <v>Stock 3</v>
      </c>
      <c r="E105" s="2"/>
      <c r="F105" s="2"/>
      <c r="G105" s="2"/>
      <c r="H105" s="2" t="str">
        <f t="shared" si="50"/>
        <v>Slow Burn</v>
      </c>
      <c r="I105" s="2"/>
      <c r="J105" s="39">
        <f t="shared" ref="J105:U105" si="52">if($H$105="",0,if($H$105="Sky Rockets",J23*$W$7*$AA$23,if($H$105="Steady Eddy",J23*$X$7*$AA$23,J23*$Y$7*$AA$23)))</f>
        <v>1466.325</v>
      </c>
      <c r="K105" s="39">
        <f t="shared" si="52"/>
        <v>0</v>
      </c>
      <c r="L105" s="39">
        <f t="shared" si="52"/>
        <v>1424.43</v>
      </c>
      <c r="M105" s="39">
        <f t="shared" si="52"/>
        <v>0</v>
      </c>
      <c r="N105" s="39">
        <f t="shared" si="52"/>
        <v>670.32</v>
      </c>
      <c r="O105" s="39">
        <f t="shared" si="52"/>
        <v>1843.38</v>
      </c>
      <c r="P105" s="39">
        <f t="shared" si="52"/>
        <v>628.425</v>
      </c>
      <c r="Q105" s="39">
        <f t="shared" si="52"/>
        <v>0</v>
      </c>
      <c r="R105" s="39">
        <f t="shared" si="52"/>
        <v>0</v>
      </c>
      <c r="S105" s="39">
        <f t="shared" si="52"/>
        <v>209.475</v>
      </c>
      <c r="T105" s="39">
        <f t="shared" si="52"/>
        <v>0</v>
      </c>
      <c r="U105" s="39">
        <f t="shared" si="52"/>
        <v>0</v>
      </c>
      <c r="V105" s="2"/>
      <c r="W105" s="4"/>
      <c r="X105" s="4"/>
      <c r="Y105" s="4"/>
      <c r="Z105" s="2"/>
      <c r="AA105" s="4"/>
      <c r="AB105" s="4"/>
      <c r="AC105" s="4"/>
      <c r="AD105" s="2"/>
      <c r="AE105" s="2"/>
      <c r="AF105" s="2"/>
      <c r="AG105" s="2"/>
      <c r="AH105" s="2"/>
      <c r="AI105" s="5"/>
      <c r="AJ105" s="2"/>
      <c r="AK105" s="2"/>
      <c r="AL105" s="2"/>
      <c r="AM105" s="2"/>
      <c r="AN105" s="2"/>
      <c r="AO105" s="2"/>
      <c r="AP105" s="5"/>
      <c r="AQ105" s="5"/>
    </row>
    <row r="106">
      <c r="A106" s="2"/>
      <c r="B106" s="5"/>
      <c r="C106" s="2"/>
      <c r="D106" s="2" t="str">
        <f t="shared" si="49"/>
        <v>Stock 4</v>
      </c>
      <c r="E106" s="2"/>
      <c r="F106" s="2"/>
      <c r="G106" s="2"/>
      <c r="H106" s="2" t="str">
        <f t="shared" si="50"/>
        <v>Steady Eddy</v>
      </c>
      <c r="I106" s="2"/>
      <c r="J106" s="39">
        <f t="shared" ref="J106:U106" si="53">if($H$106="",0,if($H$106="Sky Rockets",J24*$W$7*$AA$24,if($H$106="Steady Eddy",J24*$X$7*$AA$24,J24*$Y$7*$AA$24)))</f>
        <v>3205.68</v>
      </c>
      <c r="K106" s="39">
        <f t="shared" si="53"/>
        <v>0</v>
      </c>
      <c r="L106" s="39">
        <f t="shared" si="53"/>
        <v>3290.04</v>
      </c>
      <c r="M106" s="39">
        <f t="shared" si="53"/>
        <v>0</v>
      </c>
      <c r="N106" s="39">
        <f t="shared" si="53"/>
        <v>1518.48</v>
      </c>
      <c r="O106" s="39">
        <f t="shared" si="53"/>
        <v>4133.64</v>
      </c>
      <c r="P106" s="39">
        <f t="shared" si="53"/>
        <v>0</v>
      </c>
      <c r="Q106" s="39">
        <f t="shared" si="53"/>
        <v>0</v>
      </c>
      <c r="R106" s="39">
        <f t="shared" si="53"/>
        <v>0</v>
      </c>
      <c r="S106" s="39">
        <f t="shared" si="53"/>
        <v>674.88</v>
      </c>
      <c r="T106" s="39">
        <f t="shared" si="53"/>
        <v>1518.48</v>
      </c>
      <c r="U106" s="39">
        <f t="shared" si="53"/>
        <v>0</v>
      </c>
      <c r="V106" s="2"/>
      <c r="W106" s="4"/>
      <c r="X106" s="4"/>
      <c r="Y106" s="4"/>
      <c r="Z106" s="2"/>
      <c r="AA106" s="4"/>
      <c r="AB106" s="4"/>
      <c r="AC106" s="4"/>
      <c r="AD106" s="2"/>
      <c r="AE106" s="2"/>
      <c r="AF106" s="2"/>
      <c r="AG106" s="2"/>
      <c r="AH106" s="2"/>
      <c r="AI106" s="5"/>
      <c r="AJ106" s="2"/>
      <c r="AK106" s="2"/>
      <c r="AL106" s="2"/>
      <c r="AM106" s="2"/>
      <c r="AN106" s="2"/>
      <c r="AO106" s="2"/>
      <c r="AP106" s="5"/>
      <c r="AQ106" s="5"/>
    </row>
    <row r="107">
      <c r="A107" s="2"/>
      <c r="B107" s="5"/>
      <c r="C107" s="2"/>
      <c r="D107" s="2" t="str">
        <f t="shared" si="49"/>
        <v>Stock 5</v>
      </c>
      <c r="E107" s="2"/>
      <c r="F107" s="2"/>
      <c r="G107" s="2"/>
      <c r="H107" s="2" t="str">
        <f t="shared" si="50"/>
        <v>SkyRockets</v>
      </c>
      <c r="I107" s="2"/>
      <c r="J107" s="39">
        <f t="shared" ref="J107:U107" si="54">if($H$107="",0,if($H$107="Sky Rockets",J25*$W$7*$AA$25,if($H$107="Steady Eddy",J25*$X$7*$AA$25,J25*$Y$7*$AA$25)))</f>
        <v>1528.74</v>
      </c>
      <c r="K107" s="39">
        <f t="shared" si="54"/>
        <v>0</v>
      </c>
      <c r="L107" s="39">
        <f t="shared" si="54"/>
        <v>1613.67</v>
      </c>
      <c r="M107" s="39">
        <f t="shared" si="54"/>
        <v>1104.09</v>
      </c>
      <c r="N107" s="39">
        <f t="shared" si="54"/>
        <v>467.115</v>
      </c>
      <c r="O107" s="39">
        <f t="shared" si="54"/>
        <v>2038.32</v>
      </c>
      <c r="P107" s="39">
        <f t="shared" si="54"/>
        <v>0</v>
      </c>
      <c r="Q107" s="39">
        <f t="shared" si="54"/>
        <v>467.115</v>
      </c>
      <c r="R107" s="39">
        <f t="shared" si="54"/>
        <v>1189.02</v>
      </c>
      <c r="S107" s="39">
        <f t="shared" si="54"/>
        <v>254.79</v>
      </c>
      <c r="T107" s="39">
        <f t="shared" si="54"/>
        <v>721.905</v>
      </c>
      <c r="U107" s="39">
        <f t="shared" si="54"/>
        <v>0</v>
      </c>
      <c r="V107" s="2"/>
      <c r="W107" s="4"/>
      <c r="X107" s="4"/>
      <c r="Y107" s="4"/>
      <c r="Z107" s="2"/>
      <c r="AA107" s="4"/>
      <c r="AB107" s="4"/>
      <c r="AC107" s="4"/>
      <c r="AD107" s="2"/>
      <c r="AE107" s="2"/>
      <c r="AF107" s="2"/>
      <c r="AG107" s="2"/>
      <c r="AH107" s="2"/>
      <c r="AI107" s="5"/>
      <c r="AJ107" s="2"/>
      <c r="AK107" s="2"/>
      <c r="AL107" s="2"/>
      <c r="AM107" s="2"/>
      <c r="AN107" s="2"/>
      <c r="AO107" s="2"/>
      <c r="AP107" s="5"/>
      <c r="AQ107" s="5"/>
    </row>
    <row r="108">
      <c r="A108" s="2"/>
      <c r="B108" s="5"/>
      <c r="C108" s="2"/>
      <c r="D108" s="2" t="str">
        <f t="shared" si="49"/>
        <v>Stock 6</v>
      </c>
      <c r="E108" s="2"/>
      <c r="F108" s="2"/>
      <c r="G108" s="2"/>
      <c r="H108" s="2" t="str">
        <f t="shared" si="50"/>
        <v>Slow Burn</v>
      </c>
      <c r="I108" s="2"/>
      <c r="J108" s="39">
        <f t="shared" ref="J108:U108" si="55">if($H$108="",0,if($H$108="Sky Rockets",J26*$W$7*$AA$26,if($H$108="Steady Eddy",J26*$X$7*$AA$26,J26*$Y$7*$AA$26)))</f>
        <v>1496.25</v>
      </c>
      <c r="K108" s="39">
        <f t="shared" si="55"/>
        <v>555.75</v>
      </c>
      <c r="L108" s="39">
        <f t="shared" si="55"/>
        <v>0</v>
      </c>
      <c r="M108" s="39">
        <f t="shared" si="55"/>
        <v>1068.75</v>
      </c>
      <c r="N108" s="39">
        <f t="shared" si="55"/>
        <v>0</v>
      </c>
      <c r="O108" s="39">
        <f t="shared" si="55"/>
        <v>2009.25</v>
      </c>
      <c r="P108" s="39">
        <f t="shared" si="55"/>
        <v>0</v>
      </c>
      <c r="Q108" s="39">
        <f t="shared" si="55"/>
        <v>555.75</v>
      </c>
      <c r="R108" s="39">
        <f t="shared" si="55"/>
        <v>1581.75</v>
      </c>
      <c r="S108" s="39">
        <f t="shared" si="55"/>
        <v>0</v>
      </c>
      <c r="T108" s="39">
        <f t="shared" si="55"/>
        <v>555.75</v>
      </c>
      <c r="U108" s="39">
        <f t="shared" si="55"/>
        <v>726.75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/>
      <c r="AJ108" s="2"/>
      <c r="AK108" s="2"/>
      <c r="AL108" s="2"/>
      <c r="AM108" s="2"/>
      <c r="AN108" s="2"/>
      <c r="AO108" s="2"/>
      <c r="AP108" s="5"/>
      <c r="AQ108" s="5"/>
    </row>
    <row r="109">
      <c r="A109" s="2"/>
      <c r="B109" s="5"/>
      <c r="C109" s="2"/>
      <c r="D109" s="2" t="str">
        <f t="shared" si="49"/>
        <v>Stock 7</v>
      </c>
      <c r="E109" s="2"/>
      <c r="F109" s="2"/>
      <c r="G109" s="2"/>
      <c r="H109" s="2" t="str">
        <f t="shared" si="50"/>
        <v>SkyRockets</v>
      </c>
      <c r="I109" s="2"/>
      <c r="J109" s="39">
        <f t="shared" ref="J109:U109" si="56">if($H$109="",0,if($H$109="Sky Rockets",J27*$W$7*$AA$27,if($H$109="Steady Eddy",J27*$X$7*$AA$27,J27*$Y$7*$AA$27)))</f>
        <v>1463.19</v>
      </c>
      <c r="K109" s="39">
        <f t="shared" si="56"/>
        <v>645.525</v>
      </c>
      <c r="L109" s="39">
        <f t="shared" si="56"/>
        <v>0</v>
      </c>
      <c r="M109" s="39">
        <f t="shared" si="56"/>
        <v>1032.84</v>
      </c>
      <c r="N109" s="39">
        <f t="shared" si="56"/>
        <v>0</v>
      </c>
      <c r="O109" s="39">
        <f t="shared" si="56"/>
        <v>0</v>
      </c>
      <c r="P109" s="39">
        <f t="shared" si="56"/>
        <v>0</v>
      </c>
      <c r="Q109" s="39">
        <f t="shared" si="56"/>
        <v>645.525</v>
      </c>
      <c r="R109" s="39">
        <f t="shared" si="56"/>
        <v>1420.155</v>
      </c>
      <c r="S109" s="39">
        <f t="shared" si="56"/>
        <v>0</v>
      </c>
      <c r="T109" s="39">
        <f t="shared" si="56"/>
        <v>645.525</v>
      </c>
      <c r="U109" s="39">
        <f t="shared" si="56"/>
        <v>129.105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/>
      <c r="AJ109" s="2"/>
      <c r="AK109" s="2"/>
      <c r="AL109" s="2"/>
      <c r="AM109" s="2"/>
      <c r="AN109" s="2"/>
      <c r="AO109" s="2"/>
      <c r="AP109" s="5"/>
      <c r="AQ109" s="5"/>
    </row>
    <row r="110">
      <c r="A110" s="2"/>
      <c r="B110" s="5"/>
      <c r="C110" s="2"/>
      <c r="D110" s="2" t="str">
        <f t="shared" si="49"/>
        <v>Stock 8</v>
      </c>
      <c r="E110" s="2"/>
      <c r="F110" s="2"/>
      <c r="G110" s="2"/>
      <c r="H110" s="2" t="str">
        <f t="shared" si="50"/>
        <v>SkyRockets</v>
      </c>
      <c r="I110" s="2"/>
      <c r="J110" s="39">
        <f t="shared" ref="J110:U110" si="57">if($H$110="",0,if($H$110="Sky Rockets",J28*$W$7*$AA$28,if($H$110="Steady Eddy",J28*$X$7*$AA$28,J28*$Y$7*$AA$28)))</f>
        <v>1602.84</v>
      </c>
      <c r="K110" s="39">
        <f t="shared" si="57"/>
        <v>736.44</v>
      </c>
      <c r="L110" s="39">
        <f t="shared" si="57"/>
        <v>0</v>
      </c>
      <c r="M110" s="39">
        <f t="shared" si="57"/>
        <v>1169.64</v>
      </c>
      <c r="N110" s="39">
        <f t="shared" si="57"/>
        <v>1602.84</v>
      </c>
      <c r="O110" s="39">
        <f t="shared" si="57"/>
        <v>0</v>
      </c>
      <c r="P110" s="39">
        <f t="shared" si="57"/>
        <v>0</v>
      </c>
      <c r="Q110" s="39">
        <f t="shared" si="57"/>
        <v>736.44</v>
      </c>
      <c r="R110" s="39">
        <f t="shared" si="57"/>
        <v>0</v>
      </c>
      <c r="S110" s="39">
        <f t="shared" si="57"/>
        <v>1169.64</v>
      </c>
      <c r="T110" s="39">
        <f t="shared" si="57"/>
        <v>736.44</v>
      </c>
      <c r="U110" s="39">
        <f t="shared" si="57"/>
        <v>216.6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5"/>
      <c r="AJ110" s="2"/>
      <c r="AK110" s="2"/>
      <c r="AL110" s="2"/>
      <c r="AM110" s="2"/>
      <c r="AN110" s="2"/>
      <c r="AO110" s="2"/>
      <c r="AP110" s="5"/>
      <c r="AQ110" s="5"/>
    </row>
    <row r="111">
      <c r="A111" s="2"/>
      <c r="B111" s="5"/>
      <c r="C111" s="2"/>
      <c r="D111" s="2" t="str">
        <f t="shared" si="49"/>
        <v>Stock 9</v>
      </c>
      <c r="E111" s="2"/>
      <c r="F111" s="2"/>
      <c r="G111" s="2"/>
      <c r="H111" s="2" t="str">
        <f t="shared" si="50"/>
        <v>Steady Eddy</v>
      </c>
      <c r="I111" s="2"/>
      <c r="J111" s="39">
        <f t="shared" ref="J111:U111" si="58">if($H$111="",0,if($H$111="Sky Rockets",J29*$W$7*$AA$29,if($H$111="Steady Eddy",J29*$X$7*$AA$29,J29*$Y$7*$AA$29)))</f>
        <v>2965.14</v>
      </c>
      <c r="K111" s="39">
        <f t="shared" si="58"/>
        <v>1046.52</v>
      </c>
      <c r="L111" s="39">
        <f t="shared" si="58"/>
        <v>3226.77</v>
      </c>
      <c r="M111" s="39">
        <f t="shared" si="58"/>
        <v>2093.04</v>
      </c>
      <c r="N111" s="39">
        <f t="shared" si="58"/>
        <v>2790.72</v>
      </c>
      <c r="O111" s="39">
        <f t="shared" si="58"/>
        <v>0</v>
      </c>
      <c r="P111" s="39">
        <f t="shared" si="58"/>
        <v>0</v>
      </c>
      <c r="Q111" s="39">
        <f t="shared" si="58"/>
        <v>1046.52</v>
      </c>
      <c r="R111" s="39">
        <f t="shared" si="58"/>
        <v>0</v>
      </c>
      <c r="S111" s="39">
        <f t="shared" si="58"/>
        <v>2093.04</v>
      </c>
      <c r="T111" s="39">
        <f t="shared" si="58"/>
        <v>1046.52</v>
      </c>
      <c r="U111" s="39">
        <f t="shared" si="58"/>
        <v>610.47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5"/>
      <c r="AJ111" s="2"/>
      <c r="AK111" s="2"/>
      <c r="AL111" s="2"/>
      <c r="AM111" s="2"/>
      <c r="AN111" s="2"/>
      <c r="AO111" s="2"/>
      <c r="AP111" s="5"/>
      <c r="AQ111" s="5"/>
    </row>
    <row r="112">
      <c r="A112" s="2"/>
      <c r="B112" s="5"/>
      <c r="C112" s="2"/>
      <c r="D112" s="2" t="str">
        <f t="shared" si="49"/>
        <v>Stock 10</v>
      </c>
      <c r="E112" s="2"/>
      <c r="F112" s="2"/>
      <c r="G112" s="2"/>
      <c r="H112" s="2" t="str">
        <f t="shared" si="50"/>
        <v>Steady Eddy</v>
      </c>
      <c r="I112" s="2"/>
      <c r="J112" s="39">
        <f t="shared" ref="J112:U112" si="59">if($H$112="",0,if($H$112="Sky Rockets",J30*$W$7*$AA$30,if($H$112="Steady Eddy",J30*$X$7*$AA$30,J30*$Y$7*$AA$30)))</f>
        <v>2896.74</v>
      </c>
      <c r="K112" s="39">
        <f t="shared" si="59"/>
        <v>1228.92</v>
      </c>
      <c r="L112" s="39">
        <f t="shared" si="59"/>
        <v>2721.18</v>
      </c>
      <c r="M112" s="39">
        <f t="shared" si="59"/>
        <v>2018.94</v>
      </c>
      <c r="N112" s="39">
        <f t="shared" si="59"/>
        <v>2984.52</v>
      </c>
      <c r="O112" s="39">
        <f t="shared" si="59"/>
        <v>2721.18</v>
      </c>
      <c r="P112" s="39">
        <f t="shared" si="59"/>
        <v>0</v>
      </c>
      <c r="Q112" s="39">
        <f t="shared" si="59"/>
        <v>1228.92</v>
      </c>
      <c r="R112" s="39">
        <f t="shared" si="59"/>
        <v>3598.98</v>
      </c>
      <c r="S112" s="39">
        <f t="shared" si="59"/>
        <v>2018.94</v>
      </c>
      <c r="T112" s="39">
        <f t="shared" si="59"/>
        <v>0</v>
      </c>
      <c r="U112" s="39">
        <f t="shared" si="59"/>
        <v>87.78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5"/>
      <c r="AJ112" s="2"/>
      <c r="AK112" s="2"/>
      <c r="AL112" s="2"/>
      <c r="AM112" s="2"/>
      <c r="AN112" s="2"/>
      <c r="AO112" s="2"/>
      <c r="AP112" s="5"/>
      <c r="AQ112" s="5"/>
    </row>
    <row r="113">
      <c r="A113" s="2"/>
      <c r="B113" s="5"/>
      <c r="C113" s="2"/>
      <c r="D113" s="2" t="str">
        <f t="shared" si="49"/>
        <v>Stock 11</v>
      </c>
      <c r="E113" s="2"/>
      <c r="F113" s="2"/>
      <c r="G113" s="2"/>
      <c r="H113" s="2" t="str">
        <f t="shared" si="50"/>
        <v>Steady Eddy</v>
      </c>
      <c r="I113" s="2"/>
      <c r="J113" s="39">
        <f t="shared" ref="J113:U113" si="60">if($H$113="",0,if($H$113="Sky Rockets",J31*$W$7*$AA$31,if($H$113="Steady Eddy",J31*$X$7*$AA$31,J31*$Y$7*$AA$31)))</f>
        <v>3092.25</v>
      </c>
      <c r="K113" s="39">
        <f t="shared" si="60"/>
        <v>1413.6</v>
      </c>
      <c r="L113" s="39">
        <f t="shared" si="60"/>
        <v>3092.25</v>
      </c>
      <c r="M113" s="39">
        <f t="shared" si="60"/>
        <v>0</v>
      </c>
      <c r="N113" s="39">
        <f t="shared" si="60"/>
        <v>3180.6</v>
      </c>
      <c r="O113" s="39">
        <f t="shared" si="60"/>
        <v>3092.25</v>
      </c>
      <c r="P113" s="39">
        <f t="shared" si="60"/>
        <v>1325.25</v>
      </c>
      <c r="Q113" s="39">
        <f t="shared" si="60"/>
        <v>1413.6</v>
      </c>
      <c r="R113" s="39">
        <f t="shared" si="60"/>
        <v>4859.25</v>
      </c>
      <c r="S113" s="39">
        <f t="shared" si="60"/>
        <v>2208.75</v>
      </c>
      <c r="T113" s="39">
        <f t="shared" si="60"/>
        <v>0</v>
      </c>
      <c r="U113" s="39">
        <f t="shared" si="60"/>
        <v>441.75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5"/>
      <c r="AJ113" s="2"/>
      <c r="AK113" s="2"/>
      <c r="AL113" s="2"/>
      <c r="AM113" s="2"/>
      <c r="AN113" s="2"/>
      <c r="AO113" s="2"/>
      <c r="AP113" s="5"/>
      <c r="AQ113" s="5"/>
    </row>
    <row r="114">
      <c r="A114" s="2"/>
      <c r="B114" s="5"/>
      <c r="C114" s="2"/>
      <c r="D114" s="2" t="str">
        <f t="shared" si="49"/>
        <v>Stock 12</v>
      </c>
      <c r="E114" s="2"/>
      <c r="F114" s="2"/>
      <c r="G114" s="2"/>
      <c r="H114" s="2" t="str">
        <f t="shared" si="50"/>
        <v>Steady Eddy</v>
      </c>
      <c r="I114" s="2"/>
      <c r="J114" s="39">
        <f t="shared" ref="J114:U114" si="61">if($H$114="",0,if($H$114="Sky Rockets",J32*$W$7*$AA$32,if($H$114="Steady Eddy",J32*$X$7*$AA$32,J32*$Y$7*$AA$32)))</f>
        <v>3378.96</v>
      </c>
      <c r="K114" s="39">
        <f t="shared" si="61"/>
        <v>1600.56</v>
      </c>
      <c r="L114" s="39">
        <f t="shared" si="61"/>
        <v>3467.88</v>
      </c>
      <c r="M114" s="39">
        <f t="shared" si="61"/>
        <v>0</v>
      </c>
      <c r="N114" s="39">
        <f t="shared" si="61"/>
        <v>3378.96</v>
      </c>
      <c r="O114" s="39">
        <f t="shared" si="61"/>
        <v>3467.88</v>
      </c>
      <c r="P114" s="39">
        <f t="shared" si="61"/>
        <v>1600.56</v>
      </c>
      <c r="Q114" s="39">
        <f t="shared" si="61"/>
        <v>1600.56</v>
      </c>
      <c r="R114" s="39">
        <f t="shared" si="61"/>
        <v>6135.48</v>
      </c>
      <c r="S114" s="39">
        <f t="shared" si="61"/>
        <v>2489.76</v>
      </c>
      <c r="T114" s="39">
        <f t="shared" si="61"/>
        <v>1600.56</v>
      </c>
      <c r="U114" s="39">
        <f t="shared" si="61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5"/>
      <c r="AJ114" s="2"/>
      <c r="AK114" s="2"/>
      <c r="AL114" s="2"/>
      <c r="AM114" s="2"/>
      <c r="AN114" s="2"/>
      <c r="AO114" s="2"/>
      <c r="AP114" s="5"/>
      <c r="AQ114" s="5"/>
    </row>
    <row r="115">
      <c r="A115" s="2"/>
      <c r="B115" s="5"/>
      <c r="C115" s="2"/>
      <c r="D115" s="2" t="str">
        <f t="shared" si="49"/>
        <v>Stock 13</v>
      </c>
      <c r="E115" s="2"/>
      <c r="F115" s="2"/>
      <c r="G115" s="2"/>
      <c r="H115" s="2" t="str">
        <f t="shared" si="50"/>
        <v>Steady Eddy</v>
      </c>
      <c r="I115" s="2"/>
      <c r="J115" s="39">
        <f t="shared" ref="J115:U115" si="62">if($H$115="",0,if($H$115="Sky Rockets",J33*$W$7*$AA$33,if($H$115="Steady Eddy",J33*$X$7*$AA$33,J33*$Y$7*$AA$33)))</f>
        <v>3221.64</v>
      </c>
      <c r="K115" s="39">
        <f t="shared" si="62"/>
        <v>1163.37</v>
      </c>
      <c r="L115" s="39">
        <f t="shared" si="62"/>
        <v>3400.62</v>
      </c>
      <c r="M115" s="39">
        <f t="shared" si="62"/>
        <v>0</v>
      </c>
      <c r="N115" s="39">
        <f t="shared" si="62"/>
        <v>2953.17</v>
      </c>
      <c r="O115" s="39">
        <f t="shared" si="62"/>
        <v>3400.62</v>
      </c>
      <c r="P115" s="39">
        <f t="shared" si="62"/>
        <v>1431.84</v>
      </c>
      <c r="Q115" s="39">
        <f t="shared" si="62"/>
        <v>1163.37</v>
      </c>
      <c r="R115" s="39">
        <f t="shared" si="62"/>
        <v>0</v>
      </c>
      <c r="S115" s="39">
        <f t="shared" si="62"/>
        <v>2326.74</v>
      </c>
      <c r="T115" s="39">
        <f t="shared" si="62"/>
        <v>1163.37</v>
      </c>
      <c r="U115" s="39">
        <f t="shared" si="62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5"/>
      <c r="AJ115" s="2"/>
      <c r="AK115" s="2"/>
      <c r="AL115" s="2"/>
      <c r="AM115" s="2"/>
      <c r="AN115" s="2"/>
      <c r="AO115" s="2"/>
      <c r="AP115" s="5"/>
      <c r="AQ115" s="5"/>
    </row>
    <row r="116">
      <c r="A116" s="2"/>
      <c r="B116" s="5"/>
      <c r="C116" s="2"/>
      <c r="D116" s="2" t="str">
        <f t="shared" si="49"/>
        <v>Stock 14</v>
      </c>
      <c r="E116" s="2"/>
      <c r="F116" s="2"/>
      <c r="G116" s="2"/>
      <c r="H116" s="2" t="str">
        <f t="shared" si="50"/>
        <v>SkyRockets</v>
      </c>
      <c r="I116" s="2"/>
      <c r="J116" s="39">
        <f t="shared" ref="J116:U116" si="63">if($H$116="",0,if($H$116="Sky Rockets",J34*$W$7*$AA$34,if($H$116="Steady Eddy",J34*$X$7*$AA$34,J34*$Y$7*$AA$34)))</f>
        <v>1576.05</v>
      </c>
      <c r="K116" s="39">
        <f t="shared" si="63"/>
        <v>675.45</v>
      </c>
      <c r="L116" s="39">
        <f t="shared" si="63"/>
        <v>1576.05</v>
      </c>
      <c r="M116" s="39">
        <f t="shared" si="63"/>
        <v>1125.75</v>
      </c>
      <c r="N116" s="39">
        <f t="shared" si="63"/>
        <v>0</v>
      </c>
      <c r="O116" s="39">
        <f t="shared" si="63"/>
        <v>0</v>
      </c>
      <c r="P116" s="39">
        <f t="shared" si="63"/>
        <v>675.45</v>
      </c>
      <c r="Q116" s="39">
        <f t="shared" si="63"/>
        <v>0</v>
      </c>
      <c r="R116" s="39">
        <f t="shared" si="63"/>
        <v>0</v>
      </c>
      <c r="S116" s="39">
        <f t="shared" si="63"/>
        <v>0</v>
      </c>
      <c r="T116" s="39">
        <f t="shared" si="63"/>
        <v>675.45</v>
      </c>
      <c r="U116" s="39">
        <f t="shared" si="63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5"/>
      <c r="AJ116" s="2"/>
      <c r="AK116" s="2"/>
      <c r="AL116" s="2"/>
      <c r="AM116" s="2"/>
      <c r="AN116" s="2"/>
      <c r="AO116" s="2"/>
      <c r="AP116" s="5"/>
      <c r="AQ116" s="5"/>
    </row>
    <row r="117">
      <c r="A117" s="2"/>
      <c r="B117" s="5"/>
      <c r="C117" s="2"/>
      <c r="D117" s="2" t="str">
        <f t="shared" si="49"/>
        <v>Stock 15</v>
      </c>
      <c r="E117" s="2"/>
      <c r="F117" s="2"/>
      <c r="G117" s="2"/>
      <c r="H117" s="2" t="str">
        <f t="shared" si="50"/>
        <v>SkyRockets</v>
      </c>
      <c r="I117" s="2"/>
      <c r="J117" s="39">
        <f t="shared" ref="J117:U117" si="64">if($H$117="",0,if($H$117="Sky Rockets",J35*$W$7*$AA$35,if($H$117="Steady Eddy",J35*$X$7*$AA$35,J35*$Y$7*$AA$35)))</f>
        <v>1540.71</v>
      </c>
      <c r="K117" s="39">
        <f t="shared" si="64"/>
        <v>770.355</v>
      </c>
      <c r="L117" s="39">
        <f t="shared" si="64"/>
        <v>1450.08</v>
      </c>
      <c r="M117" s="39">
        <f t="shared" si="64"/>
        <v>1087.56</v>
      </c>
      <c r="N117" s="39">
        <f t="shared" si="64"/>
        <v>0</v>
      </c>
      <c r="O117" s="39">
        <f t="shared" si="64"/>
        <v>0</v>
      </c>
      <c r="P117" s="39">
        <f t="shared" si="64"/>
        <v>634.41</v>
      </c>
      <c r="Q117" s="39">
        <f t="shared" si="64"/>
        <v>0</v>
      </c>
      <c r="R117" s="39">
        <f t="shared" si="64"/>
        <v>1903.23</v>
      </c>
      <c r="S117" s="39">
        <f t="shared" si="64"/>
        <v>0</v>
      </c>
      <c r="T117" s="39">
        <f t="shared" si="64"/>
        <v>770.355</v>
      </c>
      <c r="U117" s="39">
        <f t="shared" si="64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5"/>
      <c r="AJ117" s="2"/>
      <c r="AK117" s="2"/>
      <c r="AL117" s="2"/>
      <c r="AM117" s="2"/>
      <c r="AN117" s="2"/>
      <c r="AO117" s="2"/>
      <c r="AP117" s="5"/>
      <c r="AQ117" s="5"/>
    </row>
    <row r="118">
      <c r="A118" s="2"/>
      <c r="B118" s="5"/>
      <c r="C118" s="2"/>
      <c r="D118" s="2" t="str">
        <f t="shared" si="49"/>
        <v>Stock 16</v>
      </c>
      <c r="E118" s="2"/>
      <c r="F118" s="2"/>
      <c r="G118" s="2"/>
      <c r="H118" s="2" t="str">
        <f t="shared" si="50"/>
        <v>SkyRockets</v>
      </c>
      <c r="I118" s="2"/>
      <c r="J118" s="39">
        <f t="shared" ref="J118:U118" si="65">if($H$118="",0,if($H$118="Sky Rockets",J36*$W$7*$AA$36,if($H$118="Steady Eddy",J36*$X$7*$AA$36,J36*$Y$7*$AA$36)))</f>
        <v>1687.2</v>
      </c>
      <c r="K118" s="39">
        <f t="shared" si="65"/>
        <v>866.4</v>
      </c>
      <c r="L118" s="39">
        <f t="shared" si="65"/>
        <v>1641.6</v>
      </c>
      <c r="M118" s="39">
        <f t="shared" si="65"/>
        <v>1231.2</v>
      </c>
      <c r="N118" s="39">
        <f t="shared" si="65"/>
        <v>2234.4</v>
      </c>
      <c r="O118" s="39">
        <f t="shared" si="65"/>
        <v>2097.6</v>
      </c>
      <c r="P118" s="39">
        <f t="shared" si="65"/>
        <v>775.2</v>
      </c>
      <c r="Q118" s="39">
        <f t="shared" si="65"/>
        <v>0</v>
      </c>
      <c r="R118" s="39">
        <f t="shared" si="65"/>
        <v>1641.6</v>
      </c>
      <c r="S118" s="39">
        <f t="shared" si="65"/>
        <v>0</v>
      </c>
      <c r="T118" s="39">
        <f t="shared" si="65"/>
        <v>866.4</v>
      </c>
      <c r="U118" s="39">
        <f t="shared" si="65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5"/>
      <c r="AJ118" s="2"/>
      <c r="AK118" s="2"/>
      <c r="AL118" s="2"/>
      <c r="AM118" s="2"/>
      <c r="AN118" s="2"/>
      <c r="AO118" s="2"/>
      <c r="AP118" s="5"/>
      <c r="AQ118" s="5"/>
    </row>
    <row r="119">
      <c r="A119" s="2"/>
      <c r="B119" s="5"/>
      <c r="C119" s="2"/>
      <c r="D119" s="2" t="str">
        <f t="shared" si="49"/>
        <v>Stock 17</v>
      </c>
      <c r="E119" s="2"/>
      <c r="F119" s="2"/>
      <c r="G119" s="2"/>
      <c r="H119" s="2" t="str">
        <f t="shared" si="50"/>
        <v>Slow Burn</v>
      </c>
      <c r="I119" s="2"/>
      <c r="J119" s="39">
        <f t="shared" ref="J119:U119" si="66">if($H$119="",0,if($H$119="Sky Rockets",J37*$W$7*$AA$37,if($H$119="Steady Eddy",J37*$X$7*$AA$37,J37*$Y$7*$AA$37)))</f>
        <v>1651.86</v>
      </c>
      <c r="K119" s="39">
        <f t="shared" si="66"/>
        <v>504.735</v>
      </c>
      <c r="L119" s="39">
        <f t="shared" si="66"/>
        <v>1605.975</v>
      </c>
      <c r="M119" s="39">
        <f t="shared" si="66"/>
        <v>1193.01</v>
      </c>
      <c r="N119" s="39">
        <f t="shared" si="66"/>
        <v>1881.285</v>
      </c>
      <c r="O119" s="39">
        <f t="shared" si="66"/>
        <v>2064.825</v>
      </c>
      <c r="P119" s="39">
        <f t="shared" si="66"/>
        <v>734.16</v>
      </c>
      <c r="Q119" s="39">
        <f t="shared" si="66"/>
        <v>0</v>
      </c>
      <c r="R119" s="39">
        <f t="shared" si="66"/>
        <v>1147.125</v>
      </c>
      <c r="S119" s="39">
        <f t="shared" si="66"/>
        <v>275.31</v>
      </c>
      <c r="T119" s="39">
        <f t="shared" si="66"/>
        <v>504.735</v>
      </c>
      <c r="U119" s="39">
        <f t="shared" si="66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5"/>
      <c r="AJ119" s="2"/>
      <c r="AK119" s="2"/>
      <c r="AL119" s="2"/>
      <c r="AM119" s="2"/>
      <c r="AN119" s="2"/>
      <c r="AO119" s="2"/>
      <c r="AP119" s="5"/>
      <c r="AQ119" s="5"/>
    </row>
    <row r="120">
      <c r="A120" s="2"/>
      <c r="B120" s="5"/>
      <c r="C120" s="2"/>
      <c r="D120" s="2" t="str">
        <f t="shared" si="49"/>
        <v>Stock 18</v>
      </c>
      <c r="E120" s="2"/>
      <c r="F120" s="2"/>
      <c r="G120" s="2"/>
      <c r="H120" s="2" t="str">
        <f t="shared" si="50"/>
        <v>Slow Burn</v>
      </c>
      <c r="I120" s="2"/>
      <c r="J120" s="39">
        <f t="shared" ref="J120:U120" si="67">if($H$120="",0,if($H$120="Sky Rockets",J38*$W$7*$AA$38,if($H$120="Steady Eddy",J38*$X$7*$AA$38,J38*$Y$7*$AA$38)))</f>
        <v>1477.44</v>
      </c>
      <c r="K120" s="39">
        <f t="shared" si="67"/>
        <v>554.04</v>
      </c>
      <c r="L120" s="39">
        <f t="shared" si="67"/>
        <v>1569.78</v>
      </c>
      <c r="M120" s="39">
        <f t="shared" si="67"/>
        <v>1015.74</v>
      </c>
      <c r="N120" s="39">
        <f t="shared" si="67"/>
        <v>1939.14</v>
      </c>
      <c r="O120" s="39">
        <f t="shared" si="67"/>
        <v>2031.48</v>
      </c>
      <c r="P120" s="39">
        <f t="shared" si="67"/>
        <v>554.04</v>
      </c>
      <c r="Q120" s="39">
        <f t="shared" si="67"/>
        <v>554.04</v>
      </c>
      <c r="R120" s="39">
        <f t="shared" si="67"/>
        <v>1108.08</v>
      </c>
      <c r="S120" s="39">
        <f t="shared" si="67"/>
        <v>92.34</v>
      </c>
      <c r="T120" s="39">
        <f t="shared" si="67"/>
        <v>554.04</v>
      </c>
      <c r="U120" s="39">
        <f t="shared" si="67"/>
        <v>184.68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5"/>
      <c r="AJ120" s="2"/>
      <c r="AK120" s="2"/>
      <c r="AL120" s="2"/>
      <c r="AM120" s="2"/>
      <c r="AN120" s="2"/>
      <c r="AO120" s="2"/>
      <c r="AP120" s="5"/>
      <c r="AQ120" s="5"/>
    </row>
    <row r="121">
      <c r="A121" s="2"/>
      <c r="B121" s="5"/>
      <c r="C121" s="2"/>
      <c r="D121" s="2" t="str">
        <f t="shared" si="49"/>
        <v>Stock 19</v>
      </c>
      <c r="E121" s="2"/>
      <c r="F121" s="2"/>
      <c r="G121" s="2"/>
      <c r="H121" s="2" t="str">
        <f t="shared" si="50"/>
        <v>SkyRockets</v>
      </c>
      <c r="I121" s="2"/>
      <c r="J121" s="39">
        <f t="shared" ref="J121:U121" si="68">if($H$121="",0,if($H$121="Sky Rockets",J39*$W$7*$AA$39,if($H$121="Steady Eddy",J39*$X$7*$AA$39,J39*$Y$7*$AA$39)))</f>
        <v>1440.105</v>
      </c>
      <c r="K121" s="39">
        <f t="shared" si="68"/>
        <v>650.37</v>
      </c>
      <c r="L121" s="39">
        <f t="shared" si="68"/>
        <v>1718.835</v>
      </c>
      <c r="M121" s="39">
        <f t="shared" si="68"/>
        <v>975.555</v>
      </c>
      <c r="N121" s="39">
        <f t="shared" si="68"/>
        <v>2044.02</v>
      </c>
      <c r="O121" s="39">
        <f t="shared" si="68"/>
        <v>2183.385</v>
      </c>
      <c r="P121" s="39">
        <f t="shared" si="68"/>
        <v>511.005</v>
      </c>
      <c r="Q121" s="39">
        <f t="shared" si="68"/>
        <v>650.37</v>
      </c>
      <c r="R121" s="39">
        <f t="shared" si="68"/>
        <v>789.735</v>
      </c>
      <c r="S121" s="39">
        <f t="shared" si="68"/>
        <v>46.455</v>
      </c>
      <c r="T121" s="39">
        <f t="shared" si="68"/>
        <v>650.37</v>
      </c>
      <c r="U121" s="39">
        <f t="shared" si="68"/>
        <v>325.185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5"/>
      <c r="AJ121" s="2"/>
      <c r="AK121" s="2"/>
      <c r="AL121" s="2"/>
      <c r="AM121" s="2"/>
      <c r="AN121" s="2"/>
      <c r="AO121" s="2"/>
      <c r="AP121" s="5"/>
      <c r="AQ121" s="5"/>
    </row>
    <row r="122">
      <c r="A122" s="2"/>
      <c r="B122" s="5"/>
      <c r="C122" s="2"/>
      <c r="D122" s="2" t="str">
        <f t="shared" si="49"/>
        <v>Stock 20</v>
      </c>
      <c r="E122" s="2"/>
      <c r="F122" s="2"/>
      <c r="G122" s="2"/>
      <c r="H122" s="2" t="str">
        <f t="shared" si="50"/>
        <v>Steady Eddy</v>
      </c>
      <c r="I122" s="2"/>
      <c r="J122" s="39">
        <f t="shared" ref="J122:U122" si="69">if($H$122="",0,if($H$122="Sky Rockets",J40*$W$7*$AA$40,if($H$122="Steady Eddy",J40*$X$7*$AA$40,J40*$Y$7*$AA$40)))</f>
        <v>3178.32</v>
      </c>
      <c r="K122" s="39">
        <f t="shared" si="69"/>
        <v>1682.64</v>
      </c>
      <c r="L122" s="39">
        <f t="shared" si="69"/>
        <v>3552.24</v>
      </c>
      <c r="M122" s="39">
        <f t="shared" si="69"/>
        <v>2243.52</v>
      </c>
      <c r="N122" s="39">
        <f t="shared" si="69"/>
        <v>4487.04</v>
      </c>
      <c r="O122" s="39">
        <f t="shared" si="69"/>
        <v>4487.04</v>
      </c>
      <c r="P122" s="39">
        <f t="shared" si="69"/>
        <v>1308.72</v>
      </c>
      <c r="Q122" s="39">
        <f t="shared" si="69"/>
        <v>1682.64</v>
      </c>
      <c r="R122" s="39">
        <f t="shared" si="69"/>
        <v>3552.24</v>
      </c>
      <c r="S122" s="39">
        <f t="shared" si="69"/>
        <v>373.92</v>
      </c>
      <c r="T122" s="39">
        <f t="shared" si="69"/>
        <v>1682.64</v>
      </c>
      <c r="U122" s="39">
        <f t="shared" si="69"/>
        <v>747.84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5"/>
      <c r="AJ122" s="2"/>
      <c r="AK122" s="2"/>
      <c r="AL122" s="2"/>
      <c r="AM122" s="2"/>
      <c r="AN122" s="2"/>
      <c r="AO122" s="2"/>
      <c r="AP122" s="5"/>
      <c r="AQ122" s="5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5"/>
      <c r="AJ123" s="2"/>
      <c r="AK123" s="2"/>
      <c r="AL123" s="2"/>
      <c r="AM123" s="2"/>
      <c r="AN123" s="2"/>
      <c r="AO123" s="2"/>
      <c r="AP123" s="5"/>
      <c r="AQ123" s="5"/>
    </row>
    <row r="124">
      <c r="A124" s="2"/>
      <c r="B124" s="5"/>
      <c r="C124" s="2"/>
      <c r="D124" s="3" t="s">
        <v>86</v>
      </c>
      <c r="E124" s="3"/>
      <c r="F124" s="3" t="s">
        <v>88</v>
      </c>
      <c r="G124" s="2"/>
      <c r="H124" s="3">
        <v>30.0</v>
      </c>
      <c r="I124" s="2"/>
      <c r="J124" s="78">
        <f t="shared" ref="J124:U124" si="70">sum(J103:J122)</f>
        <v>43020.75</v>
      </c>
      <c r="K124" s="78">
        <f t="shared" si="70"/>
        <v>15755.655</v>
      </c>
      <c r="L124" s="78">
        <f t="shared" si="70"/>
        <v>39710.475</v>
      </c>
      <c r="M124" s="78">
        <f t="shared" si="70"/>
        <v>20265.495</v>
      </c>
      <c r="N124" s="78">
        <f t="shared" si="70"/>
        <v>33793.59</v>
      </c>
      <c r="O124" s="78">
        <f t="shared" si="70"/>
        <v>41216.7</v>
      </c>
      <c r="P124" s="78">
        <f t="shared" si="70"/>
        <v>11839.47</v>
      </c>
      <c r="Q124" s="78">
        <f t="shared" si="70"/>
        <v>12240.75</v>
      </c>
      <c r="R124" s="78">
        <f t="shared" si="70"/>
        <v>32494.845</v>
      </c>
      <c r="S124" s="78">
        <f t="shared" si="70"/>
        <v>14649</v>
      </c>
      <c r="T124" s="78">
        <f t="shared" si="70"/>
        <v>13775.19</v>
      </c>
      <c r="U124" s="78">
        <f t="shared" si="70"/>
        <v>5379.66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5"/>
      <c r="AJ124" s="2"/>
      <c r="AK124" s="2"/>
      <c r="AL124" s="2"/>
      <c r="AM124" s="2"/>
      <c r="AN124" s="2"/>
      <c r="AO124" s="2"/>
      <c r="AP124" s="5"/>
      <c r="AQ124" s="5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5"/>
      <c r="AJ125" s="2"/>
      <c r="AK125" s="2"/>
      <c r="AL125" s="2"/>
      <c r="AM125" s="2"/>
      <c r="AN125" s="2"/>
      <c r="AO125" s="2"/>
      <c r="AP125" s="5"/>
      <c r="AQ125" s="5"/>
    </row>
    <row r="126">
      <c r="A126" s="2"/>
      <c r="B126" s="5"/>
      <c r="C126" s="2"/>
      <c r="D126" s="2" t="str">
        <f t="shared" ref="D126:D145" si="72">D103</f>
        <v>Stock 1</v>
      </c>
      <c r="E126" s="2"/>
      <c r="F126" s="2"/>
      <c r="G126" s="2"/>
      <c r="H126" s="2" t="str">
        <f t="shared" ref="H126:H145" si="73">H103</f>
        <v>SkyRockets</v>
      </c>
      <c r="I126" s="2"/>
      <c r="J126" s="39">
        <f t="shared" ref="J126:U126" si="71">if($H$126="",0,if($H$126="Sky Rockets",J21*$W$8*$AA$21,if($H$126="Steady Eddy",J21*$X$8*$AA$21,J21*$Y$8*$AA$21)))</f>
        <v>4215.15</v>
      </c>
      <c r="K126" s="39">
        <f t="shared" si="71"/>
        <v>1487.7</v>
      </c>
      <c r="L126" s="39">
        <f t="shared" si="71"/>
        <v>4339.125</v>
      </c>
      <c r="M126" s="39">
        <f t="shared" si="71"/>
        <v>2975.4</v>
      </c>
      <c r="N126" s="39">
        <f t="shared" si="71"/>
        <v>1487.7</v>
      </c>
      <c r="O126" s="39">
        <f t="shared" si="71"/>
        <v>5702.85</v>
      </c>
      <c r="P126" s="39">
        <f t="shared" si="71"/>
        <v>1735.65</v>
      </c>
      <c r="Q126" s="39">
        <f t="shared" si="71"/>
        <v>1487.7</v>
      </c>
      <c r="R126" s="39">
        <f t="shared" si="71"/>
        <v>4463.1</v>
      </c>
      <c r="S126" s="39">
        <f t="shared" si="71"/>
        <v>495.9</v>
      </c>
      <c r="T126" s="39">
        <f t="shared" si="71"/>
        <v>247.95</v>
      </c>
      <c r="U126" s="39">
        <f t="shared" si="71"/>
        <v>1983.6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5"/>
      <c r="AJ126" s="2"/>
      <c r="AK126" s="2"/>
      <c r="AL126" s="2"/>
      <c r="AM126" s="2"/>
      <c r="AN126" s="2"/>
      <c r="AO126" s="2"/>
      <c r="AP126" s="5"/>
      <c r="AQ126" s="5"/>
    </row>
    <row r="127">
      <c r="A127" s="2"/>
      <c r="B127" s="5"/>
      <c r="C127" s="2"/>
      <c r="D127" s="2" t="str">
        <f t="shared" si="72"/>
        <v>Stock 2</v>
      </c>
      <c r="E127" s="2"/>
      <c r="F127" s="2"/>
      <c r="G127" s="2"/>
      <c r="H127" s="2" t="str">
        <f t="shared" si="73"/>
        <v>Steady Eddy</v>
      </c>
      <c r="I127" s="2"/>
      <c r="J127" s="39">
        <f t="shared" ref="J127:U127" si="74">if($H$127="",0,if($H$127="Sky Rockets",J22*$W$8*$AA$22,if($H$127="Steady Eddy",J22*$X$8*$AA$22,J22*$Y$8*$AA$22)))</f>
        <v>4119.39</v>
      </c>
      <c r="K127" s="39">
        <f t="shared" si="74"/>
        <v>1747.62</v>
      </c>
      <c r="L127" s="39">
        <f t="shared" si="74"/>
        <v>4369.05</v>
      </c>
      <c r="M127" s="39">
        <f t="shared" si="74"/>
        <v>2871.09</v>
      </c>
      <c r="N127" s="39">
        <f t="shared" si="74"/>
        <v>1747.62</v>
      </c>
      <c r="O127" s="39">
        <f t="shared" si="74"/>
        <v>5617.35</v>
      </c>
      <c r="P127" s="39">
        <f t="shared" si="74"/>
        <v>1622.79</v>
      </c>
      <c r="Q127" s="39">
        <f t="shared" si="74"/>
        <v>0</v>
      </c>
      <c r="R127" s="39">
        <f t="shared" si="74"/>
        <v>3120.75</v>
      </c>
      <c r="S127" s="39">
        <f t="shared" si="74"/>
        <v>374.49</v>
      </c>
      <c r="T127" s="39">
        <f t="shared" si="74"/>
        <v>0</v>
      </c>
      <c r="U127" s="39">
        <f t="shared" si="74"/>
        <v>1872.45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5"/>
      <c r="AJ127" s="2"/>
      <c r="AK127" s="2"/>
      <c r="AL127" s="2"/>
      <c r="AM127" s="2"/>
      <c r="AN127" s="2"/>
      <c r="AO127" s="2"/>
      <c r="AP127" s="5"/>
      <c r="AQ127" s="5"/>
    </row>
    <row r="128">
      <c r="A128" s="2"/>
      <c r="B128" s="5"/>
      <c r="C128" s="2"/>
      <c r="D128" s="2" t="str">
        <f t="shared" si="72"/>
        <v>Stock 3</v>
      </c>
      <c r="E128" s="2"/>
      <c r="F128" s="2"/>
      <c r="G128" s="2"/>
      <c r="H128" s="2" t="str">
        <f t="shared" si="73"/>
        <v>Slow Burn</v>
      </c>
      <c r="I128" s="2"/>
      <c r="J128" s="39">
        <f t="shared" ref="J128:U128" si="75">if($H$128="",0,if($H$128="Sky Rockets",J23*$W$8*$AA$23,if($H$128="Steady Eddy",J23*$X$8*$AA$23,J23*$Y$8*$AA$23)))</f>
        <v>4398.975</v>
      </c>
      <c r="K128" s="39">
        <f t="shared" si="75"/>
        <v>0</v>
      </c>
      <c r="L128" s="39">
        <f t="shared" si="75"/>
        <v>4273.29</v>
      </c>
      <c r="M128" s="39">
        <f t="shared" si="75"/>
        <v>0</v>
      </c>
      <c r="N128" s="39">
        <f t="shared" si="75"/>
        <v>2010.96</v>
      </c>
      <c r="O128" s="39">
        <f t="shared" si="75"/>
        <v>5530.14</v>
      </c>
      <c r="P128" s="39">
        <f t="shared" si="75"/>
        <v>1885.275</v>
      </c>
      <c r="Q128" s="39">
        <f t="shared" si="75"/>
        <v>0</v>
      </c>
      <c r="R128" s="39">
        <f t="shared" si="75"/>
        <v>0</v>
      </c>
      <c r="S128" s="39">
        <f t="shared" si="75"/>
        <v>628.425</v>
      </c>
      <c r="T128" s="39">
        <f t="shared" si="75"/>
        <v>0</v>
      </c>
      <c r="U128" s="39">
        <f t="shared" si="75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5"/>
      <c r="AJ128" s="2"/>
      <c r="AK128" s="2"/>
      <c r="AL128" s="2"/>
      <c r="AM128" s="2"/>
      <c r="AN128" s="2"/>
      <c r="AO128" s="2"/>
      <c r="AP128" s="5"/>
      <c r="AQ128" s="5"/>
    </row>
    <row r="129">
      <c r="A129" s="2"/>
      <c r="B129" s="5"/>
      <c r="C129" s="2"/>
      <c r="D129" s="2" t="str">
        <f t="shared" si="72"/>
        <v>Stock 4</v>
      </c>
      <c r="E129" s="2"/>
      <c r="F129" s="2"/>
      <c r="G129" s="2"/>
      <c r="H129" s="2" t="str">
        <f t="shared" si="73"/>
        <v>Steady Eddy</v>
      </c>
      <c r="I129" s="2"/>
      <c r="J129" s="39">
        <f t="shared" ref="J129:U129" si="76">if($H$129="",0,if($H$129="Sky Rockets",J24*$W$8*$AA$24,if($H$129="Steady Eddy",J24*$X$8*$AA$24,J24*$Y$8*$AA$24)))</f>
        <v>4808.52</v>
      </c>
      <c r="K129" s="39">
        <f t="shared" si="76"/>
        <v>0</v>
      </c>
      <c r="L129" s="39">
        <f t="shared" si="76"/>
        <v>4935.06</v>
      </c>
      <c r="M129" s="39">
        <f t="shared" si="76"/>
        <v>0</v>
      </c>
      <c r="N129" s="39">
        <f t="shared" si="76"/>
        <v>2277.72</v>
      </c>
      <c r="O129" s="39">
        <f t="shared" si="76"/>
        <v>6200.46</v>
      </c>
      <c r="P129" s="39">
        <f t="shared" si="76"/>
        <v>0</v>
      </c>
      <c r="Q129" s="39">
        <f t="shared" si="76"/>
        <v>0</v>
      </c>
      <c r="R129" s="39">
        <f t="shared" si="76"/>
        <v>0</v>
      </c>
      <c r="S129" s="39">
        <f t="shared" si="76"/>
        <v>1012.32</v>
      </c>
      <c r="T129" s="39">
        <f t="shared" si="76"/>
        <v>2277.72</v>
      </c>
      <c r="U129" s="39">
        <f t="shared" si="76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5"/>
      <c r="AJ129" s="2"/>
      <c r="AK129" s="2"/>
      <c r="AL129" s="2"/>
      <c r="AM129" s="2"/>
      <c r="AN129" s="2"/>
      <c r="AO129" s="2"/>
      <c r="AP129" s="5"/>
      <c r="AQ129" s="5"/>
    </row>
    <row r="130">
      <c r="A130" s="2"/>
      <c r="B130" s="5"/>
      <c r="C130" s="2"/>
      <c r="D130" s="2" t="str">
        <f t="shared" si="72"/>
        <v>Stock 5</v>
      </c>
      <c r="E130" s="2"/>
      <c r="F130" s="2"/>
      <c r="G130" s="2"/>
      <c r="H130" s="2" t="str">
        <f t="shared" si="73"/>
        <v>SkyRockets</v>
      </c>
      <c r="I130" s="2"/>
      <c r="J130" s="39">
        <f t="shared" ref="J130:U130" si="77">if($H$130="",0,if($H$130="Sky Rockets",J25*$W$8*$AA$25,if($H$130="Steady Eddy",J25*$X$8*$AA$25,J25*$Y$8*$AA$25)))</f>
        <v>4586.22</v>
      </c>
      <c r="K130" s="39">
        <f t="shared" si="77"/>
        <v>0</v>
      </c>
      <c r="L130" s="39">
        <f t="shared" si="77"/>
        <v>4841.01</v>
      </c>
      <c r="M130" s="39">
        <f t="shared" si="77"/>
        <v>3312.27</v>
      </c>
      <c r="N130" s="39">
        <f t="shared" si="77"/>
        <v>1401.345</v>
      </c>
      <c r="O130" s="39">
        <f t="shared" si="77"/>
        <v>6114.96</v>
      </c>
      <c r="P130" s="39">
        <f t="shared" si="77"/>
        <v>0</v>
      </c>
      <c r="Q130" s="39">
        <f t="shared" si="77"/>
        <v>1401.345</v>
      </c>
      <c r="R130" s="39">
        <f t="shared" si="77"/>
        <v>3567.06</v>
      </c>
      <c r="S130" s="39">
        <f t="shared" si="77"/>
        <v>764.37</v>
      </c>
      <c r="T130" s="39">
        <f t="shared" si="77"/>
        <v>2165.715</v>
      </c>
      <c r="U130" s="39">
        <f t="shared" si="77"/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5"/>
      <c r="AJ130" s="2"/>
      <c r="AK130" s="2"/>
      <c r="AL130" s="2"/>
      <c r="AM130" s="2"/>
      <c r="AN130" s="2"/>
      <c r="AO130" s="2"/>
      <c r="AP130" s="5"/>
      <c r="AQ130" s="5"/>
    </row>
    <row r="131">
      <c r="A131" s="2"/>
      <c r="B131" s="5"/>
      <c r="C131" s="2"/>
      <c r="D131" s="2" t="str">
        <f t="shared" si="72"/>
        <v>Stock 6</v>
      </c>
      <c r="E131" s="2"/>
      <c r="F131" s="2"/>
      <c r="G131" s="2"/>
      <c r="H131" s="2" t="str">
        <f t="shared" si="73"/>
        <v>Slow Burn</v>
      </c>
      <c r="I131" s="2"/>
      <c r="J131" s="39">
        <f t="shared" ref="J131:U131" si="78">if($H$131="",0,if($H$131="Sky Rockets",J26*$W$8*$AA$26,if($H$131="Steady Eddy",J26*$X$8*$AA$26,J26*$Y$8*$AA$26)))</f>
        <v>4488.75</v>
      </c>
      <c r="K131" s="39">
        <f t="shared" si="78"/>
        <v>1667.25</v>
      </c>
      <c r="L131" s="39">
        <f t="shared" si="78"/>
        <v>0</v>
      </c>
      <c r="M131" s="39">
        <f t="shared" si="78"/>
        <v>3206.25</v>
      </c>
      <c r="N131" s="39">
        <f t="shared" si="78"/>
        <v>0</v>
      </c>
      <c r="O131" s="39">
        <f t="shared" si="78"/>
        <v>6027.75</v>
      </c>
      <c r="P131" s="39">
        <f t="shared" si="78"/>
        <v>0</v>
      </c>
      <c r="Q131" s="39">
        <f t="shared" si="78"/>
        <v>1667.25</v>
      </c>
      <c r="R131" s="39">
        <f t="shared" si="78"/>
        <v>4745.25</v>
      </c>
      <c r="S131" s="39">
        <f t="shared" si="78"/>
        <v>0</v>
      </c>
      <c r="T131" s="39">
        <f t="shared" si="78"/>
        <v>1667.25</v>
      </c>
      <c r="U131" s="39">
        <f t="shared" si="78"/>
        <v>2180.25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5"/>
      <c r="AJ131" s="2"/>
      <c r="AK131" s="2"/>
      <c r="AL131" s="2"/>
      <c r="AM131" s="2"/>
      <c r="AN131" s="2"/>
      <c r="AO131" s="2"/>
      <c r="AP131" s="5"/>
      <c r="AQ131" s="5"/>
    </row>
    <row r="132">
      <c r="A132" s="2"/>
      <c r="B132" s="5"/>
      <c r="C132" s="2"/>
      <c r="D132" s="2" t="str">
        <f t="shared" si="72"/>
        <v>Stock 7</v>
      </c>
      <c r="E132" s="2"/>
      <c r="F132" s="2"/>
      <c r="G132" s="2"/>
      <c r="H132" s="2" t="str">
        <f t="shared" si="73"/>
        <v>SkyRockets</v>
      </c>
      <c r="I132" s="2"/>
      <c r="J132" s="39">
        <f t="shared" ref="J132:U132" si="79">if($H$132="",0,if($H$132="Sky Rockets",J27*$W$8*$AA$27,if($H$132="Steady Eddy",J27*$X$8*$AA$27,J27*$Y$8*$AA$27)))</f>
        <v>4389.57</v>
      </c>
      <c r="K132" s="39">
        <f t="shared" si="79"/>
        <v>1936.575</v>
      </c>
      <c r="L132" s="39">
        <f t="shared" si="79"/>
        <v>0</v>
      </c>
      <c r="M132" s="39">
        <f t="shared" si="79"/>
        <v>3098.52</v>
      </c>
      <c r="N132" s="39">
        <f t="shared" si="79"/>
        <v>0</v>
      </c>
      <c r="O132" s="39">
        <f t="shared" si="79"/>
        <v>0</v>
      </c>
      <c r="P132" s="39">
        <f t="shared" si="79"/>
        <v>0</v>
      </c>
      <c r="Q132" s="39">
        <f t="shared" si="79"/>
        <v>1936.575</v>
      </c>
      <c r="R132" s="39">
        <f t="shared" si="79"/>
        <v>4260.465</v>
      </c>
      <c r="S132" s="39">
        <f t="shared" si="79"/>
        <v>0</v>
      </c>
      <c r="T132" s="39">
        <f t="shared" si="79"/>
        <v>1936.575</v>
      </c>
      <c r="U132" s="39">
        <f t="shared" si="79"/>
        <v>387.315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5"/>
      <c r="AJ132" s="2"/>
      <c r="AK132" s="2"/>
      <c r="AL132" s="2"/>
      <c r="AM132" s="2"/>
      <c r="AN132" s="2"/>
      <c r="AO132" s="2"/>
      <c r="AP132" s="5"/>
      <c r="AQ132" s="5"/>
    </row>
    <row r="133">
      <c r="A133" s="2"/>
      <c r="B133" s="5"/>
      <c r="C133" s="2"/>
      <c r="D133" s="2" t="str">
        <f t="shared" si="72"/>
        <v>Stock 8</v>
      </c>
      <c r="E133" s="2"/>
      <c r="F133" s="2"/>
      <c r="G133" s="2"/>
      <c r="H133" s="2" t="str">
        <f t="shared" si="73"/>
        <v>SkyRockets</v>
      </c>
      <c r="I133" s="2"/>
      <c r="J133" s="39">
        <f t="shared" ref="J133:U133" si="80">if($H$133="",0,if($H$133="Sky Rockets",J28*$W$8*$AA$28,if($H$133="Steady Eddy",J28*$X$8*$AA$28,J28*$Y$8*$AA$28)))</f>
        <v>4808.52</v>
      </c>
      <c r="K133" s="39">
        <f t="shared" si="80"/>
        <v>2209.32</v>
      </c>
      <c r="L133" s="39">
        <f t="shared" si="80"/>
        <v>0</v>
      </c>
      <c r="M133" s="39">
        <f t="shared" si="80"/>
        <v>3508.92</v>
      </c>
      <c r="N133" s="39">
        <f t="shared" si="80"/>
        <v>4808.52</v>
      </c>
      <c r="O133" s="39">
        <f t="shared" si="80"/>
        <v>0</v>
      </c>
      <c r="P133" s="39">
        <f t="shared" si="80"/>
        <v>0</v>
      </c>
      <c r="Q133" s="39">
        <f t="shared" si="80"/>
        <v>2209.32</v>
      </c>
      <c r="R133" s="39">
        <f t="shared" si="80"/>
        <v>0</v>
      </c>
      <c r="S133" s="39">
        <f t="shared" si="80"/>
        <v>3508.92</v>
      </c>
      <c r="T133" s="39">
        <f t="shared" si="80"/>
        <v>2209.32</v>
      </c>
      <c r="U133" s="39">
        <f t="shared" si="80"/>
        <v>649.8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5"/>
      <c r="AJ133" s="2"/>
      <c r="AK133" s="2"/>
      <c r="AL133" s="2"/>
      <c r="AM133" s="2"/>
      <c r="AN133" s="2"/>
      <c r="AO133" s="2"/>
      <c r="AP133" s="5"/>
      <c r="AQ133" s="5"/>
    </row>
    <row r="134">
      <c r="A134" s="2"/>
      <c r="B134" s="5"/>
      <c r="C134" s="2"/>
      <c r="D134" s="2" t="str">
        <f t="shared" si="72"/>
        <v>Stock 9</v>
      </c>
      <c r="E134" s="2"/>
      <c r="F134" s="2"/>
      <c r="G134" s="2"/>
      <c r="H134" s="2" t="str">
        <f t="shared" si="73"/>
        <v>Steady Eddy</v>
      </c>
      <c r="I134" s="2"/>
      <c r="J134" s="39">
        <f t="shared" ref="J134:U134" si="81">if($H$134="",0,if($H$134="Sky Rockets",J29*$W$8*$AA$29,if($H$134="Steady Eddy",J29*$X$8*$AA$29,J29*$Y$8*$AA$29)))</f>
        <v>4447.71</v>
      </c>
      <c r="K134" s="39">
        <f t="shared" si="81"/>
        <v>1569.78</v>
      </c>
      <c r="L134" s="39">
        <f t="shared" si="81"/>
        <v>4840.155</v>
      </c>
      <c r="M134" s="39">
        <f t="shared" si="81"/>
        <v>3139.56</v>
      </c>
      <c r="N134" s="39">
        <f t="shared" si="81"/>
        <v>4186.08</v>
      </c>
      <c r="O134" s="39">
        <f t="shared" si="81"/>
        <v>0</v>
      </c>
      <c r="P134" s="39">
        <f t="shared" si="81"/>
        <v>0</v>
      </c>
      <c r="Q134" s="39">
        <f t="shared" si="81"/>
        <v>1569.78</v>
      </c>
      <c r="R134" s="39">
        <f t="shared" si="81"/>
        <v>0</v>
      </c>
      <c r="S134" s="39">
        <f t="shared" si="81"/>
        <v>3139.56</v>
      </c>
      <c r="T134" s="39">
        <f t="shared" si="81"/>
        <v>1569.78</v>
      </c>
      <c r="U134" s="39">
        <f t="shared" si="81"/>
        <v>915.705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5"/>
      <c r="AJ134" s="2"/>
      <c r="AK134" s="2"/>
      <c r="AL134" s="2"/>
      <c r="AM134" s="2"/>
      <c r="AN134" s="2"/>
      <c r="AO134" s="2"/>
      <c r="AP134" s="5"/>
      <c r="AQ134" s="5"/>
    </row>
    <row r="135">
      <c r="A135" s="2"/>
      <c r="B135" s="5"/>
      <c r="C135" s="2"/>
      <c r="D135" s="2" t="str">
        <f t="shared" si="72"/>
        <v>Stock 10</v>
      </c>
      <c r="E135" s="2"/>
      <c r="F135" s="2"/>
      <c r="G135" s="2"/>
      <c r="H135" s="2" t="str">
        <f t="shared" si="73"/>
        <v>Steady Eddy</v>
      </c>
      <c r="I135" s="2"/>
      <c r="J135" s="39">
        <f t="shared" ref="J135:U135" si="82">if($H$135="",0,if($H$135="Sky Rockets",J30*$W$8*$AA$30,if($H$135="Steady Eddy",J30*$X$8*$AA$30,J30*$Y$8*$AA$30)))</f>
        <v>4345.11</v>
      </c>
      <c r="K135" s="39">
        <f t="shared" si="82"/>
        <v>1843.38</v>
      </c>
      <c r="L135" s="39">
        <f t="shared" si="82"/>
        <v>4081.77</v>
      </c>
      <c r="M135" s="39">
        <f t="shared" si="82"/>
        <v>3028.41</v>
      </c>
      <c r="N135" s="39">
        <f t="shared" si="82"/>
        <v>4476.78</v>
      </c>
      <c r="O135" s="39">
        <f t="shared" si="82"/>
        <v>4081.77</v>
      </c>
      <c r="P135" s="39">
        <f t="shared" si="82"/>
        <v>0</v>
      </c>
      <c r="Q135" s="39">
        <f t="shared" si="82"/>
        <v>1843.38</v>
      </c>
      <c r="R135" s="39">
        <f t="shared" si="82"/>
        <v>5398.47</v>
      </c>
      <c r="S135" s="39">
        <f t="shared" si="82"/>
        <v>3028.41</v>
      </c>
      <c r="T135" s="39">
        <f t="shared" si="82"/>
        <v>0</v>
      </c>
      <c r="U135" s="39">
        <f t="shared" si="82"/>
        <v>131.67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5"/>
      <c r="AJ135" s="2"/>
      <c r="AK135" s="2"/>
      <c r="AL135" s="2"/>
      <c r="AM135" s="2"/>
      <c r="AN135" s="2"/>
      <c r="AO135" s="2"/>
      <c r="AP135" s="5"/>
      <c r="AQ135" s="5"/>
    </row>
    <row r="136">
      <c r="A136" s="2"/>
      <c r="B136" s="5"/>
      <c r="C136" s="2"/>
      <c r="D136" s="2" t="str">
        <f t="shared" si="72"/>
        <v>Stock 11</v>
      </c>
      <c r="E136" s="2"/>
      <c r="F136" s="2"/>
      <c r="G136" s="2"/>
      <c r="H136" s="2" t="str">
        <f t="shared" si="73"/>
        <v>Steady Eddy</v>
      </c>
      <c r="I136" s="2"/>
      <c r="J136" s="39">
        <f t="shared" ref="J136:U136" si="83">if($H$136="",0,if($H$136="Sky Rockets",J31*$W$8*$AA$31,if($H$136="Steady Eddy",J31*$X$8*$AA$31,J31*$Y$8*$AA$31)))</f>
        <v>4638.375</v>
      </c>
      <c r="K136" s="39">
        <f t="shared" si="83"/>
        <v>2120.4</v>
      </c>
      <c r="L136" s="39">
        <f t="shared" si="83"/>
        <v>4638.375</v>
      </c>
      <c r="M136" s="39">
        <f t="shared" si="83"/>
        <v>0</v>
      </c>
      <c r="N136" s="39">
        <f t="shared" si="83"/>
        <v>4770.9</v>
      </c>
      <c r="O136" s="39">
        <f t="shared" si="83"/>
        <v>4638.375</v>
      </c>
      <c r="P136" s="39">
        <f t="shared" si="83"/>
        <v>1987.875</v>
      </c>
      <c r="Q136" s="39">
        <f t="shared" si="83"/>
        <v>2120.4</v>
      </c>
      <c r="R136" s="39">
        <f t="shared" si="83"/>
        <v>7288.875</v>
      </c>
      <c r="S136" s="39">
        <f t="shared" si="83"/>
        <v>3313.125</v>
      </c>
      <c r="T136" s="39">
        <f t="shared" si="83"/>
        <v>0</v>
      </c>
      <c r="U136" s="39">
        <f t="shared" si="83"/>
        <v>662.625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5"/>
      <c r="AJ136" s="2"/>
      <c r="AK136" s="2"/>
      <c r="AL136" s="2"/>
      <c r="AM136" s="2"/>
      <c r="AN136" s="2"/>
      <c r="AO136" s="2"/>
      <c r="AP136" s="5"/>
      <c r="AQ136" s="5"/>
    </row>
    <row r="137">
      <c r="A137" s="2"/>
      <c r="B137" s="5"/>
      <c r="C137" s="2"/>
      <c r="D137" s="2" t="str">
        <f t="shared" si="72"/>
        <v>Stock 12</v>
      </c>
      <c r="E137" s="2"/>
      <c r="F137" s="2"/>
      <c r="G137" s="2"/>
      <c r="H137" s="2" t="str">
        <f t="shared" si="73"/>
        <v>Steady Eddy</v>
      </c>
      <c r="I137" s="2"/>
      <c r="J137" s="39">
        <f t="shared" ref="J137:U137" si="84">if($H$137="",0,if($H$137="Sky Rockets",J32*$W$8*$AA$32,if($H$137="Steady Eddy",J32*$X$8*$AA$32,J32*$Y$8*$AA$32)))</f>
        <v>5068.44</v>
      </c>
      <c r="K137" s="39">
        <f t="shared" si="84"/>
        <v>2400.84</v>
      </c>
      <c r="L137" s="39">
        <f t="shared" si="84"/>
        <v>5201.82</v>
      </c>
      <c r="M137" s="39">
        <f t="shared" si="84"/>
        <v>0</v>
      </c>
      <c r="N137" s="39">
        <f t="shared" si="84"/>
        <v>5068.44</v>
      </c>
      <c r="O137" s="39">
        <f t="shared" si="84"/>
        <v>5201.82</v>
      </c>
      <c r="P137" s="39">
        <f t="shared" si="84"/>
        <v>2400.84</v>
      </c>
      <c r="Q137" s="39">
        <f t="shared" si="84"/>
        <v>2400.84</v>
      </c>
      <c r="R137" s="39">
        <f t="shared" si="84"/>
        <v>9203.22</v>
      </c>
      <c r="S137" s="39">
        <f t="shared" si="84"/>
        <v>3734.64</v>
      </c>
      <c r="T137" s="39">
        <f t="shared" si="84"/>
        <v>2400.84</v>
      </c>
      <c r="U137" s="39">
        <f t="shared" si="84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5"/>
      <c r="AJ137" s="2"/>
      <c r="AK137" s="2"/>
      <c r="AL137" s="2"/>
      <c r="AM137" s="2"/>
      <c r="AN137" s="2"/>
      <c r="AO137" s="2"/>
      <c r="AP137" s="5"/>
      <c r="AQ137" s="5"/>
    </row>
    <row r="138">
      <c r="A138" s="2"/>
      <c r="B138" s="5"/>
      <c r="C138" s="2"/>
      <c r="D138" s="2" t="str">
        <f t="shared" si="72"/>
        <v>Stock 13</v>
      </c>
      <c r="E138" s="2"/>
      <c r="F138" s="2"/>
      <c r="G138" s="2"/>
      <c r="H138" s="2" t="str">
        <f t="shared" si="73"/>
        <v>Steady Eddy</v>
      </c>
      <c r="I138" s="2"/>
      <c r="J138" s="39">
        <f t="shared" ref="J138:U138" si="85">if($H$138="",0,if($H$138="Sky Rockets",J33*$W$8*$AA$33,if($H$138="Steady Eddy",J33*$X$8*$AA$33,J33*$Y$8*$AA$33)))</f>
        <v>4832.46</v>
      </c>
      <c r="K138" s="39">
        <f t="shared" si="85"/>
        <v>1745.055</v>
      </c>
      <c r="L138" s="39">
        <f t="shared" si="85"/>
        <v>5100.93</v>
      </c>
      <c r="M138" s="39">
        <f t="shared" si="85"/>
        <v>0</v>
      </c>
      <c r="N138" s="39">
        <f t="shared" si="85"/>
        <v>4429.755</v>
      </c>
      <c r="O138" s="39">
        <f t="shared" si="85"/>
        <v>5100.93</v>
      </c>
      <c r="P138" s="39">
        <f t="shared" si="85"/>
        <v>2147.76</v>
      </c>
      <c r="Q138" s="39">
        <f t="shared" si="85"/>
        <v>1745.055</v>
      </c>
      <c r="R138" s="39">
        <f t="shared" si="85"/>
        <v>0</v>
      </c>
      <c r="S138" s="39">
        <f t="shared" si="85"/>
        <v>3490.11</v>
      </c>
      <c r="T138" s="39">
        <f t="shared" si="85"/>
        <v>1745.055</v>
      </c>
      <c r="U138" s="39">
        <f t="shared" si="85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5"/>
      <c r="AJ138" s="2"/>
      <c r="AK138" s="2"/>
      <c r="AL138" s="2"/>
      <c r="AM138" s="2"/>
      <c r="AN138" s="2"/>
      <c r="AO138" s="2"/>
      <c r="AP138" s="5"/>
      <c r="AQ138" s="5"/>
    </row>
    <row r="139">
      <c r="A139" s="2"/>
      <c r="B139" s="5"/>
      <c r="C139" s="2"/>
      <c r="D139" s="2" t="str">
        <f t="shared" si="72"/>
        <v>Stock 14</v>
      </c>
      <c r="E139" s="2"/>
      <c r="F139" s="2"/>
      <c r="G139" s="2"/>
      <c r="H139" s="2" t="str">
        <f t="shared" si="73"/>
        <v>SkyRockets</v>
      </c>
      <c r="I139" s="2"/>
      <c r="J139" s="39">
        <f t="shared" ref="J139:U139" si="86">if($H$139="",0,if($H$139="Sky Rockets",J34*$W$8*$AA$34,if($H$139="Steady Eddy",J34*$X$8*$AA$34,J34*$Y$8*$AA$34)))</f>
        <v>4728.15</v>
      </c>
      <c r="K139" s="39">
        <f t="shared" si="86"/>
        <v>2026.35</v>
      </c>
      <c r="L139" s="39">
        <f t="shared" si="86"/>
        <v>4728.15</v>
      </c>
      <c r="M139" s="39">
        <f t="shared" si="86"/>
        <v>3377.25</v>
      </c>
      <c r="N139" s="39">
        <f t="shared" si="86"/>
        <v>0</v>
      </c>
      <c r="O139" s="39">
        <f t="shared" si="86"/>
        <v>0</v>
      </c>
      <c r="P139" s="39">
        <f t="shared" si="86"/>
        <v>2026.35</v>
      </c>
      <c r="Q139" s="39">
        <f t="shared" si="86"/>
        <v>0</v>
      </c>
      <c r="R139" s="39">
        <f t="shared" si="86"/>
        <v>0</v>
      </c>
      <c r="S139" s="39">
        <f t="shared" si="86"/>
        <v>0</v>
      </c>
      <c r="T139" s="39">
        <f t="shared" si="86"/>
        <v>2026.35</v>
      </c>
      <c r="U139" s="39">
        <f t="shared" si="86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5"/>
      <c r="AJ139" s="2"/>
      <c r="AK139" s="2"/>
      <c r="AL139" s="2"/>
      <c r="AM139" s="2"/>
      <c r="AN139" s="2"/>
      <c r="AO139" s="2"/>
      <c r="AP139" s="5"/>
      <c r="AQ139" s="5"/>
    </row>
    <row r="140">
      <c r="A140" s="2"/>
      <c r="B140" s="5"/>
      <c r="C140" s="2"/>
      <c r="D140" s="2" t="str">
        <f t="shared" si="72"/>
        <v>Stock 15</v>
      </c>
      <c r="E140" s="2"/>
      <c r="F140" s="2"/>
      <c r="G140" s="2"/>
      <c r="H140" s="2" t="str">
        <f t="shared" si="73"/>
        <v>SkyRockets</v>
      </c>
      <c r="I140" s="2"/>
      <c r="J140" s="39">
        <f t="shared" ref="J140:U140" si="87">if($H$140="",0,if($H$140="Sky Rockets",J35*$W$8*$AA$35,if($H$140="Steady Eddy",J35*$X$8*$AA$35,J35*$Y$8*$AA$35)))</f>
        <v>4622.13</v>
      </c>
      <c r="K140" s="39">
        <f t="shared" si="87"/>
        <v>2311.065</v>
      </c>
      <c r="L140" s="39">
        <f t="shared" si="87"/>
        <v>4350.24</v>
      </c>
      <c r="M140" s="39">
        <f t="shared" si="87"/>
        <v>3262.68</v>
      </c>
      <c r="N140" s="39">
        <f t="shared" si="87"/>
        <v>0</v>
      </c>
      <c r="O140" s="39">
        <f t="shared" si="87"/>
        <v>0</v>
      </c>
      <c r="P140" s="39">
        <f t="shared" si="87"/>
        <v>1903.23</v>
      </c>
      <c r="Q140" s="39">
        <f t="shared" si="87"/>
        <v>0</v>
      </c>
      <c r="R140" s="39">
        <f t="shared" si="87"/>
        <v>5709.69</v>
      </c>
      <c r="S140" s="39">
        <f t="shared" si="87"/>
        <v>0</v>
      </c>
      <c r="T140" s="39">
        <f t="shared" si="87"/>
        <v>2311.065</v>
      </c>
      <c r="U140" s="39">
        <f t="shared" si="87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5"/>
      <c r="AJ140" s="2"/>
      <c r="AK140" s="2"/>
      <c r="AL140" s="2"/>
      <c r="AM140" s="2"/>
      <c r="AN140" s="2"/>
      <c r="AO140" s="2"/>
      <c r="AP140" s="5"/>
      <c r="AQ140" s="5"/>
    </row>
    <row r="141">
      <c r="A141" s="2"/>
      <c r="B141" s="5"/>
      <c r="C141" s="2"/>
      <c r="D141" s="2" t="str">
        <f t="shared" si="72"/>
        <v>Stock 16</v>
      </c>
      <c r="E141" s="2"/>
      <c r="F141" s="2"/>
      <c r="G141" s="2"/>
      <c r="H141" s="2" t="str">
        <f t="shared" si="73"/>
        <v>SkyRockets</v>
      </c>
      <c r="I141" s="2"/>
      <c r="J141" s="39">
        <f t="shared" ref="J141:U141" si="88">if($H$141="",0,if($H$141="Sky Rockets",J36*$W$8*$AA$36,if($H$141="Steady Eddy",J36*$X$8*$AA$36,J36*$Y$8*$AA$36)))</f>
        <v>5061.6</v>
      </c>
      <c r="K141" s="39">
        <f t="shared" si="88"/>
        <v>2599.2</v>
      </c>
      <c r="L141" s="39">
        <f t="shared" si="88"/>
        <v>4924.8</v>
      </c>
      <c r="M141" s="39">
        <f t="shared" si="88"/>
        <v>3693.6</v>
      </c>
      <c r="N141" s="39">
        <f t="shared" si="88"/>
        <v>6703.2</v>
      </c>
      <c r="O141" s="39">
        <f t="shared" si="88"/>
        <v>6292.8</v>
      </c>
      <c r="P141" s="39">
        <f t="shared" si="88"/>
        <v>2325.6</v>
      </c>
      <c r="Q141" s="39">
        <f t="shared" si="88"/>
        <v>0</v>
      </c>
      <c r="R141" s="39">
        <f t="shared" si="88"/>
        <v>4924.8</v>
      </c>
      <c r="S141" s="39">
        <f t="shared" si="88"/>
        <v>0</v>
      </c>
      <c r="T141" s="39">
        <f t="shared" si="88"/>
        <v>2599.2</v>
      </c>
      <c r="U141" s="39">
        <f t="shared" si="88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5"/>
      <c r="AJ141" s="2"/>
      <c r="AK141" s="2"/>
      <c r="AL141" s="2"/>
      <c r="AM141" s="2"/>
      <c r="AN141" s="2"/>
      <c r="AO141" s="2"/>
      <c r="AP141" s="5"/>
      <c r="AQ141" s="5"/>
    </row>
    <row r="142">
      <c r="A142" s="2"/>
      <c r="B142" s="5"/>
      <c r="C142" s="2"/>
      <c r="D142" s="2" t="str">
        <f t="shared" si="72"/>
        <v>Stock 17</v>
      </c>
      <c r="E142" s="2"/>
      <c r="F142" s="2"/>
      <c r="G142" s="2"/>
      <c r="H142" s="2" t="str">
        <f t="shared" si="73"/>
        <v>Slow Burn</v>
      </c>
      <c r="I142" s="2"/>
      <c r="J142" s="39">
        <f t="shared" ref="J142:U142" si="89">if($H$142="",0,if($H$142="Sky Rockets",J37*$W$8*$AA$37,if($H$142="Steady Eddy",J37*$X$8*$AA$37,J37*$Y$8*$AA$37)))</f>
        <v>4955.58</v>
      </c>
      <c r="K142" s="39">
        <f t="shared" si="89"/>
        <v>1514.205</v>
      </c>
      <c r="L142" s="39">
        <f t="shared" si="89"/>
        <v>4817.925</v>
      </c>
      <c r="M142" s="39">
        <f t="shared" si="89"/>
        <v>3579.03</v>
      </c>
      <c r="N142" s="39">
        <f t="shared" si="89"/>
        <v>5643.855</v>
      </c>
      <c r="O142" s="39">
        <f t="shared" si="89"/>
        <v>6194.475</v>
      </c>
      <c r="P142" s="39">
        <f t="shared" si="89"/>
        <v>2202.48</v>
      </c>
      <c r="Q142" s="39">
        <f t="shared" si="89"/>
        <v>0</v>
      </c>
      <c r="R142" s="39">
        <f t="shared" si="89"/>
        <v>3441.375</v>
      </c>
      <c r="S142" s="39">
        <f t="shared" si="89"/>
        <v>825.93</v>
      </c>
      <c r="T142" s="39">
        <f t="shared" si="89"/>
        <v>1514.205</v>
      </c>
      <c r="U142" s="39">
        <f t="shared" si="89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5"/>
      <c r="AJ142" s="2"/>
      <c r="AK142" s="2"/>
      <c r="AL142" s="2"/>
      <c r="AM142" s="2"/>
      <c r="AN142" s="2"/>
      <c r="AO142" s="2"/>
      <c r="AP142" s="5"/>
      <c r="AQ142" s="5"/>
    </row>
    <row r="143">
      <c r="A143" s="2"/>
      <c r="B143" s="5"/>
      <c r="C143" s="2"/>
      <c r="D143" s="2" t="str">
        <f t="shared" si="72"/>
        <v>Stock 18</v>
      </c>
      <c r="E143" s="2"/>
      <c r="F143" s="2"/>
      <c r="G143" s="2"/>
      <c r="H143" s="2" t="str">
        <f t="shared" si="73"/>
        <v>Slow Burn</v>
      </c>
      <c r="I143" s="2"/>
      <c r="J143" s="39">
        <f t="shared" ref="J143:U143" si="90">if($H$143="",0,if($H$143="Sky Rockets",J38*$W$8*$AA$38,if($H$143="Steady Eddy",J38*$X$8*$AA$38,J38*$Y$8*$AA$38)))</f>
        <v>4432.32</v>
      </c>
      <c r="K143" s="39">
        <f t="shared" si="90"/>
        <v>1662.12</v>
      </c>
      <c r="L143" s="39">
        <f t="shared" si="90"/>
        <v>4709.34</v>
      </c>
      <c r="M143" s="39">
        <f t="shared" si="90"/>
        <v>3047.22</v>
      </c>
      <c r="N143" s="39">
        <f t="shared" si="90"/>
        <v>5817.42</v>
      </c>
      <c r="O143" s="39">
        <f t="shared" si="90"/>
        <v>6094.44</v>
      </c>
      <c r="P143" s="39">
        <f t="shared" si="90"/>
        <v>1662.12</v>
      </c>
      <c r="Q143" s="39">
        <f t="shared" si="90"/>
        <v>1662.12</v>
      </c>
      <c r="R143" s="39">
        <f t="shared" si="90"/>
        <v>3324.24</v>
      </c>
      <c r="S143" s="39">
        <f t="shared" si="90"/>
        <v>277.02</v>
      </c>
      <c r="T143" s="39">
        <f t="shared" si="90"/>
        <v>1662.12</v>
      </c>
      <c r="U143" s="39">
        <f t="shared" si="90"/>
        <v>554.04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5"/>
      <c r="AJ143" s="2"/>
      <c r="AK143" s="2"/>
      <c r="AL143" s="2"/>
      <c r="AM143" s="2"/>
      <c r="AN143" s="2"/>
      <c r="AO143" s="2"/>
      <c r="AP143" s="5"/>
      <c r="AQ143" s="5"/>
    </row>
    <row r="144">
      <c r="A144" s="2"/>
      <c r="B144" s="5"/>
      <c r="C144" s="2"/>
      <c r="D144" s="2" t="str">
        <f t="shared" si="72"/>
        <v>Stock 19</v>
      </c>
      <c r="E144" s="2"/>
      <c r="F144" s="2"/>
      <c r="G144" s="2"/>
      <c r="H144" s="2" t="str">
        <f t="shared" si="73"/>
        <v>SkyRockets</v>
      </c>
      <c r="I144" s="2"/>
      <c r="J144" s="39">
        <f t="shared" ref="J144:U144" si="91">if($H$144="",0,if($H$144="Sky Rockets",J39*$W$8*$AA$39,if($H$144="Steady Eddy",J39*$X$8*$AA$39,J39*$Y$8*$AA$39)))</f>
        <v>4320.315</v>
      </c>
      <c r="K144" s="39">
        <f t="shared" si="91"/>
        <v>1951.11</v>
      </c>
      <c r="L144" s="39">
        <f t="shared" si="91"/>
        <v>5156.505</v>
      </c>
      <c r="M144" s="39">
        <f t="shared" si="91"/>
        <v>2926.665</v>
      </c>
      <c r="N144" s="39">
        <f t="shared" si="91"/>
        <v>6132.06</v>
      </c>
      <c r="O144" s="39">
        <f t="shared" si="91"/>
        <v>6550.155</v>
      </c>
      <c r="P144" s="39">
        <f t="shared" si="91"/>
        <v>1533.015</v>
      </c>
      <c r="Q144" s="39">
        <f t="shared" si="91"/>
        <v>1951.11</v>
      </c>
      <c r="R144" s="39">
        <f t="shared" si="91"/>
        <v>2369.205</v>
      </c>
      <c r="S144" s="39">
        <f t="shared" si="91"/>
        <v>139.365</v>
      </c>
      <c r="T144" s="39">
        <f t="shared" si="91"/>
        <v>1951.11</v>
      </c>
      <c r="U144" s="39">
        <f t="shared" si="91"/>
        <v>975.555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5"/>
      <c r="AJ144" s="2"/>
      <c r="AK144" s="2"/>
      <c r="AL144" s="2"/>
      <c r="AM144" s="2"/>
      <c r="AN144" s="2"/>
      <c r="AO144" s="2"/>
      <c r="AP144" s="5"/>
      <c r="AQ144" s="5"/>
    </row>
    <row r="145">
      <c r="A145" s="2"/>
      <c r="B145" s="5"/>
      <c r="C145" s="2"/>
      <c r="D145" s="2" t="str">
        <f t="shared" si="72"/>
        <v>Stock 20</v>
      </c>
      <c r="E145" s="2"/>
      <c r="F145" s="2"/>
      <c r="G145" s="2"/>
      <c r="H145" s="2" t="str">
        <f t="shared" si="73"/>
        <v>Steady Eddy</v>
      </c>
      <c r="I145" s="2"/>
      <c r="J145" s="39">
        <f t="shared" ref="J145:U145" si="92">if($H$145="",0,if($H$145="Sky Rockets",J40*$W$8*$AA$40,if($H$145="Steady Eddy",J40*$X$8*$AA$40,J40*$Y$8*$AA$40)))</f>
        <v>4767.48</v>
      </c>
      <c r="K145" s="39">
        <f t="shared" si="92"/>
        <v>2523.96</v>
      </c>
      <c r="L145" s="39">
        <f t="shared" si="92"/>
        <v>5328.36</v>
      </c>
      <c r="M145" s="39">
        <f t="shared" si="92"/>
        <v>3365.28</v>
      </c>
      <c r="N145" s="39">
        <f t="shared" si="92"/>
        <v>6730.56</v>
      </c>
      <c r="O145" s="39">
        <f t="shared" si="92"/>
        <v>6730.56</v>
      </c>
      <c r="P145" s="39">
        <f t="shared" si="92"/>
        <v>1963.08</v>
      </c>
      <c r="Q145" s="39">
        <f t="shared" si="92"/>
        <v>2523.96</v>
      </c>
      <c r="R145" s="39">
        <f t="shared" si="92"/>
        <v>5328.36</v>
      </c>
      <c r="S145" s="39">
        <f t="shared" si="92"/>
        <v>560.88</v>
      </c>
      <c r="T145" s="39">
        <f t="shared" si="92"/>
        <v>2523.96</v>
      </c>
      <c r="U145" s="39">
        <f t="shared" si="92"/>
        <v>1121.76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5"/>
      <c r="AJ145" s="2"/>
      <c r="AK145" s="2"/>
      <c r="AL145" s="2"/>
      <c r="AM145" s="2"/>
      <c r="AN145" s="2"/>
      <c r="AO145" s="2"/>
      <c r="AP145" s="5"/>
      <c r="AQ145" s="5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5"/>
      <c r="AJ146" s="2"/>
      <c r="AK146" s="2"/>
      <c r="AL146" s="2"/>
      <c r="AM146" s="2"/>
      <c r="AN146" s="2"/>
      <c r="AO146" s="2"/>
      <c r="AP146" s="5"/>
      <c r="AQ146" s="5"/>
    </row>
    <row r="147">
      <c r="A147" s="2"/>
      <c r="B147" s="5"/>
      <c r="C147" s="2"/>
      <c r="D147" s="2" t="str">
        <f>D124</f>
        <v>Calculations</v>
      </c>
      <c r="E147" s="2"/>
      <c r="F147" s="2"/>
      <c r="G147" s="2"/>
      <c r="H147" s="2">
        <f>U8</f>
        <v>60</v>
      </c>
      <c r="I147" s="2"/>
      <c r="J147" s="78">
        <f t="shared" ref="J147:U147" si="93">sum(J126:J145)</f>
        <v>92034.765</v>
      </c>
      <c r="K147" s="78">
        <f t="shared" si="93"/>
        <v>33315.93</v>
      </c>
      <c r="L147" s="78">
        <f t="shared" si="93"/>
        <v>80635.905</v>
      </c>
      <c r="M147" s="78">
        <f t="shared" si="93"/>
        <v>48392.145</v>
      </c>
      <c r="N147" s="78">
        <f t="shared" si="93"/>
        <v>67692.915</v>
      </c>
      <c r="O147" s="78">
        <f t="shared" si="93"/>
        <v>86078.835</v>
      </c>
      <c r="P147" s="78">
        <f t="shared" si="93"/>
        <v>25396.065</v>
      </c>
      <c r="Q147" s="78">
        <f t="shared" si="93"/>
        <v>24518.835</v>
      </c>
      <c r="R147" s="78">
        <f t="shared" si="93"/>
        <v>67144.86</v>
      </c>
      <c r="S147" s="78">
        <f t="shared" si="93"/>
        <v>25293.465</v>
      </c>
      <c r="T147" s="78">
        <f t="shared" si="93"/>
        <v>30808.215</v>
      </c>
      <c r="U147" s="78">
        <f t="shared" si="93"/>
        <v>11434.77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5"/>
      <c r="AJ147" s="2"/>
      <c r="AK147" s="2"/>
      <c r="AL147" s="2"/>
      <c r="AM147" s="2"/>
      <c r="AN147" s="2"/>
      <c r="AO147" s="2"/>
      <c r="AP147" s="5"/>
      <c r="AQ147" s="5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5"/>
      <c r="AJ148" s="2"/>
      <c r="AK148" s="2"/>
      <c r="AL148" s="2"/>
      <c r="AM148" s="2"/>
      <c r="AN148" s="2"/>
      <c r="AO148" s="2"/>
      <c r="AP148" s="5"/>
      <c r="AQ148" s="5"/>
    </row>
    <row r="149">
      <c r="A149" s="2"/>
      <c r="B149" s="5"/>
      <c r="C149" s="2"/>
      <c r="D149" s="2"/>
      <c r="E149" s="2"/>
      <c r="F149" s="3" t="s">
        <v>89</v>
      </c>
      <c r="G149" s="2"/>
      <c r="H149" s="2"/>
      <c r="I149" s="2"/>
      <c r="J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5"/>
      <c r="AJ149" s="2"/>
      <c r="AK149" s="2"/>
      <c r="AL149" s="2"/>
      <c r="AM149" s="2"/>
      <c r="AN149" s="2"/>
      <c r="AO149" s="2"/>
      <c r="AP149" s="5"/>
      <c r="AQ149" s="5"/>
    </row>
    <row r="150">
      <c r="A150" s="2"/>
      <c r="B150" s="5"/>
      <c r="C150" s="2"/>
      <c r="D150" s="2" t="str">
        <f t="shared" ref="D150:D169" si="95">D103</f>
        <v>Stock 1</v>
      </c>
      <c r="E150" s="2"/>
      <c r="F150" s="2"/>
      <c r="G150" s="2"/>
      <c r="H150" s="2" t="str">
        <f t="shared" ref="H150:H169" si="96">H126</f>
        <v>SkyRockets</v>
      </c>
      <c r="I150" s="2"/>
      <c r="J150" s="39">
        <f t="shared" ref="J150:U150" si="94">if($H$150="",0,if($H$150="Sky Rockets",J21*$W$9*$AB$21,if($H$150="Steady Eddy",J21*$X$9*$AB$21,J21*$Y$9*$AB$21)))</f>
        <v>4969.44</v>
      </c>
      <c r="K150" s="39">
        <f t="shared" si="94"/>
        <v>1753.92</v>
      </c>
      <c r="L150" s="39">
        <f t="shared" si="94"/>
        <v>5115.6</v>
      </c>
      <c r="M150" s="39">
        <f t="shared" si="94"/>
        <v>3507.84</v>
      </c>
      <c r="N150" s="39">
        <f t="shared" si="94"/>
        <v>1753.92</v>
      </c>
      <c r="O150" s="39">
        <f t="shared" si="94"/>
        <v>6723.36</v>
      </c>
      <c r="P150" s="39">
        <f t="shared" si="94"/>
        <v>2046.24</v>
      </c>
      <c r="Q150" s="39">
        <f t="shared" si="94"/>
        <v>1753.92</v>
      </c>
      <c r="R150" s="39">
        <f t="shared" si="94"/>
        <v>5261.76</v>
      </c>
      <c r="S150" s="39">
        <f t="shared" si="94"/>
        <v>584.64</v>
      </c>
      <c r="T150" s="39">
        <f t="shared" si="94"/>
        <v>292.32</v>
      </c>
      <c r="U150" s="39">
        <f t="shared" si="94"/>
        <v>2338.56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5"/>
      <c r="AJ150" s="2"/>
      <c r="AK150" s="2"/>
      <c r="AL150" s="2"/>
      <c r="AM150" s="2"/>
      <c r="AN150" s="2"/>
      <c r="AO150" s="2"/>
      <c r="AP150" s="5"/>
      <c r="AQ150" s="5"/>
    </row>
    <row r="151">
      <c r="A151" s="2"/>
      <c r="B151" s="5"/>
      <c r="C151" s="2"/>
      <c r="D151" s="2" t="str">
        <f t="shared" si="95"/>
        <v>Stock 2</v>
      </c>
      <c r="E151" s="2"/>
      <c r="F151" s="2"/>
      <c r="G151" s="2"/>
      <c r="H151" s="2" t="str">
        <f t="shared" si="96"/>
        <v>Steady Eddy</v>
      </c>
      <c r="I151" s="2"/>
      <c r="J151" s="39">
        <f t="shared" ref="J151:U151" si="97">if($H$151="",0,if($H$151="Sky Rockets",J22*$W$9*$AB$22,if($H$151="Steady Eddy",J22*$X$9*$AB$22,J22*$Y$9*$AB$22)))</f>
        <v>2428.272</v>
      </c>
      <c r="K151" s="39">
        <f t="shared" si="97"/>
        <v>1030.176</v>
      </c>
      <c r="L151" s="39">
        <f t="shared" si="97"/>
        <v>2575.44</v>
      </c>
      <c r="M151" s="39">
        <f t="shared" si="97"/>
        <v>1692.432</v>
      </c>
      <c r="N151" s="39">
        <f t="shared" si="97"/>
        <v>1030.176</v>
      </c>
      <c r="O151" s="39">
        <f t="shared" si="97"/>
        <v>3311.28</v>
      </c>
      <c r="P151" s="39">
        <f t="shared" si="97"/>
        <v>956.592</v>
      </c>
      <c r="Q151" s="39">
        <f t="shared" si="97"/>
        <v>0</v>
      </c>
      <c r="R151" s="39">
        <f t="shared" si="97"/>
        <v>1839.6</v>
      </c>
      <c r="S151" s="39">
        <f t="shared" si="97"/>
        <v>220.752</v>
      </c>
      <c r="T151" s="39">
        <f t="shared" si="97"/>
        <v>0</v>
      </c>
      <c r="U151" s="39">
        <f t="shared" si="97"/>
        <v>1103.76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5"/>
      <c r="AJ151" s="2"/>
      <c r="AK151" s="2"/>
      <c r="AL151" s="2"/>
      <c r="AM151" s="2"/>
      <c r="AN151" s="2"/>
      <c r="AO151" s="2"/>
      <c r="AP151" s="5"/>
      <c r="AQ151" s="5"/>
    </row>
    <row r="152">
      <c r="A152" s="2"/>
      <c r="B152" s="5"/>
      <c r="C152" s="2"/>
      <c r="D152" s="2" t="str">
        <f t="shared" si="95"/>
        <v>Stock 3</v>
      </c>
      <c r="E152" s="2"/>
      <c r="F152" s="2"/>
      <c r="G152" s="2"/>
      <c r="H152" s="2" t="str">
        <f t="shared" si="96"/>
        <v>Slow Burn</v>
      </c>
      <c r="I152" s="2"/>
      <c r="J152" s="39">
        <f t="shared" ref="J152:U152" si="98">if($H$152="",0,if($H$152="Sky Rockets",J23*$W$9*$AB$23,if($H$152="Steady Eddy",J23*$X$9*$AB$23,J23*$Y$9*$AB$23)))</f>
        <v>5186.16</v>
      </c>
      <c r="K152" s="39">
        <f t="shared" si="98"/>
        <v>0</v>
      </c>
      <c r="L152" s="39">
        <f t="shared" si="98"/>
        <v>5037.984</v>
      </c>
      <c r="M152" s="39">
        <f t="shared" si="98"/>
        <v>0</v>
      </c>
      <c r="N152" s="39">
        <f t="shared" si="98"/>
        <v>2370.816</v>
      </c>
      <c r="O152" s="39">
        <f t="shared" si="98"/>
        <v>6519.744</v>
      </c>
      <c r="P152" s="39">
        <f t="shared" si="98"/>
        <v>2222.64</v>
      </c>
      <c r="Q152" s="39">
        <f t="shared" si="98"/>
        <v>0</v>
      </c>
      <c r="R152" s="39">
        <f t="shared" si="98"/>
        <v>0</v>
      </c>
      <c r="S152" s="39">
        <f t="shared" si="98"/>
        <v>740.88</v>
      </c>
      <c r="T152" s="39">
        <f t="shared" si="98"/>
        <v>0</v>
      </c>
      <c r="U152" s="39">
        <f t="shared" si="98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5"/>
      <c r="AJ152" s="2"/>
      <c r="AK152" s="2"/>
      <c r="AL152" s="2"/>
      <c r="AM152" s="2"/>
      <c r="AN152" s="2"/>
      <c r="AO152" s="2"/>
      <c r="AP152" s="5"/>
      <c r="AQ152" s="5"/>
    </row>
    <row r="153">
      <c r="A153" s="2"/>
      <c r="B153" s="5"/>
      <c r="C153" s="2"/>
      <c r="D153" s="2" t="str">
        <f t="shared" si="95"/>
        <v>Stock 4</v>
      </c>
      <c r="E153" s="2"/>
      <c r="F153" s="2"/>
      <c r="G153" s="2"/>
      <c r="H153" s="2" t="str">
        <f t="shared" si="96"/>
        <v>Steady Eddy</v>
      </c>
      <c r="I153" s="2"/>
      <c r="J153" s="39">
        <f t="shared" ref="J153:U153" si="99">if($H$153="",0,if($H$153="Sky Rockets",J24*$W$9*$AB$24,if($H$153="Steady Eddy",J24*$X$9*$AB$24,J24*$Y$9*$AB$24)))</f>
        <v>2834.496</v>
      </c>
      <c r="K153" s="39">
        <f t="shared" si="99"/>
        <v>0</v>
      </c>
      <c r="L153" s="39">
        <f t="shared" si="99"/>
        <v>2909.088</v>
      </c>
      <c r="M153" s="39">
        <f t="shared" si="99"/>
        <v>0</v>
      </c>
      <c r="N153" s="39">
        <f t="shared" si="99"/>
        <v>1342.656</v>
      </c>
      <c r="O153" s="39">
        <f t="shared" si="99"/>
        <v>3655.008</v>
      </c>
      <c r="P153" s="39">
        <f t="shared" si="99"/>
        <v>0</v>
      </c>
      <c r="Q153" s="39">
        <f t="shared" si="99"/>
        <v>0</v>
      </c>
      <c r="R153" s="39">
        <f t="shared" si="99"/>
        <v>0</v>
      </c>
      <c r="S153" s="39">
        <f t="shared" si="99"/>
        <v>596.736</v>
      </c>
      <c r="T153" s="39">
        <f t="shared" si="99"/>
        <v>1342.656</v>
      </c>
      <c r="U153" s="39">
        <f t="shared" si="99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5"/>
      <c r="AJ153" s="2"/>
      <c r="AK153" s="2"/>
      <c r="AL153" s="2"/>
      <c r="AM153" s="2"/>
      <c r="AN153" s="2"/>
      <c r="AO153" s="2"/>
      <c r="AP153" s="5"/>
      <c r="AQ153" s="5"/>
    </row>
    <row r="154">
      <c r="A154" s="2"/>
      <c r="B154" s="5"/>
      <c r="C154" s="2"/>
      <c r="D154" s="2" t="str">
        <f t="shared" si="95"/>
        <v>Stock 5</v>
      </c>
      <c r="E154" s="2"/>
      <c r="F154" s="2"/>
      <c r="G154" s="2"/>
      <c r="H154" s="2" t="str">
        <f t="shared" si="96"/>
        <v>SkyRockets</v>
      </c>
      <c r="I154" s="2"/>
      <c r="J154" s="39">
        <f t="shared" ref="J154:U154" si="100">if($H$154="",0,if($H$154="Sky Rockets",J25*$W$9*$AB$25,if($H$154="Steady Eddy",J25*$X$9*$AB$25,J25*$Y$9*$AB$25)))</f>
        <v>5406.912</v>
      </c>
      <c r="K154" s="39">
        <f t="shared" si="100"/>
        <v>0</v>
      </c>
      <c r="L154" s="39">
        <f t="shared" si="100"/>
        <v>5707.296</v>
      </c>
      <c r="M154" s="39">
        <f t="shared" si="100"/>
        <v>3904.992</v>
      </c>
      <c r="N154" s="39">
        <f t="shared" si="100"/>
        <v>1652.112</v>
      </c>
      <c r="O154" s="39">
        <f t="shared" si="100"/>
        <v>7209.216</v>
      </c>
      <c r="P154" s="39">
        <f t="shared" si="100"/>
        <v>0</v>
      </c>
      <c r="Q154" s="39">
        <f t="shared" si="100"/>
        <v>1652.112</v>
      </c>
      <c r="R154" s="39">
        <f t="shared" si="100"/>
        <v>4205.376</v>
      </c>
      <c r="S154" s="39">
        <f t="shared" si="100"/>
        <v>901.152</v>
      </c>
      <c r="T154" s="39">
        <f t="shared" si="100"/>
        <v>2553.264</v>
      </c>
      <c r="U154" s="39">
        <f t="shared" si="100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5"/>
      <c r="AJ154" s="2"/>
      <c r="AK154" s="2"/>
      <c r="AL154" s="2"/>
      <c r="AM154" s="2"/>
      <c r="AN154" s="2"/>
      <c r="AO154" s="2"/>
      <c r="AP154" s="5"/>
      <c r="AQ154" s="5"/>
    </row>
    <row r="155">
      <c r="A155" s="2"/>
      <c r="B155" s="5"/>
      <c r="C155" s="2"/>
      <c r="D155" s="2" t="str">
        <f t="shared" si="95"/>
        <v>Stock 6</v>
      </c>
      <c r="E155" s="2"/>
      <c r="F155" s="2"/>
      <c r="G155" s="2"/>
      <c r="H155" s="2" t="str">
        <f t="shared" si="96"/>
        <v>Slow Burn</v>
      </c>
      <c r="I155" s="2"/>
      <c r="J155" s="39">
        <f t="shared" ref="J155:U155" si="101">if($H$155="",0,if($H$155="Sky Rockets",J26*$W$9*$AB$26,if($H$155="Steady Eddy",J26*$X$9*$AB$26,J26*$Y$9*$AB$26)))</f>
        <v>5292</v>
      </c>
      <c r="K155" s="39">
        <f t="shared" si="101"/>
        <v>1965.6</v>
      </c>
      <c r="L155" s="39">
        <f t="shared" si="101"/>
        <v>0</v>
      </c>
      <c r="M155" s="39">
        <f t="shared" si="101"/>
        <v>3780</v>
      </c>
      <c r="N155" s="39">
        <f t="shared" si="101"/>
        <v>0</v>
      </c>
      <c r="O155" s="39">
        <f t="shared" si="101"/>
        <v>7106.4</v>
      </c>
      <c r="P155" s="39">
        <f t="shared" si="101"/>
        <v>0</v>
      </c>
      <c r="Q155" s="39">
        <f t="shared" si="101"/>
        <v>1965.6</v>
      </c>
      <c r="R155" s="39">
        <f t="shared" si="101"/>
        <v>5594.4</v>
      </c>
      <c r="S155" s="39">
        <f t="shared" si="101"/>
        <v>0</v>
      </c>
      <c r="T155" s="39">
        <f t="shared" si="101"/>
        <v>1965.6</v>
      </c>
      <c r="U155" s="39">
        <f t="shared" si="101"/>
        <v>2570.4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5"/>
      <c r="AJ155" s="2"/>
      <c r="AK155" s="2"/>
      <c r="AL155" s="2"/>
      <c r="AM155" s="2"/>
      <c r="AN155" s="2"/>
      <c r="AO155" s="2"/>
      <c r="AP155" s="5"/>
      <c r="AQ155" s="5"/>
    </row>
    <row r="156">
      <c r="A156" s="2"/>
      <c r="B156" s="5"/>
      <c r="C156" s="2"/>
      <c r="D156" s="2" t="str">
        <f t="shared" si="95"/>
        <v>Stock 7</v>
      </c>
      <c r="E156" s="2"/>
      <c r="F156" s="2"/>
      <c r="G156" s="2"/>
      <c r="H156" s="2" t="str">
        <f t="shared" si="96"/>
        <v>SkyRockets</v>
      </c>
      <c r="I156" s="2"/>
      <c r="J156" s="39">
        <f t="shared" ref="J156:U156" si="102">if($H$156="",0,if($H$156="Sky Rockets",J27*$W$9*$AB$27,if($H$156="Steady Eddy",J27*$X$9*$AB$27,J27*$Y$9*$AB$27)))</f>
        <v>5175.072</v>
      </c>
      <c r="K156" s="39">
        <f t="shared" si="102"/>
        <v>2283.12</v>
      </c>
      <c r="L156" s="39">
        <f t="shared" si="102"/>
        <v>0</v>
      </c>
      <c r="M156" s="39">
        <f t="shared" si="102"/>
        <v>3652.992</v>
      </c>
      <c r="N156" s="39">
        <f t="shared" si="102"/>
        <v>0</v>
      </c>
      <c r="O156" s="39">
        <f t="shared" si="102"/>
        <v>0</v>
      </c>
      <c r="P156" s="39">
        <f t="shared" si="102"/>
        <v>0</v>
      </c>
      <c r="Q156" s="39">
        <f t="shared" si="102"/>
        <v>2283.12</v>
      </c>
      <c r="R156" s="39">
        <f t="shared" si="102"/>
        <v>5022.864</v>
      </c>
      <c r="S156" s="39">
        <f t="shared" si="102"/>
        <v>0</v>
      </c>
      <c r="T156" s="39">
        <f t="shared" si="102"/>
        <v>2283.12</v>
      </c>
      <c r="U156" s="39">
        <f t="shared" si="102"/>
        <v>456.624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5"/>
      <c r="AJ156" s="2"/>
      <c r="AK156" s="2"/>
      <c r="AL156" s="2"/>
      <c r="AM156" s="2"/>
      <c r="AN156" s="2"/>
      <c r="AO156" s="2"/>
      <c r="AP156" s="5"/>
      <c r="AQ156" s="5"/>
    </row>
    <row r="157">
      <c r="A157" s="2"/>
      <c r="B157" s="5"/>
      <c r="C157" s="2"/>
      <c r="D157" s="2" t="str">
        <f t="shared" si="95"/>
        <v>Stock 8</v>
      </c>
      <c r="E157" s="2"/>
      <c r="F157" s="2"/>
      <c r="G157" s="2"/>
      <c r="H157" s="2" t="str">
        <f t="shared" si="96"/>
        <v>SkyRockets</v>
      </c>
      <c r="I157" s="2"/>
      <c r="J157" s="39">
        <f t="shared" ref="J157:U157" si="103">if($H$157="",0,if($H$157="Sky Rockets",J28*$W$9*$AB$28,if($H$157="Steady Eddy",J28*$X$9*$AB$28,J28*$Y$9*$AB$28)))</f>
        <v>5668.992</v>
      </c>
      <c r="K157" s="39">
        <f t="shared" si="103"/>
        <v>2604.672</v>
      </c>
      <c r="L157" s="39">
        <f t="shared" si="103"/>
        <v>0</v>
      </c>
      <c r="M157" s="39">
        <f t="shared" si="103"/>
        <v>4136.832</v>
      </c>
      <c r="N157" s="39">
        <f t="shared" si="103"/>
        <v>5668.992</v>
      </c>
      <c r="O157" s="39">
        <f t="shared" si="103"/>
        <v>0</v>
      </c>
      <c r="P157" s="39">
        <f t="shared" si="103"/>
        <v>0</v>
      </c>
      <c r="Q157" s="39">
        <f t="shared" si="103"/>
        <v>2604.672</v>
      </c>
      <c r="R157" s="39">
        <f t="shared" si="103"/>
        <v>0</v>
      </c>
      <c r="S157" s="39">
        <f t="shared" si="103"/>
        <v>4136.832</v>
      </c>
      <c r="T157" s="39">
        <f t="shared" si="103"/>
        <v>2604.672</v>
      </c>
      <c r="U157" s="39">
        <f t="shared" si="103"/>
        <v>766.08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5"/>
      <c r="AJ157" s="2"/>
      <c r="AK157" s="2"/>
      <c r="AL157" s="2"/>
      <c r="AM157" s="2"/>
      <c r="AN157" s="2"/>
      <c r="AO157" s="2"/>
      <c r="AP157" s="5"/>
      <c r="AQ157" s="5"/>
    </row>
    <row r="158">
      <c r="A158" s="2"/>
      <c r="B158" s="5"/>
      <c r="C158" s="2"/>
      <c r="D158" s="2" t="str">
        <f t="shared" si="95"/>
        <v>Stock 9</v>
      </c>
      <c r="E158" s="2"/>
      <c r="F158" s="2"/>
      <c r="G158" s="2"/>
      <c r="H158" s="2" t="str">
        <f t="shared" si="96"/>
        <v>Steady Eddy</v>
      </c>
      <c r="I158" s="2"/>
      <c r="J158" s="39">
        <f t="shared" ref="J158:U158" si="104">if($H$158="",0,if($H$158="Sky Rockets",J29*$W$9*$AB$29,if($H$158="Steady Eddy",J29*$X$9*$AB$29,J29*$Y$9*$AB$29)))</f>
        <v>2621.808</v>
      </c>
      <c r="K158" s="39">
        <f t="shared" si="104"/>
        <v>925.344</v>
      </c>
      <c r="L158" s="39">
        <f t="shared" si="104"/>
        <v>2853.144</v>
      </c>
      <c r="M158" s="39">
        <f t="shared" si="104"/>
        <v>1850.688</v>
      </c>
      <c r="N158" s="39">
        <f t="shared" si="104"/>
        <v>2467.584</v>
      </c>
      <c r="O158" s="39">
        <f t="shared" si="104"/>
        <v>0</v>
      </c>
      <c r="P158" s="39">
        <f t="shared" si="104"/>
        <v>0</v>
      </c>
      <c r="Q158" s="39">
        <f t="shared" si="104"/>
        <v>925.344</v>
      </c>
      <c r="R158" s="39">
        <f t="shared" si="104"/>
        <v>0</v>
      </c>
      <c r="S158" s="39">
        <f t="shared" si="104"/>
        <v>1850.688</v>
      </c>
      <c r="T158" s="39">
        <f t="shared" si="104"/>
        <v>925.344</v>
      </c>
      <c r="U158" s="39">
        <f t="shared" si="104"/>
        <v>539.784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5"/>
      <c r="AJ158" s="2"/>
      <c r="AK158" s="2"/>
      <c r="AL158" s="2"/>
      <c r="AM158" s="2"/>
      <c r="AN158" s="2"/>
      <c r="AO158" s="2"/>
      <c r="AP158" s="5"/>
      <c r="AQ158" s="5"/>
    </row>
    <row r="159">
      <c r="A159" s="2"/>
      <c r="B159" s="5"/>
      <c r="C159" s="2"/>
      <c r="D159" s="2" t="str">
        <f t="shared" si="95"/>
        <v>Stock 10</v>
      </c>
      <c r="E159" s="2"/>
      <c r="F159" s="2"/>
      <c r="G159" s="2"/>
      <c r="H159" s="2" t="str">
        <f t="shared" si="96"/>
        <v>Steady Eddy</v>
      </c>
      <c r="I159" s="2"/>
      <c r="J159" s="39">
        <f t="shared" ref="J159:U159" si="105">if($H$159="",0,if($H$159="Sky Rockets",J30*$W$9*$AB$30,if($H$159="Steady Eddy",J30*$X$9*$AB$30,J30*$Y$9*$AB$30)))</f>
        <v>2561.328</v>
      </c>
      <c r="K159" s="39">
        <f t="shared" si="105"/>
        <v>1086.624</v>
      </c>
      <c r="L159" s="39">
        <f t="shared" si="105"/>
        <v>2406.096</v>
      </c>
      <c r="M159" s="39">
        <f t="shared" si="105"/>
        <v>1785.168</v>
      </c>
      <c r="N159" s="39">
        <f t="shared" si="105"/>
        <v>2638.944</v>
      </c>
      <c r="O159" s="39">
        <f t="shared" si="105"/>
        <v>2406.096</v>
      </c>
      <c r="P159" s="39">
        <f t="shared" si="105"/>
        <v>0</v>
      </c>
      <c r="Q159" s="39">
        <f t="shared" si="105"/>
        <v>1086.624</v>
      </c>
      <c r="R159" s="39">
        <f t="shared" si="105"/>
        <v>3182.256</v>
      </c>
      <c r="S159" s="39">
        <f t="shared" si="105"/>
        <v>1785.168</v>
      </c>
      <c r="T159" s="39">
        <f t="shared" si="105"/>
        <v>0</v>
      </c>
      <c r="U159" s="39">
        <f t="shared" si="105"/>
        <v>77.616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5"/>
      <c r="AJ159" s="2"/>
      <c r="AK159" s="2"/>
      <c r="AL159" s="2"/>
      <c r="AM159" s="2"/>
      <c r="AN159" s="2"/>
      <c r="AO159" s="2"/>
      <c r="AP159" s="5"/>
      <c r="AQ159" s="5"/>
    </row>
    <row r="160">
      <c r="A160" s="2"/>
      <c r="B160" s="5"/>
      <c r="C160" s="2"/>
      <c r="D160" s="2" t="str">
        <f t="shared" si="95"/>
        <v>Stock 11</v>
      </c>
      <c r="E160" s="2"/>
      <c r="F160" s="2"/>
      <c r="G160" s="2"/>
      <c r="H160" s="2" t="str">
        <f t="shared" si="96"/>
        <v>Steady Eddy</v>
      </c>
      <c r="I160" s="2"/>
      <c r="J160" s="39">
        <f t="shared" ref="J160:U160" si="106">if($H$160="",0,if($H$160="Sky Rockets",J31*$W$9*$AB$31,if($H$160="Steady Eddy",J31*$X$9*$AB$31,J31*$Y$9*$AB$31)))</f>
        <v>2734.2</v>
      </c>
      <c r="K160" s="39">
        <f t="shared" si="106"/>
        <v>1249.92</v>
      </c>
      <c r="L160" s="39">
        <f t="shared" si="106"/>
        <v>2734.2</v>
      </c>
      <c r="M160" s="39">
        <f t="shared" si="106"/>
        <v>0</v>
      </c>
      <c r="N160" s="39">
        <f t="shared" si="106"/>
        <v>2812.32</v>
      </c>
      <c r="O160" s="39">
        <f t="shared" si="106"/>
        <v>2734.2</v>
      </c>
      <c r="P160" s="39">
        <f t="shared" si="106"/>
        <v>1171.8</v>
      </c>
      <c r="Q160" s="39">
        <f t="shared" si="106"/>
        <v>1249.92</v>
      </c>
      <c r="R160" s="39">
        <f t="shared" si="106"/>
        <v>4296.6</v>
      </c>
      <c r="S160" s="39">
        <f t="shared" si="106"/>
        <v>1953</v>
      </c>
      <c r="T160" s="39">
        <f t="shared" si="106"/>
        <v>0</v>
      </c>
      <c r="U160" s="39">
        <f t="shared" si="106"/>
        <v>390.6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5"/>
      <c r="AJ160" s="2"/>
      <c r="AK160" s="2"/>
      <c r="AL160" s="2"/>
      <c r="AM160" s="2"/>
      <c r="AN160" s="2"/>
      <c r="AO160" s="2"/>
      <c r="AP160" s="5"/>
      <c r="AQ160" s="5"/>
    </row>
    <row r="161">
      <c r="A161" s="2"/>
      <c r="B161" s="5"/>
      <c r="C161" s="2"/>
      <c r="D161" s="2" t="str">
        <f t="shared" si="95"/>
        <v>Stock 12</v>
      </c>
      <c r="E161" s="2"/>
      <c r="F161" s="2"/>
      <c r="G161" s="2"/>
      <c r="H161" s="2" t="str">
        <f t="shared" si="96"/>
        <v>Steady Eddy</v>
      </c>
      <c r="I161" s="2"/>
      <c r="J161" s="39">
        <f t="shared" ref="J161:U161" si="107">if($H$161="",0,if($H$161="Sky Rockets",J32*$W$9*$AB$32,if($H$161="Steady Eddy",J32*$X$9*$AB$32,J32*$Y$9*$AB$32)))</f>
        <v>2987.712</v>
      </c>
      <c r="K161" s="39">
        <f t="shared" si="107"/>
        <v>1415.232</v>
      </c>
      <c r="L161" s="39">
        <f t="shared" si="107"/>
        <v>3066.336</v>
      </c>
      <c r="M161" s="39">
        <f t="shared" si="107"/>
        <v>0</v>
      </c>
      <c r="N161" s="39">
        <f t="shared" si="107"/>
        <v>2987.712</v>
      </c>
      <c r="O161" s="39">
        <f t="shared" si="107"/>
        <v>3066.336</v>
      </c>
      <c r="P161" s="39">
        <f t="shared" si="107"/>
        <v>1415.232</v>
      </c>
      <c r="Q161" s="39">
        <f t="shared" si="107"/>
        <v>1415.232</v>
      </c>
      <c r="R161" s="39">
        <f t="shared" si="107"/>
        <v>5425.056</v>
      </c>
      <c r="S161" s="39">
        <f t="shared" si="107"/>
        <v>2201.472</v>
      </c>
      <c r="T161" s="39">
        <f t="shared" si="107"/>
        <v>1415.232</v>
      </c>
      <c r="U161" s="39">
        <f t="shared" si="107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5"/>
      <c r="AJ161" s="2"/>
      <c r="AK161" s="2"/>
      <c r="AL161" s="2"/>
      <c r="AM161" s="2"/>
      <c r="AN161" s="2"/>
      <c r="AO161" s="2"/>
      <c r="AP161" s="5"/>
      <c r="AQ161" s="5"/>
    </row>
    <row r="162">
      <c r="A162" s="2"/>
      <c r="B162" s="5"/>
      <c r="C162" s="2"/>
      <c r="D162" s="2" t="str">
        <f t="shared" si="95"/>
        <v>Stock 13</v>
      </c>
      <c r="E162" s="2"/>
      <c r="F162" s="2"/>
      <c r="G162" s="2"/>
      <c r="H162" s="2" t="str">
        <f t="shared" si="96"/>
        <v>Steady Eddy</v>
      </c>
      <c r="I162" s="2"/>
      <c r="J162" s="39">
        <f t="shared" ref="J162:U162" si="108">if($H$162="",0,if($H$162="Sky Rockets",J33*$W$9*$AB$33,if($H$162="Steady Eddy",J33*$X$9*$AB$33,J33*$Y$9*$AB$33)))</f>
        <v>2848.608</v>
      </c>
      <c r="K162" s="39">
        <f t="shared" si="108"/>
        <v>1028.664</v>
      </c>
      <c r="L162" s="39">
        <f t="shared" si="108"/>
        <v>3006.864</v>
      </c>
      <c r="M162" s="39">
        <f t="shared" si="108"/>
        <v>0</v>
      </c>
      <c r="N162" s="39">
        <f t="shared" si="108"/>
        <v>2611.224</v>
      </c>
      <c r="O162" s="39">
        <f t="shared" si="108"/>
        <v>3006.864</v>
      </c>
      <c r="P162" s="39">
        <f t="shared" si="108"/>
        <v>1266.048</v>
      </c>
      <c r="Q162" s="39">
        <f t="shared" si="108"/>
        <v>1028.664</v>
      </c>
      <c r="R162" s="39">
        <f t="shared" si="108"/>
        <v>0</v>
      </c>
      <c r="S162" s="39">
        <f t="shared" si="108"/>
        <v>2057.328</v>
      </c>
      <c r="T162" s="39">
        <f t="shared" si="108"/>
        <v>1028.664</v>
      </c>
      <c r="U162" s="39">
        <f t="shared" si="108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5"/>
      <c r="AJ162" s="2"/>
      <c r="AK162" s="2"/>
      <c r="AL162" s="2"/>
      <c r="AM162" s="2"/>
      <c r="AN162" s="2"/>
      <c r="AO162" s="2"/>
      <c r="AP162" s="5"/>
      <c r="AQ162" s="5"/>
    </row>
    <row r="163">
      <c r="A163" s="2"/>
      <c r="B163" s="5"/>
      <c r="C163" s="2"/>
      <c r="D163" s="2" t="str">
        <f t="shared" si="95"/>
        <v>Stock 14</v>
      </c>
      <c r="E163" s="2"/>
      <c r="F163" s="2"/>
      <c r="G163" s="2"/>
      <c r="H163" s="2" t="str">
        <f t="shared" si="96"/>
        <v>SkyRockets</v>
      </c>
      <c r="I163" s="2"/>
      <c r="J163" s="39">
        <f t="shared" ref="J163:U163" si="109">if($H$163="",0,if($H$163="Sky Rockets",J34*$W$9*$AB$34,if($H$163="Steady Eddy",J34*$X$9*$AB$34,J34*$Y$9*$AB$34)))</f>
        <v>5574.24</v>
      </c>
      <c r="K163" s="39">
        <f t="shared" si="109"/>
        <v>2388.96</v>
      </c>
      <c r="L163" s="39">
        <f t="shared" si="109"/>
        <v>5574.24</v>
      </c>
      <c r="M163" s="39">
        <f t="shared" si="109"/>
        <v>3981.6</v>
      </c>
      <c r="N163" s="39">
        <f t="shared" si="109"/>
        <v>0</v>
      </c>
      <c r="O163" s="39">
        <f t="shared" si="109"/>
        <v>0</v>
      </c>
      <c r="P163" s="39">
        <f t="shared" si="109"/>
        <v>2388.96</v>
      </c>
      <c r="Q163" s="39">
        <f t="shared" si="109"/>
        <v>0</v>
      </c>
      <c r="R163" s="39">
        <f t="shared" si="109"/>
        <v>0</v>
      </c>
      <c r="S163" s="39">
        <f t="shared" si="109"/>
        <v>0</v>
      </c>
      <c r="T163" s="39">
        <f t="shared" si="109"/>
        <v>2388.96</v>
      </c>
      <c r="U163" s="39">
        <f t="shared" si="109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5"/>
      <c r="AJ163" s="2"/>
      <c r="AK163" s="2"/>
      <c r="AL163" s="2"/>
      <c r="AM163" s="2"/>
      <c r="AN163" s="2"/>
      <c r="AO163" s="2"/>
      <c r="AP163" s="5"/>
      <c r="AQ163" s="5"/>
    </row>
    <row r="164">
      <c r="A164" s="2"/>
      <c r="B164" s="5"/>
      <c r="C164" s="2"/>
      <c r="D164" s="2" t="str">
        <f t="shared" si="95"/>
        <v>Stock 15</v>
      </c>
      <c r="E164" s="2"/>
      <c r="F164" s="2"/>
      <c r="G164" s="2"/>
      <c r="H164" s="2" t="str">
        <f t="shared" si="96"/>
        <v>SkyRockets</v>
      </c>
      <c r="I164" s="2"/>
      <c r="J164" s="39">
        <f t="shared" ref="J164:U164" si="110">if($H$164="",0,if($H$164="Sky Rockets",J35*$W$9*$AB$35,if($H$164="Steady Eddy",J35*$X$9*$AB$35,J35*$Y$9*$AB$35)))</f>
        <v>5449.248</v>
      </c>
      <c r="K164" s="39">
        <f t="shared" si="110"/>
        <v>2724.624</v>
      </c>
      <c r="L164" s="39">
        <f t="shared" si="110"/>
        <v>5128.704</v>
      </c>
      <c r="M164" s="39">
        <f t="shared" si="110"/>
        <v>3846.528</v>
      </c>
      <c r="N164" s="39">
        <f t="shared" si="110"/>
        <v>0</v>
      </c>
      <c r="O164" s="39">
        <f t="shared" si="110"/>
        <v>0</v>
      </c>
      <c r="P164" s="39">
        <f t="shared" si="110"/>
        <v>2243.808</v>
      </c>
      <c r="Q164" s="39">
        <f t="shared" si="110"/>
        <v>0</v>
      </c>
      <c r="R164" s="39">
        <f t="shared" si="110"/>
        <v>6731.424</v>
      </c>
      <c r="S164" s="39">
        <f t="shared" si="110"/>
        <v>0</v>
      </c>
      <c r="T164" s="39">
        <f t="shared" si="110"/>
        <v>2724.624</v>
      </c>
      <c r="U164" s="39">
        <f t="shared" si="110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5"/>
      <c r="AJ164" s="2"/>
      <c r="AK164" s="2"/>
      <c r="AL164" s="2"/>
      <c r="AM164" s="2"/>
      <c r="AN164" s="2"/>
      <c r="AO164" s="2"/>
      <c r="AP164" s="5"/>
      <c r="AQ164" s="5"/>
    </row>
    <row r="165">
      <c r="A165" s="2"/>
      <c r="B165" s="5"/>
      <c r="C165" s="2"/>
      <c r="D165" s="2" t="str">
        <f t="shared" si="95"/>
        <v>Stock 16</v>
      </c>
      <c r="E165" s="2"/>
      <c r="F165" s="2"/>
      <c r="G165" s="2"/>
      <c r="H165" s="2" t="str">
        <f t="shared" si="96"/>
        <v>SkyRockets</v>
      </c>
      <c r="I165" s="2"/>
      <c r="J165" s="39">
        <f t="shared" ref="J165:U165" si="111">if($H$165="",0,if($H$165="Sky Rockets",J36*$W$9*$AB$36,if($H$165="Steady Eddy",J36*$X$9*$AB$36,J36*$Y$9*$AB$36)))</f>
        <v>5967.36</v>
      </c>
      <c r="K165" s="39">
        <f t="shared" si="111"/>
        <v>3064.32</v>
      </c>
      <c r="L165" s="39">
        <f t="shared" si="111"/>
        <v>5806.08</v>
      </c>
      <c r="M165" s="39">
        <f t="shared" si="111"/>
        <v>4354.56</v>
      </c>
      <c r="N165" s="39">
        <f t="shared" si="111"/>
        <v>7902.72</v>
      </c>
      <c r="O165" s="39">
        <f t="shared" si="111"/>
        <v>7418.88</v>
      </c>
      <c r="P165" s="39">
        <f t="shared" si="111"/>
        <v>2741.76</v>
      </c>
      <c r="Q165" s="39">
        <f t="shared" si="111"/>
        <v>0</v>
      </c>
      <c r="R165" s="39">
        <f t="shared" si="111"/>
        <v>5806.08</v>
      </c>
      <c r="S165" s="39">
        <f t="shared" si="111"/>
        <v>0</v>
      </c>
      <c r="T165" s="39">
        <f t="shared" si="111"/>
        <v>3064.32</v>
      </c>
      <c r="U165" s="39">
        <f t="shared" si="111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5"/>
      <c r="AJ165" s="2"/>
      <c r="AK165" s="2"/>
      <c r="AL165" s="2"/>
      <c r="AM165" s="2"/>
      <c r="AN165" s="2"/>
      <c r="AO165" s="2"/>
      <c r="AP165" s="5"/>
      <c r="AQ165" s="5"/>
    </row>
    <row r="166">
      <c r="A166" s="2"/>
      <c r="B166" s="5"/>
      <c r="C166" s="2"/>
      <c r="D166" s="2" t="str">
        <f t="shared" si="95"/>
        <v>Stock 17</v>
      </c>
      <c r="E166" s="2"/>
      <c r="F166" s="2"/>
      <c r="G166" s="2"/>
      <c r="H166" s="2" t="str">
        <f t="shared" si="96"/>
        <v>Slow Burn</v>
      </c>
      <c r="I166" s="2"/>
      <c r="J166" s="39">
        <f t="shared" ref="J166:U166" si="112">if($H$166="",0,if($H$166="Sky Rockets",J37*$W$9*$AB$37,if($H$166="Steady Eddy",J37*$X$9*$AB$37,J37*$Y$9*$AB$37)))</f>
        <v>5842.368</v>
      </c>
      <c r="K166" s="39">
        <f t="shared" si="112"/>
        <v>1785.168</v>
      </c>
      <c r="L166" s="39">
        <f t="shared" si="112"/>
        <v>5680.08</v>
      </c>
      <c r="M166" s="39">
        <f t="shared" si="112"/>
        <v>4219.488</v>
      </c>
      <c r="N166" s="39">
        <f t="shared" si="112"/>
        <v>6653.808</v>
      </c>
      <c r="O166" s="39">
        <f t="shared" si="112"/>
        <v>7302.96</v>
      </c>
      <c r="P166" s="39">
        <f t="shared" si="112"/>
        <v>2596.608</v>
      </c>
      <c r="Q166" s="39">
        <f t="shared" si="112"/>
        <v>0</v>
      </c>
      <c r="R166" s="39">
        <f t="shared" si="112"/>
        <v>4057.2</v>
      </c>
      <c r="S166" s="39">
        <f t="shared" si="112"/>
        <v>973.728</v>
      </c>
      <c r="T166" s="39">
        <f t="shared" si="112"/>
        <v>1785.168</v>
      </c>
      <c r="U166" s="39">
        <f t="shared" si="112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5"/>
      <c r="AJ166" s="2"/>
      <c r="AK166" s="2"/>
      <c r="AL166" s="2"/>
      <c r="AM166" s="2"/>
      <c r="AN166" s="2"/>
      <c r="AO166" s="2"/>
      <c r="AP166" s="5"/>
      <c r="AQ166" s="5"/>
    </row>
    <row r="167">
      <c r="A167" s="2"/>
      <c r="B167" s="5"/>
      <c r="C167" s="2"/>
      <c r="D167" s="2" t="str">
        <f t="shared" si="95"/>
        <v>Stock 18</v>
      </c>
      <c r="E167" s="2"/>
      <c r="F167" s="2"/>
      <c r="G167" s="2"/>
      <c r="H167" s="2" t="str">
        <f t="shared" si="96"/>
        <v>Slow Burn</v>
      </c>
      <c r="I167" s="2"/>
      <c r="J167" s="39">
        <f t="shared" ref="J167:U167" si="113">if($H$167="",0,if($H$167="Sky Rockets",J38*$W$9*$AB$38,if($H$167="Steady Eddy",J38*$X$9*$AB$38,J38*$Y$9*$AB$38)))</f>
        <v>5225.472</v>
      </c>
      <c r="K167" s="39">
        <f t="shared" si="113"/>
        <v>1959.552</v>
      </c>
      <c r="L167" s="39">
        <f t="shared" si="113"/>
        <v>5552.064</v>
      </c>
      <c r="M167" s="39">
        <f t="shared" si="113"/>
        <v>3592.512</v>
      </c>
      <c r="N167" s="39">
        <f t="shared" si="113"/>
        <v>6858.432</v>
      </c>
      <c r="O167" s="39">
        <f t="shared" si="113"/>
        <v>7185.024</v>
      </c>
      <c r="P167" s="39">
        <f t="shared" si="113"/>
        <v>1959.552</v>
      </c>
      <c r="Q167" s="39">
        <f t="shared" si="113"/>
        <v>1959.552</v>
      </c>
      <c r="R167" s="39">
        <f t="shared" si="113"/>
        <v>3919.104</v>
      </c>
      <c r="S167" s="39">
        <f t="shared" si="113"/>
        <v>326.592</v>
      </c>
      <c r="T167" s="39">
        <f t="shared" si="113"/>
        <v>1959.552</v>
      </c>
      <c r="U167" s="39">
        <f t="shared" si="113"/>
        <v>653.184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5"/>
      <c r="AJ167" s="2"/>
      <c r="AK167" s="2"/>
      <c r="AL167" s="2"/>
      <c r="AM167" s="2"/>
      <c r="AN167" s="2"/>
      <c r="AO167" s="2"/>
      <c r="AP167" s="5"/>
      <c r="AQ167" s="5"/>
    </row>
    <row r="168">
      <c r="A168" s="2"/>
      <c r="B168" s="5"/>
      <c r="C168" s="2"/>
      <c r="D168" s="2" t="str">
        <f t="shared" si="95"/>
        <v>Stock 19</v>
      </c>
      <c r="E168" s="2"/>
      <c r="F168" s="2"/>
      <c r="G168" s="2"/>
      <c r="H168" s="2" t="str">
        <f t="shared" si="96"/>
        <v>SkyRockets</v>
      </c>
      <c r="I168" s="2"/>
      <c r="J168" s="39">
        <f t="shared" ref="J168:U168" si="114">if($H$168="",0,if($H$168="Sky Rockets",J39*$W$9*$AB$39,if($H$168="Steady Eddy",J39*$X$9*$AB$39,J39*$Y$9*$AB$39)))</f>
        <v>5093.424</v>
      </c>
      <c r="K168" s="39">
        <f t="shared" si="114"/>
        <v>2300.256</v>
      </c>
      <c r="L168" s="39">
        <f t="shared" si="114"/>
        <v>6079.248</v>
      </c>
      <c r="M168" s="39">
        <f t="shared" si="114"/>
        <v>3450.384</v>
      </c>
      <c r="N168" s="39">
        <f t="shared" si="114"/>
        <v>7229.376</v>
      </c>
      <c r="O168" s="39">
        <f t="shared" si="114"/>
        <v>7722.288</v>
      </c>
      <c r="P168" s="39">
        <f t="shared" si="114"/>
        <v>1807.344</v>
      </c>
      <c r="Q168" s="39">
        <f t="shared" si="114"/>
        <v>2300.256</v>
      </c>
      <c r="R168" s="39">
        <f t="shared" si="114"/>
        <v>2793.168</v>
      </c>
      <c r="S168" s="39">
        <f t="shared" si="114"/>
        <v>164.304</v>
      </c>
      <c r="T168" s="39">
        <f t="shared" si="114"/>
        <v>2300.256</v>
      </c>
      <c r="U168" s="39">
        <f t="shared" si="114"/>
        <v>1150.128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5"/>
      <c r="AJ168" s="2"/>
      <c r="AK168" s="2"/>
      <c r="AL168" s="2"/>
      <c r="AM168" s="2"/>
      <c r="AN168" s="2"/>
      <c r="AO168" s="2"/>
      <c r="AP168" s="5"/>
      <c r="AQ168" s="5"/>
    </row>
    <row r="169">
      <c r="A169" s="2"/>
      <c r="B169" s="5"/>
      <c r="C169" s="2"/>
      <c r="D169" s="2" t="str">
        <f t="shared" si="95"/>
        <v>Stock 20</v>
      </c>
      <c r="E169" s="2"/>
      <c r="F169" s="2"/>
      <c r="G169" s="2"/>
      <c r="H169" s="2" t="str">
        <f t="shared" si="96"/>
        <v>Steady Eddy</v>
      </c>
      <c r="I169" s="2"/>
      <c r="J169" s="39">
        <f t="shared" ref="J169:U169" si="115">if($H$169="",0,if($H$169="Sky Rockets",J40*$W$9*$AB$40,if($H$169="Steady Eddy",J40*$X$9*$AB$40,J40*$Y$9*$AB$40)))</f>
        <v>2810.304</v>
      </c>
      <c r="K169" s="39">
        <f t="shared" si="115"/>
        <v>1487.808</v>
      </c>
      <c r="L169" s="39">
        <f t="shared" si="115"/>
        <v>3140.928</v>
      </c>
      <c r="M169" s="39">
        <f t="shared" si="115"/>
        <v>1983.744</v>
      </c>
      <c r="N169" s="39">
        <f t="shared" si="115"/>
        <v>3967.488</v>
      </c>
      <c r="O169" s="39">
        <f t="shared" si="115"/>
        <v>3967.488</v>
      </c>
      <c r="P169" s="39">
        <f t="shared" si="115"/>
        <v>1157.184</v>
      </c>
      <c r="Q169" s="39">
        <f t="shared" si="115"/>
        <v>1487.808</v>
      </c>
      <c r="R169" s="39">
        <f t="shared" si="115"/>
        <v>3140.928</v>
      </c>
      <c r="S169" s="39">
        <f t="shared" si="115"/>
        <v>330.624</v>
      </c>
      <c r="T169" s="39">
        <f t="shared" si="115"/>
        <v>1487.808</v>
      </c>
      <c r="U169" s="39">
        <f t="shared" si="115"/>
        <v>661.248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5"/>
      <c r="AJ169" s="2"/>
      <c r="AK169" s="2"/>
      <c r="AL169" s="2"/>
      <c r="AM169" s="2"/>
      <c r="AN169" s="2"/>
      <c r="AO169" s="2"/>
      <c r="AP169" s="5"/>
      <c r="AQ169" s="5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5"/>
      <c r="AJ170" s="2"/>
      <c r="AK170" s="2"/>
      <c r="AL170" s="2"/>
      <c r="AM170" s="2"/>
      <c r="AN170" s="2"/>
      <c r="AO170" s="2"/>
      <c r="AP170" s="5"/>
      <c r="AQ170" s="5"/>
    </row>
    <row r="171">
      <c r="A171" s="2"/>
      <c r="B171" s="5"/>
      <c r="C171" s="2"/>
      <c r="D171" s="3"/>
      <c r="E171" s="2"/>
      <c r="F171" s="2"/>
      <c r="G171" s="2"/>
      <c r="H171" s="2"/>
      <c r="I171" s="2"/>
      <c r="J171" s="78">
        <f t="shared" ref="J171:U171" si="116">sum(J150:J169)</f>
        <v>86677.416</v>
      </c>
      <c r="K171" s="78">
        <f t="shared" si="116"/>
        <v>31053.96</v>
      </c>
      <c r="L171" s="78">
        <f t="shared" si="116"/>
        <v>72373.392</v>
      </c>
      <c r="M171" s="78">
        <f t="shared" si="116"/>
        <v>49739.76</v>
      </c>
      <c r="N171" s="78">
        <f t="shared" si="116"/>
        <v>59948.28</v>
      </c>
      <c r="O171" s="78">
        <f t="shared" si="116"/>
        <v>79335.144</v>
      </c>
      <c r="P171" s="78">
        <f t="shared" si="116"/>
        <v>23973.768</v>
      </c>
      <c r="Q171" s="78">
        <f t="shared" si="116"/>
        <v>21712.824</v>
      </c>
      <c r="R171" s="78">
        <f t="shared" si="116"/>
        <v>61275.816</v>
      </c>
      <c r="S171" s="78">
        <f t="shared" si="116"/>
        <v>18823.896</v>
      </c>
      <c r="T171" s="78">
        <f t="shared" si="116"/>
        <v>30121.56</v>
      </c>
      <c r="U171" s="78">
        <f t="shared" si="116"/>
        <v>10707.984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5"/>
      <c r="AJ171" s="2"/>
      <c r="AK171" s="2"/>
      <c r="AL171" s="2"/>
      <c r="AM171" s="2"/>
      <c r="AN171" s="2"/>
      <c r="AO171" s="2"/>
      <c r="AP171" s="5"/>
      <c r="AQ171" s="5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5"/>
      <c r="AJ172" s="2"/>
      <c r="AK172" s="2"/>
      <c r="AL172" s="2"/>
      <c r="AM172" s="2"/>
      <c r="AN172" s="2"/>
      <c r="AO172" s="2"/>
      <c r="AP172" s="5"/>
      <c r="AQ172" s="5"/>
    </row>
    <row r="173">
      <c r="A173" s="2"/>
      <c r="B173" s="5"/>
      <c r="C173" s="2"/>
      <c r="D173" s="2"/>
      <c r="E173" s="2"/>
      <c r="F173" s="3" t="s">
        <v>96</v>
      </c>
      <c r="G173" s="2"/>
      <c r="H173" s="2"/>
      <c r="I173" s="2"/>
      <c r="J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5"/>
      <c r="AJ173" s="2"/>
      <c r="AK173" s="2"/>
      <c r="AL173" s="2"/>
      <c r="AM173" s="2"/>
      <c r="AN173" s="2"/>
      <c r="AO173" s="2"/>
      <c r="AP173" s="5"/>
      <c r="AQ173" s="5"/>
    </row>
    <row r="174">
      <c r="A174" s="2"/>
      <c r="B174" s="5"/>
      <c r="C174" s="2"/>
      <c r="D174" s="2" t="str">
        <f t="shared" ref="D174:D193" si="118">D150</f>
        <v>Stock 1</v>
      </c>
      <c r="E174" s="2"/>
      <c r="F174" s="2"/>
      <c r="G174" s="2"/>
      <c r="H174" s="2" t="str">
        <f t="shared" ref="H174:H193" si="119">H150</f>
        <v>SkyRockets</v>
      </c>
      <c r="I174" s="2"/>
      <c r="J174" s="39">
        <f t="shared" ref="J174:U174" si="117">if($H$174="",0,if($H$174="Sky Rockets",J21*$W$10*$AC$21,if($H$174="Steady Eddy",J21*$X$10*$AC$21,J21*$Y$10*$AC$21)))</f>
        <v>2188.92</v>
      </c>
      <c r="K174" s="39">
        <f t="shared" si="117"/>
        <v>772.56</v>
      </c>
      <c r="L174" s="39">
        <f t="shared" si="117"/>
        <v>2253.3</v>
      </c>
      <c r="M174" s="39">
        <f t="shared" si="117"/>
        <v>1545.12</v>
      </c>
      <c r="N174" s="39">
        <f t="shared" si="117"/>
        <v>772.56</v>
      </c>
      <c r="O174" s="39">
        <f t="shared" si="117"/>
        <v>2961.48</v>
      </c>
      <c r="P174" s="39">
        <f t="shared" si="117"/>
        <v>901.32</v>
      </c>
      <c r="Q174" s="39">
        <f t="shared" si="117"/>
        <v>772.56</v>
      </c>
      <c r="R174" s="39">
        <f t="shared" si="117"/>
        <v>2317.68</v>
      </c>
      <c r="S174" s="39">
        <f t="shared" si="117"/>
        <v>257.52</v>
      </c>
      <c r="T174" s="39">
        <f t="shared" si="117"/>
        <v>128.76</v>
      </c>
      <c r="U174" s="39">
        <f t="shared" si="117"/>
        <v>1030.08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5"/>
      <c r="AJ174" s="2"/>
      <c r="AK174" s="2"/>
      <c r="AL174" s="2"/>
      <c r="AM174" s="2"/>
      <c r="AN174" s="2"/>
      <c r="AO174" s="2"/>
      <c r="AP174" s="5"/>
      <c r="AQ174" s="5"/>
    </row>
    <row r="175">
      <c r="A175" s="2"/>
      <c r="B175" s="5"/>
      <c r="C175" s="2"/>
      <c r="D175" s="2" t="str">
        <f t="shared" si="118"/>
        <v>Stock 2</v>
      </c>
      <c r="E175" s="2"/>
      <c r="F175" s="2"/>
      <c r="G175" s="2"/>
      <c r="H175" s="2" t="str">
        <f t="shared" si="119"/>
        <v>Steady Eddy</v>
      </c>
      <c r="I175" s="2"/>
      <c r="J175" s="39">
        <f t="shared" ref="J175:U175" si="120">if($H$175="",0,if($H$175="Sky Rockets",J22*$W$10*$AC$22,if($H$175="Steady Eddy",J22*$X$10*$AC$22,J22*$Y$10*$AC$22)))</f>
        <v>3208.788</v>
      </c>
      <c r="K175" s="39">
        <f t="shared" si="120"/>
        <v>1361.304</v>
      </c>
      <c r="L175" s="39">
        <f t="shared" si="120"/>
        <v>3403.26</v>
      </c>
      <c r="M175" s="39">
        <f t="shared" si="120"/>
        <v>2236.428</v>
      </c>
      <c r="N175" s="39">
        <f t="shared" si="120"/>
        <v>1361.304</v>
      </c>
      <c r="O175" s="39">
        <f t="shared" si="120"/>
        <v>4375.62</v>
      </c>
      <c r="P175" s="39">
        <f t="shared" si="120"/>
        <v>1264.068</v>
      </c>
      <c r="Q175" s="39">
        <f t="shared" si="120"/>
        <v>0</v>
      </c>
      <c r="R175" s="39">
        <f t="shared" si="120"/>
        <v>2430.9</v>
      </c>
      <c r="S175" s="39">
        <f t="shared" si="120"/>
        <v>291.708</v>
      </c>
      <c r="T175" s="39">
        <f t="shared" si="120"/>
        <v>0</v>
      </c>
      <c r="U175" s="39">
        <f t="shared" si="120"/>
        <v>1458.54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5"/>
      <c r="AJ175" s="2"/>
      <c r="AK175" s="2"/>
      <c r="AL175" s="2"/>
      <c r="AM175" s="2"/>
      <c r="AN175" s="2"/>
      <c r="AO175" s="2"/>
      <c r="AP175" s="5"/>
      <c r="AQ175" s="5"/>
    </row>
    <row r="176">
      <c r="A176" s="2"/>
      <c r="B176" s="5"/>
      <c r="C176" s="2"/>
      <c r="D176" s="2" t="str">
        <f t="shared" si="118"/>
        <v>Stock 3</v>
      </c>
      <c r="E176" s="2"/>
      <c r="F176" s="2"/>
      <c r="G176" s="2"/>
      <c r="H176" s="2" t="str">
        <f t="shared" si="119"/>
        <v>Slow Burn</v>
      </c>
      <c r="I176" s="2"/>
      <c r="J176" s="39">
        <f t="shared" ref="J176:U176" si="121">if($H$176="",0,if($H$176="Sky Rockets",J23*$W$10*$AC$23,if($H$176="Steady Eddy",J23*$X$10*$AC$23,J23*$Y$10*$AC$23)))</f>
        <v>2284.38</v>
      </c>
      <c r="K176" s="39">
        <f t="shared" si="121"/>
        <v>0</v>
      </c>
      <c r="L176" s="39">
        <f t="shared" si="121"/>
        <v>2219.112</v>
      </c>
      <c r="M176" s="39">
        <f t="shared" si="121"/>
        <v>0</v>
      </c>
      <c r="N176" s="39">
        <f t="shared" si="121"/>
        <v>1044.288</v>
      </c>
      <c r="O176" s="39">
        <f t="shared" si="121"/>
        <v>2871.792</v>
      </c>
      <c r="P176" s="39">
        <f t="shared" si="121"/>
        <v>979.02</v>
      </c>
      <c r="Q176" s="39">
        <f t="shared" si="121"/>
        <v>0</v>
      </c>
      <c r="R176" s="39">
        <f t="shared" si="121"/>
        <v>0</v>
      </c>
      <c r="S176" s="39">
        <f t="shared" si="121"/>
        <v>326.34</v>
      </c>
      <c r="T176" s="39">
        <f t="shared" si="121"/>
        <v>0</v>
      </c>
      <c r="U176" s="39">
        <f t="shared" si="121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5"/>
      <c r="AJ176" s="2"/>
      <c r="AK176" s="2"/>
      <c r="AL176" s="2"/>
      <c r="AM176" s="2"/>
      <c r="AN176" s="2"/>
      <c r="AO176" s="2"/>
      <c r="AP176" s="5"/>
      <c r="AQ176" s="5"/>
    </row>
    <row r="177">
      <c r="A177" s="2"/>
      <c r="B177" s="5"/>
      <c r="C177" s="2"/>
      <c r="D177" s="2" t="str">
        <f t="shared" si="118"/>
        <v>Stock 4</v>
      </c>
      <c r="E177" s="2"/>
      <c r="F177" s="2"/>
      <c r="G177" s="2"/>
      <c r="H177" s="2" t="str">
        <f t="shared" si="119"/>
        <v>Steady Eddy</v>
      </c>
      <c r="I177" s="2"/>
      <c r="J177" s="39">
        <f t="shared" ref="J177:U177" si="122">if($H$177="",0,if($H$177="Sky Rockets",J24*$W$10*$AC$24,if($H$177="Steady Eddy",J24*$X$10*$AC$24,J24*$Y$10*$AC$24)))</f>
        <v>3745.584</v>
      </c>
      <c r="K177" s="39">
        <f t="shared" si="122"/>
        <v>0</v>
      </c>
      <c r="L177" s="39">
        <f t="shared" si="122"/>
        <v>3844.152</v>
      </c>
      <c r="M177" s="39">
        <f t="shared" si="122"/>
        <v>0</v>
      </c>
      <c r="N177" s="39">
        <f t="shared" si="122"/>
        <v>1774.224</v>
      </c>
      <c r="O177" s="39">
        <f t="shared" si="122"/>
        <v>4829.832</v>
      </c>
      <c r="P177" s="39">
        <f t="shared" si="122"/>
        <v>0</v>
      </c>
      <c r="Q177" s="39">
        <f t="shared" si="122"/>
        <v>0</v>
      </c>
      <c r="R177" s="39">
        <f t="shared" si="122"/>
        <v>0</v>
      </c>
      <c r="S177" s="39">
        <f t="shared" si="122"/>
        <v>788.544</v>
      </c>
      <c r="T177" s="39">
        <f t="shared" si="122"/>
        <v>1774.224</v>
      </c>
      <c r="U177" s="39">
        <f t="shared" si="122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5"/>
      <c r="AJ177" s="2"/>
      <c r="AK177" s="2"/>
      <c r="AL177" s="2"/>
      <c r="AM177" s="2"/>
      <c r="AN177" s="2"/>
      <c r="AO177" s="2"/>
      <c r="AP177" s="5"/>
      <c r="AQ177" s="5"/>
    </row>
    <row r="178">
      <c r="A178" s="2"/>
      <c r="B178" s="5"/>
      <c r="C178" s="2"/>
      <c r="D178" s="2" t="str">
        <f t="shared" si="118"/>
        <v>Stock 5</v>
      </c>
      <c r="E178" s="2"/>
      <c r="F178" s="2"/>
      <c r="G178" s="2"/>
      <c r="H178" s="2" t="str">
        <f t="shared" si="119"/>
        <v>SkyRockets</v>
      </c>
      <c r="I178" s="2"/>
      <c r="J178" s="39">
        <f t="shared" ref="J178:U178" si="123">if($H$178="",0,if($H$178="Sky Rockets",J25*$W$10*$AC$25,if($H$178="Steady Eddy",J25*$X$10*$AC$25,J25*$Y$10*$AC$25)))</f>
        <v>2381.616</v>
      </c>
      <c r="K178" s="39">
        <f t="shared" si="123"/>
        <v>0</v>
      </c>
      <c r="L178" s="39">
        <f t="shared" si="123"/>
        <v>2513.928</v>
      </c>
      <c r="M178" s="39">
        <f t="shared" si="123"/>
        <v>1720.056</v>
      </c>
      <c r="N178" s="39">
        <f t="shared" si="123"/>
        <v>727.716</v>
      </c>
      <c r="O178" s="39">
        <f t="shared" si="123"/>
        <v>3175.488</v>
      </c>
      <c r="P178" s="39">
        <f t="shared" si="123"/>
        <v>0</v>
      </c>
      <c r="Q178" s="39">
        <f t="shared" si="123"/>
        <v>727.716</v>
      </c>
      <c r="R178" s="39">
        <f t="shared" si="123"/>
        <v>1852.368</v>
      </c>
      <c r="S178" s="39">
        <f t="shared" si="123"/>
        <v>396.936</v>
      </c>
      <c r="T178" s="39">
        <f t="shared" si="123"/>
        <v>1124.652</v>
      </c>
      <c r="U178" s="39">
        <f t="shared" si="123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5"/>
      <c r="AJ178" s="2"/>
      <c r="AK178" s="2"/>
      <c r="AL178" s="2"/>
      <c r="AM178" s="2"/>
      <c r="AN178" s="2"/>
      <c r="AO178" s="2"/>
      <c r="AP178" s="5"/>
      <c r="AQ178" s="5"/>
    </row>
    <row r="179">
      <c r="A179" s="2"/>
      <c r="B179" s="5"/>
      <c r="C179" s="2"/>
      <c r="D179" s="2" t="str">
        <f t="shared" si="118"/>
        <v>Stock 6</v>
      </c>
      <c r="E179" s="2"/>
      <c r="F179" s="2"/>
      <c r="G179" s="2"/>
      <c r="H179" s="2" t="str">
        <f t="shared" si="119"/>
        <v>Slow Burn</v>
      </c>
      <c r="I179" s="2"/>
      <c r="J179" s="39">
        <f t="shared" ref="J179:U179" si="124">if($H$179="",0,if($H$179="Sky Rockets",J26*$W$10*$AC$26,if($H$179="Steady Eddy",J26*$X$10*$AC$26,J26*$Y$10*$AC$26)))</f>
        <v>2331</v>
      </c>
      <c r="K179" s="39">
        <f t="shared" si="124"/>
        <v>865.8</v>
      </c>
      <c r="L179" s="39">
        <f t="shared" si="124"/>
        <v>0</v>
      </c>
      <c r="M179" s="39">
        <f t="shared" si="124"/>
        <v>1665</v>
      </c>
      <c r="N179" s="39">
        <f t="shared" si="124"/>
        <v>0</v>
      </c>
      <c r="O179" s="39">
        <f t="shared" si="124"/>
        <v>3130.2</v>
      </c>
      <c r="P179" s="39">
        <f t="shared" si="124"/>
        <v>0</v>
      </c>
      <c r="Q179" s="39">
        <f t="shared" si="124"/>
        <v>865.8</v>
      </c>
      <c r="R179" s="39">
        <f t="shared" si="124"/>
        <v>2464.2</v>
      </c>
      <c r="S179" s="39">
        <f t="shared" si="124"/>
        <v>0</v>
      </c>
      <c r="T179" s="39">
        <f t="shared" si="124"/>
        <v>865.8</v>
      </c>
      <c r="U179" s="39">
        <f t="shared" si="124"/>
        <v>1132.2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5"/>
      <c r="AJ179" s="2"/>
      <c r="AK179" s="2"/>
      <c r="AL179" s="2"/>
      <c r="AM179" s="2"/>
      <c r="AN179" s="2"/>
      <c r="AO179" s="2"/>
      <c r="AP179" s="5"/>
      <c r="AQ179" s="5"/>
    </row>
    <row r="180">
      <c r="A180" s="2"/>
      <c r="B180" s="5"/>
      <c r="C180" s="2"/>
      <c r="D180" s="2" t="str">
        <f t="shared" si="118"/>
        <v>Stock 7</v>
      </c>
      <c r="E180" s="2"/>
      <c r="F180" s="2"/>
      <c r="G180" s="2"/>
      <c r="H180" s="2" t="str">
        <f t="shared" si="119"/>
        <v>SkyRockets</v>
      </c>
      <c r="I180" s="2"/>
      <c r="J180" s="39">
        <f t="shared" ref="J180:U180" si="125">if($H$180="",0,if($H$180="Sky Rockets",J27*$W$10*$AC$27,if($H$180="Steady Eddy",J27*$X$10*$AC$27,J27*$Y$10*$AC$27)))</f>
        <v>2279.496</v>
      </c>
      <c r="K180" s="39">
        <f t="shared" si="125"/>
        <v>1005.66</v>
      </c>
      <c r="L180" s="39">
        <f t="shared" si="125"/>
        <v>0</v>
      </c>
      <c r="M180" s="39">
        <f t="shared" si="125"/>
        <v>1609.056</v>
      </c>
      <c r="N180" s="39">
        <f t="shared" si="125"/>
        <v>0</v>
      </c>
      <c r="O180" s="39">
        <f t="shared" si="125"/>
        <v>0</v>
      </c>
      <c r="P180" s="39">
        <f t="shared" si="125"/>
        <v>0</v>
      </c>
      <c r="Q180" s="39">
        <f t="shared" si="125"/>
        <v>1005.66</v>
      </c>
      <c r="R180" s="39">
        <f t="shared" si="125"/>
        <v>2212.452</v>
      </c>
      <c r="S180" s="39">
        <f t="shared" si="125"/>
        <v>0</v>
      </c>
      <c r="T180" s="39">
        <f t="shared" si="125"/>
        <v>1005.66</v>
      </c>
      <c r="U180" s="39">
        <f t="shared" si="125"/>
        <v>201.132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5"/>
      <c r="AJ180" s="2"/>
      <c r="AK180" s="2"/>
      <c r="AL180" s="2"/>
      <c r="AM180" s="2"/>
      <c r="AN180" s="2"/>
      <c r="AO180" s="2"/>
      <c r="AP180" s="5"/>
      <c r="AQ180" s="5"/>
    </row>
    <row r="181">
      <c r="A181" s="2"/>
      <c r="B181" s="5"/>
      <c r="C181" s="2"/>
      <c r="D181" s="2" t="str">
        <f t="shared" si="118"/>
        <v>Stock 8</v>
      </c>
      <c r="E181" s="2"/>
      <c r="F181" s="2"/>
      <c r="G181" s="2"/>
      <c r="H181" s="2" t="str">
        <f t="shared" si="119"/>
        <v>SkyRockets</v>
      </c>
      <c r="I181" s="2"/>
      <c r="J181" s="39">
        <f t="shared" ref="J181:U181" si="126">if($H$181="",0,if($H$181="Sky Rockets",J28*$W$10*$AC$28,if($H$181="Steady Eddy",J28*$X$10*$AC$28,J28*$Y$10*$AC$28)))</f>
        <v>2497.056</v>
      </c>
      <c r="K181" s="39">
        <f t="shared" si="126"/>
        <v>1147.296</v>
      </c>
      <c r="L181" s="39">
        <f t="shared" si="126"/>
        <v>0</v>
      </c>
      <c r="M181" s="39">
        <f t="shared" si="126"/>
        <v>1822.176</v>
      </c>
      <c r="N181" s="39">
        <f t="shared" si="126"/>
        <v>2497.056</v>
      </c>
      <c r="O181" s="39">
        <f t="shared" si="126"/>
        <v>0</v>
      </c>
      <c r="P181" s="39">
        <f t="shared" si="126"/>
        <v>0</v>
      </c>
      <c r="Q181" s="39">
        <f t="shared" si="126"/>
        <v>1147.296</v>
      </c>
      <c r="R181" s="39">
        <f t="shared" si="126"/>
        <v>0</v>
      </c>
      <c r="S181" s="39">
        <f t="shared" si="126"/>
        <v>1822.176</v>
      </c>
      <c r="T181" s="39">
        <f t="shared" si="126"/>
        <v>1147.296</v>
      </c>
      <c r="U181" s="39">
        <f t="shared" si="126"/>
        <v>337.44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5"/>
      <c r="AJ181" s="2"/>
      <c r="AK181" s="2"/>
      <c r="AL181" s="2"/>
      <c r="AM181" s="2"/>
      <c r="AN181" s="2"/>
      <c r="AO181" s="2"/>
      <c r="AP181" s="5"/>
      <c r="AQ181" s="5"/>
    </row>
    <row r="182">
      <c r="A182" s="2"/>
      <c r="B182" s="5"/>
      <c r="C182" s="2"/>
      <c r="D182" s="2" t="str">
        <f t="shared" si="118"/>
        <v>Stock 9</v>
      </c>
      <c r="E182" s="2"/>
      <c r="F182" s="2"/>
      <c r="G182" s="2"/>
      <c r="H182" s="2" t="str">
        <f t="shared" si="119"/>
        <v>Steady Eddy</v>
      </c>
      <c r="I182" s="2"/>
      <c r="J182" s="39">
        <f t="shared" ref="J182:U182" si="127">if($H$182="",0,if($H$182="Sky Rockets",J29*$W$10*$AC$29,if($H$182="Steady Eddy",J29*$X$10*$AC$29,J29*$Y$10*$AC$29)))</f>
        <v>3464.532</v>
      </c>
      <c r="K182" s="39">
        <f t="shared" si="127"/>
        <v>1222.776</v>
      </c>
      <c r="L182" s="39">
        <f t="shared" si="127"/>
        <v>3770.226</v>
      </c>
      <c r="M182" s="39">
        <f t="shared" si="127"/>
        <v>2445.552</v>
      </c>
      <c r="N182" s="39">
        <f t="shared" si="127"/>
        <v>3260.736</v>
      </c>
      <c r="O182" s="39">
        <f t="shared" si="127"/>
        <v>0</v>
      </c>
      <c r="P182" s="39">
        <f t="shared" si="127"/>
        <v>0</v>
      </c>
      <c r="Q182" s="39">
        <f t="shared" si="127"/>
        <v>1222.776</v>
      </c>
      <c r="R182" s="39">
        <f t="shared" si="127"/>
        <v>0</v>
      </c>
      <c r="S182" s="39">
        <f t="shared" si="127"/>
        <v>2445.552</v>
      </c>
      <c r="T182" s="39">
        <f t="shared" si="127"/>
        <v>1222.776</v>
      </c>
      <c r="U182" s="39">
        <f t="shared" si="127"/>
        <v>713.286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5"/>
      <c r="AJ182" s="2"/>
      <c r="AK182" s="2"/>
      <c r="AL182" s="2"/>
      <c r="AM182" s="2"/>
      <c r="AN182" s="2"/>
      <c r="AO182" s="2"/>
      <c r="AP182" s="5"/>
      <c r="AQ182" s="5"/>
    </row>
    <row r="183">
      <c r="A183" s="2"/>
      <c r="B183" s="5"/>
      <c r="C183" s="2"/>
      <c r="D183" s="2" t="str">
        <f t="shared" si="118"/>
        <v>Stock 10</v>
      </c>
      <c r="E183" s="2"/>
      <c r="F183" s="2"/>
      <c r="G183" s="2"/>
      <c r="H183" s="2" t="str">
        <f t="shared" si="119"/>
        <v>Steady Eddy</v>
      </c>
      <c r="I183" s="2"/>
      <c r="J183" s="39">
        <f t="shared" ref="J183:U183" si="128">if($H$183="",0,if($H$183="Sky Rockets",J30*$W$10*$AC$30,if($H$183="Steady Eddy",J30*$X$10*$AC$30,J30*$Y$10*$AC$30)))</f>
        <v>3384.612</v>
      </c>
      <c r="K183" s="39">
        <f t="shared" si="128"/>
        <v>1435.896</v>
      </c>
      <c r="L183" s="39">
        <f t="shared" si="128"/>
        <v>3179.484</v>
      </c>
      <c r="M183" s="39">
        <f t="shared" si="128"/>
        <v>2358.972</v>
      </c>
      <c r="N183" s="39">
        <f t="shared" si="128"/>
        <v>3487.176</v>
      </c>
      <c r="O183" s="39">
        <f t="shared" si="128"/>
        <v>3179.484</v>
      </c>
      <c r="P183" s="39">
        <f t="shared" si="128"/>
        <v>0</v>
      </c>
      <c r="Q183" s="39">
        <f t="shared" si="128"/>
        <v>1435.896</v>
      </c>
      <c r="R183" s="39">
        <f t="shared" si="128"/>
        <v>4205.124</v>
      </c>
      <c r="S183" s="39">
        <f t="shared" si="128"/>
        <v>2358.972</v>
      </c>
      <c r="T183" s="39">
        <f t="shared" si="128"/>
        <v>0</v>
      </c>
      <c r="U183" s="39">
        <f t="shared" si="128"/>
        <v>102.564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5"/>
      <c r="AJ183" s="2"/>
      <c r="AK183" s="2"/>
      <c r="AL183" s="2"/>
      <c r="AM183" s="2"/>
      <c r="AN183" s="2"/>
      <c r="AO183" s="2"/>
      <c r="AP183" s="5"/>
      <c r="AQ183" s="5"/>
    </row>
    <row r="184">
      <c r="A184" s="2"/>
      <c r="B184" s="5"/>
      <c r="C184" s="2"/>
      <c r="D184" s="2" t="str">
        <f t="shared" si="118"/>
        <v>Stock 11</v>
      </c>
      <c r="E184" s="2"/>
      <c r="F184" s="2"/>
      <c r="G184" s="2"/>
      <c r="H184" s="2" t="str">
        <f t="shared" si="119"/>
        <v>Steady Eddy</v>
      </c>
      <c r="I184" s="2"/>
      <c r="J184" s="39">
        <f t="shared" ref="J184:U184" si="129">if($H$184="",0,if($H$184="Sky Rockets",J31*$W$10*$AC$31,if($H$184="Steady Eddy",J31*$X$10*$AC$31,J31*$Y$10*$AC$31)))</f>
        <v>3613.05</v>
      </c>
      <c r="K184" s="39">
        <f t="shared" si="129"/>
        <v>1651.68</v>
      </c>
      <c r="L184" s="39">
        <f t="shared" si="129"/>
        <v>3613.05</v>
      </c>
      <c r="M184" s="39">
        <f t="shared" si="129"/>
        <v>0</v>
      </c>
      <c r="N184" s="39">
        <f t="shared" si="129"/>
        <v>3716.28</v>
      </c>
      <c r="O184" s="39">
        <f t="shared" si="129"/>
        <v>3613.05</v>
      </c>
      <c r="P184" s="39">
        <f t="shared" si="129"/>
        <v>1548.45</v>
      </c>
      <c r="Q184" s="39">
        <f t="shared" si="129"/>
        <v>1651.68</v>
      </c>
      <c r="R184" s="39">
        <f t="shared" si="129"/>
        <v>5677.65</v>
      </c>
      <c r="S184" s="39">
        <f t="shared" si="129"/>
        <v>2580.75</v>
      </c>
      <c r="T184" s="39">
        <f t="shared" si="129"/>
        <v>0</v>
      </c>
      <c r="U184" s="39">
        <f t="shared" si="129"/>
        <v>516.15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5"/>
      <c r="AJ184" s="2"/>
      <c r="AK184" s="2"/>
      <c r="AL184" s="2"/>
      <c r="AM184" s="2"/>
      <c r="AN184" s="2"/>
      <c r="AO184" s="2"/>
      <c r="AP184" s="5"/>
      <c r="AQ184" s="5"/>
    </row>
    <row r="185">
      <c r="A185" s="2"/>
      <c r="B185" s="5"/>
      <c r="C185" s="2"/>
      <c r="D185" s="2" t="str">
        <f t="shared" si="118"/>
        <v>Stock 12</v>
      </c>
      <c r="E185" s="2"/>
      <c r="F185" s="2"/>
      <c r="G185" s="2"/>
      <c r="H185" s="2" t="str">
        <f t="shared" si="119"/>
        <v>Steady Eddy</v>
      </c>
      <c r="I185" s="2"/>
      <c r="J185" s="39">
        <f t="shared" ref="J185:U185" si="130">if($H$185="",0,if($H$185="Sky Rockets",J32*$W$10*$AC$32,if($H$185="Steady Eddy",J32*$X$10*$AC$32,J32*$Y$10*$AC$32)))</f>
        <v>3948.048</v>
      </c>
      <c r="K185" s="39">
        <f t="shared" si="130"/>
        <v>1870.128</v>
      </c>
      <c r="L185" s="39">
        <f t="shared" si="130"/>
        <v>4051.944</v>
      </c>
      <c r="M185" s="39">
        <f t="shared" si="130"/>
        <v>0</v>
      </c>
      <c r="N185" s="39">
        <f t="shared" si="130"/>
        <v>3948.048</v>
      </c>
      <c r="O185" s="39">
        <f t="shared" si="130"/>
        <v>4051.944</v>
      </c>
      <c r="P185" s="39">
        <f t="shared" si="130"/>
        <v>1870.128</v>
      </c>
      <c r="Q185" s="39">
        <f t="shared" si="130"/>
        <v>1870.128</v>
      </c>
      <c r="R185" s="39">
        <f t="shared" si="130"/>
        <v>7168.824</v>
      </c>
      <c r="S185" s="39">
        <f t="shared" si="130"/>
        <v>2909.088</v>
      </c>
      <c r="T185" s="39">
        <f t="shared" si="130"/>
        <v>1870.128</v>
      </c>
      <c r="U185" s="39">
        <f t="shared" si="130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5"/>
      <c r="AJ185" s="2"/>
      <c r="AK185" s="2"/>
      <c r="AL185" s="2"/>
      <c r="AM185" s="2"/>
      <c r="AN185" s="2"/>
      <c r="AO185" s="2"/>
      <c r="AP185" s="5"/>
      <c r="AQ185" s="5"/>
    </row>
    <row r="186">
      <c r="A186" s="2"/>
      <c r="B186" s="5"/>
      <c r="C186" s="2"/>
      <c r="D186" s="2" t="str">
        <f t="shared" si="118"/>
        <v>Stock 13</v>
      </c>
      <c r="E186" s="2"/>
      <c r="F186" s="2"/>
      <c r="G186" s="2"/>
      <c r="H186" s="2" t="str">
        <f t="shared" si="119"/>
        <v>Steady Eddy</v>
      </c>
      <c r="I186" s="2"/>
      <c r="J186" s="39">
        <f t="shared" ref="J186:U186" si="131">if($H$186="",0,if($H$186="Sky Rockets",J33*$W$10*$AC$33,if($H$186="Steady Eddy",J33*$X$10*$AC$33,J33*$Y$10*$AC$33)))</f>
        <v>3764.232</v>
      </c>
      <c r="K186" s="39">
        <f t="shared" si="131"/>
        <v>1359.306</v>
      </c>
      <c r="L186" s="39">
        <f t="shared" si="131"/>
        <v>3973.356</v>
      </c>
      <c r="M186" s="39">
        <f t="shared" si="131"/>
        <v>0</v>
      </c>
      <c r="N186" s="39">
        <f t="shared" si="131"/>
        <v>3450.546</v>
      </c>
      <c r="O186" s="39">
        <f t="shared" si="131"/>
        <v>3973.356</v>
      </c>
      <c r="P186" s="39">
        <f t="shared" si="131"/>
        <v>1672.992</v>
      </c>
      <c r="Q186" s="39">
        <f t="shared" si="131"/>
        <v>1359.306</v>
      </c>
      <c r="R186" s="39">
        <f t="shared" si="131"/>
        <v>0</v>
      </c>
      <c r="S186" s="39">
        <f t="shared" si="131"/>
        <v>2718.612</v>
      </c>
      <c r="T186" s="39">
        <f t="shared" si="131"/>
        <v>1359.306</v>
      </c>
      <c r="U186" s="39">
        <f t="shared" si="131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5"/>
      <c r="AJ186" s="2"/>
      <c r="AK186" s="2"/>
      <c r="AL186" s="2"/>
      <c r="AM186" s="2"/>
      <c r="AN186" s="2"/>
      <c r="AO186" s="2"/>
      <c r="AP186" s="5"/>
      <c r="AQ186" s="5"/>
    </row>
    <row r="187">
      <c r="A187" s="2"/>
      <c r="B187" s="5"/>
      <c r="C187" s="2"/>
      <c r="D187" s="2" t="str">
        <f t="shared" si="118"/>
        <v>Stock 14</v>
      </c>
      <c r="E187" s="2"/>
      <c r="F187" s="2"/>
      <c r="G187" s="2"/>
      <c r="H187" s="2" t="str">
        <f t="shared" si="119"/>
        <v>SkyRockets</v>
      </c>
      <c r="I187" s="2"/>
      <c r="J187" s="39">
        <f t="shared" ref="J187:U187" si="132">if($H$187="",0,if($H$187="Sky Rockets",J34*$W$10*$AC$34,if($H$187="Steady Eddy",J34*$X$10*$AC$34,J34*$Y$10*$AC$34)))</f>
        <v>2455.32</v>
      </c>
      <c r="K187" s="39">
        <f t="shared" si="132"/>
        <v>1052.28</v>
      </c>
      <c r="L187" s="39">
        <f t="shared" si="132"/>
        <v>2455.32</v>
      </c>
      <c r="M187" s="39">
        <f t="shared" si="132"/>
        <v>1753.8</v>
      </c>
      <c r="N187" s="39">
        <f t="shared" si="132"/>
        <v>0</v>
      </c>
      <c r="O187" s="39">
        <f t="shared" si="132"/>
        <v>0</v>
      </c>
      <c r="P187" s="39">
        <f t="shared" si="132"/>
        <v>1052.28</v>
      </c>
      <c r="Q187" s="39">
        <f t="shared" si="132"/>
        <v>0</v>
      </c>
      <c r="R187" s="39">
        <f t="shared" si="132"/>
        <v>0</v>
      </c>
      <c r="S187" s="39">
        <f t="shared" si="132"/>
        <v>0</v>
      </c>
      <c r="T187" s="39">
        <f t="shared" si="132"/>
        <v>1052.28</v>
      </c>
      <c r="U187" s="39">
        <f t="shared" si="132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5"/>
      <c r="AJ187" s="2"/>
      <c r="AK187" s="2"/>
      <c r="AL187" s="2"/>
      <c r="AM187" s="2"/>
      <c r="AN187" s="2"/>
      <c r="AO187" s="2"/>
      <c r="AP187" s="5"/>
      <c r="AQ187" s="5"/>
    </row>
    <row r="188">
      <c r="A188" s="2"/>
      <c r="B188" s="5"/>
      <c r="C188" s="2"/>
      <c r="D188" s="2" t="str">
        <f t="shared" si="118"/>
        <v>Stock 15</v>
      </c>
      <c r="E188" s="2"/>
      <c r="F188" s="2"/>
      <c r="G188" s="2"/>
      <c r="H188" s="2" t="str">
        <f t="shared" si="119"/>
        <v>SkyRockets</v>
      </c>
      <c r="I188" s="2"/>
      <c r="J188" s="39">
        <f t="shared" ref="J188:U188" si="133">if($H$188="",0,if($H$188="Sky Rockets",J35*$W$10*$AC$35,if($H$188="Steady Eddy",J35*$X$10*$AC$35,J35*$Y$10*$AC$35)))</f>
        <v>2400.264</v>
      </c>
      <c r="K188" s="39">
        <f t="shared" si="133"/>
        <v>1200.132</v>
      </c>
      <c r="L188" s="39">
        <f t="shared" si="133"/>
        <v>2259.072</v>
      </c>
      <c r="M188" s="39">
        <f t="shared" si="133"/>
        <v>1694.304</v>
      </c>
      <c r="N188" s="39">
        <f t="shared" si="133"/>
        <v>0</v>
      </c>
      <c r="O188" s="39">
        <f t="shared" si="133"/>
        <v>0</v>
      </c>
      <c r="P188" s="39">
        <f t="shared" si="133"/>
        <v>988.344</v>
      </c>
      <c r="Q188" s="39">
        <f t="shared" si="133"/>
        <v>0</v>
      </c>
      <c r="R188" s="39">
        <f t="shared" si="133"/>
        <v>2965.032</v>
      </c>
      <c r="S188" s="39">
        <f t="shared" si="133"/>
        <v>0</v>
      </c>
      <c r="T188" s="39">
        <f t="shared" si="133"/>
        <v>1200.132</v>
      </c>
      <c r="U188" s="39">
        <f t="shared" si="133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5"/>
      <c r="AJ188" s="2"/>
      <c r="AK188" s="2"/>
      <c r="AL188" s="2"/>
      <c r="AM188" s="2"/>
      <c r="AN188" s="2"/>
      <c r="AO188" s="2"/>
      <c r="AP188" s="5"/>
      <c r="AQ188" s="5"/>
    </row>
    <row r="189">
      <c r="A189" s="2"/>
      <c r="B189" s="5"/>
      <c r="C189" s="2"/>
      <c r="D189" s="2" t="str">
        <f t="shared" si="118"/>
        <v>Stock 16</v>
      </c>
      <c r="E189" s="2"/>
      <c r="F189" s="2"/>
      <c r="G189" s="2"/>
      <c r="H189" s="2" t="str">
        <f t="shared" si="119"/>
        <v>SkyRockets</v>
      </c>
      <c r="I189" s="2"/>
      <c r="J189" s="39">
        <f t="shared" ref="J189:U189" si="134">if($H$189="",0,if($H$189="Sky Rockets",J36*$W$10*$AC$36,if($H$189="Steady Eddy",J36*$X$10*$AC$36,J36*$Y$10*$AC$36)))</f>
        <v>2628.48</v>
      </c>
      <c r="K189" s="39">
        <f t="shared" si="134"/>
        <v>1349.76</v>
      </c>
      <c r="L189" s="39">
        <f t="shared" si="134"/>
        <v>2557.44</v>
      </c>
      <c r="M189" s="39">
        <f t="shared" si="134"/>
        <v>1918.08</v>
      </c>
      <c r="N189" s="39">
        <f t="shared" si="134"/>
        <v>3480.96</v>
      </c>
      <c r="O189" s="39">
        <f t="shared" si="134"/>
        <v>3267.84</v>
      </c>
      <c r="P189" s="39">
        <f t="shared" si="134"/>
        <v>1207.68</v>
      </c>
      <c r="Q189" s="39">
        <f t="shared" si="134"/>
        <v>0</v>
      </c>
      <c r="R189" s="39">
        <f t="shared" si="134"/>
        <v>2557.44</v>
      </c>
      <c r="S189" s="39">
        <f t="shared" si="134"/>
        <v>0</v>
      </c>
      <c r="T189" s="39">
        <f t="shared" si="134"/>
        <v>1349.76</v>
      </c>
      <c r="U189" s="39">
        <f t="shared" si="134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5"/>
      <c r="AJ189" s="2"/>
      <c r="AK189" s="2"/>
      <c r="AL189" s="2"/>
      <c r="AM189" s="2"/>
      <c r="AN189" s="2"/>
      <c r="AO189" s="2"/>
      <c r="AP189" s="5"/>
      <c r="AQ189" s="5"/>
    </row>
    <row r="190">
      <c r="A190" s="2"/>
      <c r="B190" s="5"/>
      <c r="C190" s="2"/>
      <c r="D190" s="2" t="str">
        <f t="shared" si="118"/>
        <v>Stock 17</v>
      </c>
      <c r="E190" s="2"/>
      <c r="F190" s="2"/>
      <c r="G190" s="2"/>
      <c r="H190" s="2" t="str">
        <f t="shared" si="119"/>
        <v>Slow Burn</v>
      </c>
      <c r="I190" s="2"/>
      <c r="J190" s="39">
        <f t="shared" ref="J190:U190" si="135">if($H$190="",0,if($H$190="Sky Rockets",J37*$W$10*$AC$37,if($H$190="Steady Eddy",J37*$X$10*$AC$37,J37*$Y$10*$AC$37)))</f>
        <v>2573.424</v>
      </c>
      <c r="K190" s="39">
        <f t="shared" si="135"/>
        <v>786.324</v>
      </c>
      <c r="L190" s="39">
        <f t="shared" si="135"/>
        <v>2501.94</v>
      </c>
      <c r="M190" s="39">
        <f t="shared" si="135"/>
        <v>1858.584</v>
      </c>
      <c r="N190" s="39">
        <f t="shared" si="135"/>
        <v>2930.844</v>
      </c>
      <c r="O190" s="39">
        <f t="shared" si="135"/>
        <v>3216.78</v>
      </c>
      <c r="P190" s="39">
        <f t="shared" si="135"/>
        <v>1143.744</v>
      </c>
      <c r="Q190" s="39">
        <f t="shared" si="135"/>
        <v>0</v>
      </c>
      <c r="R190" s="39">
        <f t="shared" si="135"/>
        <v>1787.1</v>
      </c>
      <c r="S190" s="39">
        <f t="shared" si="135"/>
        <v>428.904</v>
      </c>
      <c r="T190" s="39">
        <f t="shared" si="135"/>
        <v>786.324</v>
      </c>
      <c r="U190" s="39">
        <f t="shared" si="135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5"/>
      <c r="AJ190" s="2"/>
      <c r="AK190" s="2"/>
      <c r="AL190" s="2"/>
      <c r="AM190" s="2"/>
      <c r="AN190" s="2"/>
      <c r="AO190" s="2"/>
      <c r="AP190" s="5"/>
      <c r="AQ190" s="5"/>
    </row>
    <row r="191">
      <c r="A191" s="2"/>
      <c r="B191" s="5"/>
      <c r="C191" s="2"/>
      <c r="D191" s="2" t="str">
        <f t="shared" si="118"/>
        <v>Stock 18</v>
      </c>
      <c r="E191" s="2"/>
      <c r="F191" s="2"/>
      <c r="G191" s="2"/>
      <c r="H191" s="2" t="str">
        <f t="shared" si="119"/>
        <v>Slow Burn</v>
      </c>
      <c r="I191" s="2"/>
      <c r="J191" s="39">
        <f t="shared" ref="J191:U191" si="136">if($H$191="",0,if($H$191="Sky Rockets",J38*$W$10*$AC$38,if($H$191="Steady Eddy",J38*$X$10*$AC$38,J38*$Y$10*$AC$38)))</f>
        <v>2301.696</v>
      </c>
      <c r="K191" s="39">
        <f t="shared" si="136"/>
        <v>863.136</v>
      </c>
      <c r="L191" s="39">
        <f t="shared" si="136"/>
        <v>2445.552</v>
      </c>
      <c r="M191" s="39">
        <f t="shared" si="136"/>
        <v>1582.416</v>
      </c>
      <c r="N191" s="39">
        <f t="shared" si="136"/>
        <v>3020.976</v>
      </c>
      <c r="O191" s="39">
        <f t="shared" si="136"/>
        <v>3164.832</v>
      </c>
      <c r="P191" s="39">
        <f t="shared" si="136"/>
        <v>863.136</v>
      </c>
      <c r="Q191" s="39">
        <f t="shared" si="136"/>
        <v>863.136</v>
      </c>
      <c r="R191" s="39">
        <f t="shared" si="136"/>
        <v>1726.272</v>
      </c>
      <c r="S191" s="39">
        <f t="shared" si="136"/>
        <v>143.856</v>
      </c>
      <c r="T191" s="39">
        <f t="shared" si="136"/>
        <v>863.136</v>
      </c>
      <c r="U191" s="39">
        <f t="shared" si="136"/>
        <v>287.712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5"/>
      <c r="AJ191" s="2"/>
      <c r="AK191" s="2"/>
      <c r="AL191" s="2"/>
      <c r="AM191" s="2"/>
      <c r="AN191" s="2"/>
      <c r="AO191" s="2"/>
      <c r="AP191" s="5"/>
      <c r="AQ191" s="5"/>
    </row>
    <row r="192">
      <c r="A192" s="2"/>
      <c r="B192" s="5"/>
      <c r="C192" s="2"/>
      <c r="D192" s="2" t="str">
        <f t="shared" si="118"/>
        <v>Stock 19</v>
      </c>
      <c r="E192" s="2"/>
      <c r="F192" s="2"/>
      <c r="G192" s="2"/>
      <c r="H192" s="2" t="str">
        <f t="shared" si="119"/>
        <v>SkyRockets</v>
      </c>
      <c r="I192" s="2"/>
      <c r="J192" s="39">
        <f t="shared" ref="J192:U192" si="137">if($H$192="",0,if($H$192="Sky Rockets",J39*$W$10*$AC$39,if($H$192="Steady Eddy",J39*$X$10*$AC$39,J39*$Y$10*$AC$39)))</f>
        <v>2243.532</v>
      </c>
      <c r="K192" s="39">
        <f t="shared" si="137"/>
        <v>1013.208</v>
      </c>
      <c r="L192" s="39">
        <f t="shared" si="137"/>
        <v>2677.764</v>
      </c>
      <c r="M192" s="39">
        <f t="shared" si="137"/>
        <v>1519.812</v>
      </c>
      <c r="N192" s="39">
        <f t="shared" si="137"/>
        <v>3184.368</v>
      </c>
      <c r="O192" s="39">
        <f t="shared" si="137"/>
        <v>3401.484</v>
      </c>
      <c r="P192" s="39">
        <f t="shared" si="137"/>
        <v>796.092</v>
      </c>
      <c r="Q192" s="39">
        <f t="shared" si="137"/>
        <v>1013.208</v>
      </c>
      <c r="R192" s="39">
        <f t="shared" si="137"/>
        <v>1230.324</v>
      </c>
      <c r="S192" s="39">
        <f t="shared" si="137"/>
        <v>72.372</v>
      </c>
      <c r="T192" s="39">
        <f t="shared" si="137"/>
        <v>1013.208</v>
      </c>
      <c r="U192" s="39">
        <f t="shared" si="137"/>
        <v>506.604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5"/>
      <c r="AJ192" s="2"/>
      <c r="AK192" s="2"/>
      <c r="AL192" s="2"/>
      <c r="AM192" s="2"/>
      <c r="AN192" s="2"/>
      <c r="AO192" s="2"/>
      <c r="AP192" s="5"/>
      <c r="AQ192" s="5"/>
    </row>
    <row r="193">
      <c r="A193" s="2"/>
      <c r="B193" s="5"/>
      <c r="C193" s="2"/>
      <c r="D193" s="2" t="str">
        <f t="shared" si="118"/>
        <v>Stock 20</v>
      </c>
      <c r="E193" s="2"/>
      <c r="F193" s="2"/>
      <c r="G193" s="2"/>
      <c r="H193" s="2" t="str">
        <f t="shared" si="119"/>
        <v>Steady Eddy</v>
      </c>
      <c r="I193" s="2"/>
      <c r="J193" s="39">
        <f t="shared" ref="J193:U193" si="138">if($H$193="",0,if($H$193="Sky Rockets",(J40*$W$10)*$AC$40,if($H$193="Steady Eddy",(J40*$X$10)*$AC$40,(J40*$Y$10)*$AC$40)))</f>
        <v>3713.616</v>
      </c>
      <c r="K193" s="39">
        <f t="shared" si="138"/>
        <v>1966.032</v>
      </c>
      <c r="L193" s="39">
        <f t="shared" si="138"/>
        <v>4150.512</v>
      </c>
      <c r="M193" s="39">
        <f t="shared" si="138"/>
        <v>2621.376</v>
      </c>
      <c r="N193" s="39">
        <f t="shared" si="138"/>
        <v>5242.752</v>
      </c>
      <c r="O193" s="39">
        <f t="shared" si="138"/>
        <v>5242.752</v>
      </c>
      <c r="P193" s="39">
        <f t="shared" si="138"/>
        <v>1529.136</v>
      </c>
      <c r="Q193" s="39">
        <f t="shared" si="138"/>
        <v>1966.032</v>
      </c>
      <c r="R193" s="39">
        <f t="shared" si="138"/>
        <v>4150.512</v>
      </c>
      <c r="S193" s="39">
        <f t="shared" si="138"/>
        <v>436.896</v>
      </c>
      <c r="T193" s="39">
        <f t="shared" si="138"/>
        <v>1966.032</v>
      </c>
      <c r="U193" s="39">
        <f t="shared" si="138"/>
        <v>873.792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5"/>
      <c r="AJ193" s="2"/>
      <c r="AK193" s="2"/>
      <c r="AL193" s="2"/>
      <c r="AM193" s="2"/>
      <c r="AN193" s="2"/>
      <c r="AO193" s="2"/>
      <c r="AP193" s="5"/>
      <c r="AQ193" s="5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5"/>
      <c r="AJ194" s="2"/>
      <c r="AK194" s="2"/>
      <c r="AL194" s="2"/>
      <c r="AM194" s="2"/>
      <c r="AN194" s="2"/>
      <c r="AO194" s="2"/>
      <c r="AP194" s="5"/>
      <c r="AQ194" s="5"/>
    </row>
    <row r="195">
      <c r="A195" s="2"/>
      <c r="B195" s="5"/>
      <c r="C195" s="2"/>
      <c r="D195" s="2" t="str">
        <f>D171</f>
        <v/>
      </c>
      <c r="E195" s="2"/>
      <c r="F195" s="2"/>
      <c r="G195" s="2"/>
      <c r="H195" s="2">
        <f>Y15</f>
        <v>120</v>
      </c>
      <c r="I195" s="2"/>
      <c r="J195" s="78">
        <f t="shared" ref="J195:U195" si="139">sum(J174:J193)</f>
        <v>57407.646</v>
      </c>
      <c r="K195" s="78">
        <f t="shared" si="139"/>
        <v>20923.278</v>
      </c>
      <c r="L195" s="78">
        <f t="shared" si="139"/>
        <v>51869.412</v>
      </c>
      <c r="M195" s="78">
        <f t="shared" si="139"/>
        <v>28350.732</v>
      </c>
      <c r="N195" s="78">
        <f t="shared" si="139"/>
        <v>43899.834</v>
      </c>
      <c r="O195" s="78">
        <f t="shared" si="139"/>
        <v>54455.934</v>
      </c>
      <c r="P195" s="78">
        <f t="shared" si="139"/>
        <v>15816.39</v>
      </c>
      <c r="Q195" s="78">
        <f t="shared" si="139"/>
        <v>15901.194</v>
      </c>
      <c r="R195" s="78">
        <f t="shared" si="139"/>
        <v>42745.878</v>
      </c>
      <c r="S195" s="78">
        <f t="shared" si="139"/>
        <v>17978.226</v>
      </c>
      <c r="T195" s="78">
        <f t="shared" si="139"/>
        <v>18729.474</v>
      </c>
      <c r="U195" s="78">
        <f t="shared" si="139"/>
        <v>7159.5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5"/>
      <c r="AJ195" s="2"/>
      <c r="AK195" s="2"/>
      <c r="AL195" s="2"/>
      <c r="AM195" s="2"/>
      <c r="AN195" s="2"/>
      <c r="AO195" s="2"/>
      <c r="AP195" s="5"/>
      <c r="AQ195" s="5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5"/>
      <c r="AJ196" s="2"/>
      <c r="AK196" s="2"/>
      <c r="AL196" s="2"/>
      <c r="AM196" s="2"/>
      <c r="AN196" s="2"/>
      <c r="AO196" s="2"/>
      <c r="AP196" s="5"/>
      <c r="AQ196" s="5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5"/>
      <c r="AJ197" s="2"/>
      <c r="AK197" s="2"/>
      <c r="AL197" s="2"/>
      <c r="AM197" s="2"/>
      <c r="AN197" s="2"/>
      <c r="AO197" s="2"/>
      <c r="AP197" s="5"/>
      <c r="AQ197" s="5"/>
    </row>
    <row r="198">
      <c r="A198" s="2"/>
      <c r="B198" s="5"/>
      <c r="C198" s="2"/>
      <c r="D198" s="2"/>
      <c r="E198" s="2"/>
      <c r="F198" s="2"/>
      <c r="G198" s="13"/>
      <c r="H198" s="13" t="s">
        <v>110</v>
      </c>
      <c r="I198" s="2"/>
      <c r="J198" s="39">
        <f t="shared" ref="J198:U198" si="140">sum(J200:J203)</f>
        <v>43020.75</v>
      </c>
      <c r="K198" s="39">
        <f t="shared" si="140"/>
        <v>107790.42</v>
      </c>
      <c r="L198" s="39">
        <f t="shared" si="140"/>
        <v>159703.821</v>
      </c>
      <c r="M198" s="39">
        <f t="shared" si="140"/>
        <v>189363.006</v>
      </c>
      <c r="N198" s="39">
        <f t="shared" si="140"/>
        <v>175482.405</v>
      </c>
      <c r="O198" s="39">
        <f t="shared" si="140"/>
        <v>210518.787</v>
      </c>
      <c r="P198" s="39">
        <f t="shared" si="140"/>
        <v>186217.317</v>
      </c>
      <c r="Q198" s="39">
        <f t="shared" si="140"/>
        <v>160871.793</v>
      </c>
      <c r="R198" s="39">
        <f t="shared" si="140"/>
        <v>135443.382</v>
      </c>
      <c r="S198" s="39">
        <f t="shared" si="140"/>
        <v>119323.074</v>
      </c>
      <c r="T198" s="39">
        <f t="shared" si="140"/>
        <v>116245.665</v>
      </c>
      <c r="U198" s="39">
        <f t="shared" si="140"/>
        <v>97757.649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5"/>
      <c r="AJ198" s="2"/>
      <c r="AK198" s="2"/>
      <c r="AL198" s="2"/>
      <c r="AM198" s="2"/>
      <c r="AN198" s="2"/>
      <c r="AO198" s="2"/>
      <c r="AP198" s="5"/>
      <c r="AQ198" s="5"/>
    </row>
    <row r="199">
      <c r="A199" s="2"/>
      <c r="B199" s="5"/>
      <c r="C199" s="2"/>
      <c r="D199" s="2"/>
      <c r="E199" s="2"/>
      <c r="F199" s="2"/>
      <c r="G199" s="13"/>
      <c r="H199" s="13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5"/>
      <c r="AJ199" s="2"/>
      <c r="AK199" s="2"/>
      <c r="AL199" s="2"/>
      <c r="AM199" s="2"/>
      <c r="AN199" s="2"/>
      <c r="AO199" s="2"/>
      <c r="AP199" s="5"/>
      <c r="AQ199" s="5"/>
    </row>
    <row r="200">
      <c r="A200" s="2"/>
      <c r="B200" s="5"/>
      <c r="C200" s="2"/>
      <c r="D200" s="2"/>
      <c r="E200" s="2"/>
      <c r="F200" s="2"/>
      <c r="G200" s="13">
        <v>1.0</v>
      </c>
      <c r="H200" s="13">
        <v>30.0</v>
      </c>
      <c r="I200" s="2"/>
      <c r="J200" s="39">
        <f t="shared" ref="J200:U200" si="141">J124</f>
        <v>43020.75</v>
      </c>
      <c r="K200" s="39">
        <f t="shared" si="141"/>
        <v>15755.655</v>
      </c>
      <c r="L200" s="39">
        <f t="shared" si="141"/>
        <v>39710.475</v>
      </c>
      <c r="M200" s="39">
        <f t="shared" si="141"/>
        <v>20265.495</v>
      </c>
      <c r="N200" s="39">
        <f t="shared" si="141"/>
        <v>33793.59</v>
      </c>
      <c r="O200" s="39">
        <f t="shared" si="141"/>
        <v>41216.7</v>
      </c>
      <c r="P200" s="39">
        <f t="shared" si="141"/>
        <v>11839.47</v>
      </c>
      <c r="Q200" s="39">
        <f t="shared" si="141"/>
        <v>12240.75</v>
      </c>
      <c r="R200" s="39">
        <f t="shared" si="141"/>
        <v>32494.845</v>
      </c>
      <c r="S200" s="39">
        <f t="shared" si="141"/>
        <v>14649</v>
      </c>
      <c r="T200" s="39">
        <f t="shared" si="141"/>
        <v>13775.19</v>
      </c>
      <c r="U200" s="39">
        <f t="shared" si="141"/>
        <v>5379.66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5"/>
      <c r="AJ200" s="2"/>
      <c r="AK200" s="2"/>
      <c r="AL200" s="2"/>
      <c r="AM200" s="2"/>
      <c r="AN200" s="2"/>
      <c r="AO200" s="2"/>
      <c r="AP200" s="5"/>
      <c r="AQ200" s="5"/>
    </row>
    <row r="201">
      <c r="A201" s="2"/>
      <c r="B201" s="5"/>
      <c r="C201" s="2"/>
      <c r="D201" s="2"/>
      <c r="E201" s="2"/>
      <c r="F201" s="2"/>
      <c r="G201" s="13">
        <v>2.0</v>
      </c>
      <c r="H201" s="13">
        <v>60.0</v>
      </c>
      <c r="I201" s="2"/>
      <c r="J201" s="4"/>
      <c r="K201" s="39">
        <f t="shared" ref="K201:W201" si="142">J147</f>
        <v>92034.765</v>
      </c>
      <c r="L201" s="39">
        <f t="shared" si="142"/>
        <v>33315.93</v>
      </c>
      <c r="M201" s="39">
        <f t="shared" si="142"/>
        <v>80635.905</v>
      </c>
      <c r="N201" s="39">
        <f t="shared" si="142"/>
        <v>48392.145</v>
      </c>
      <c r="O201" s="39">
        <f t="shared" si="142"/>
        <v>67692.915</v>
      </c>
      <c r="P201" s="39">
        <f t="shared" si="142"/>
        <v>86078.835</v>
      </c>
      <c r="Q201" s="39">
        <f t="shared" si="142"/>
        <v>25396.065</v>
      </c>
      <c r="R201" s="39">
        <f t="shared" si="142"/>
        <v>24518.835</v>
      </c>
      <c r="S201" s="39">
        <f t="shared" si="142"/>
        <v>67144.86</v>
      </c>
      <c r="T201" s="39">
        <f t="shared" si="142"/>
        <v>25293.465</v>
      </c>
      <c r="U201" s="39">
        <f t="shared" si="142"/>
        <v>30808.215</v>
      </c>
      <c r="V201" s="39">
        <f t="shared" si="142"/>
        <v>11434.77</v>
      </c>
      <c r="W201" s="4" t="str">
        <f t="shared" si="142"/>
        <v/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5"/>
      <c r="AJ201" s="2"/>
      <c r="AK201" s="2"/>
      <c r="AL201" s="2"/>
      <c r="AM201" s="2"/>
      <c r="AN201" s="2"/>
      <c r="AO201" s="2"/>
      <c r="AP201" s="5"/>
      <c r="AQ201" s="5"/>
    </row>
    <row r="202">
      <c r="A202" s="2"/>
      <c r="B202" s="5"/>
      <c r="C202" s="2"/>
      <c r="D202" s="2"/>
      <c r="E202" s="2"/>
      <c r="F202" s="2"/>
      <c r="G202" s="13">
        <v>3.0</v>
      </c>
      <c r="H202" s="13">
        <v>90.0</v>
      </c>
      <c r="I202" s="4"/>
      <c r="J202" s="4"/>
      <c r="K202" s="4"/>
      <c r="L202" s="39">
        <f t="shared" ref="L202:W202" si="143">J171</f>
        <v>86677.416</v>
      </c>
      <c r="M202" s="39">
        <f t="shared" si="143"/>
        <v>31053.96</v>
      </c>
      <c r="N202" s="39">
        <f t="shared" si="143"/>
        <v>72373.392</v>
      </c>
      <c r="O202" s="39">
        <f t="shared" si="143"/>
        <v>49739.76</v>
      </c>
      <c r="P202" s="39">
        <f t="shared" si="143"/>
        <v>59948.28</v>
      </c>
      <c r="Q202" s="39">
        <f t="shared" si="143"/>
        <v>79335.144</v>
      </c>
      <c r="R202" s="39">
        <f t="shared" si="143"/>
        <v>23973.768</v>
      </c>
      <c r="S202" s="39">
        <f t="shared" si="143"/>
        <v>21712.824</v>
      </c>
      <c r="T202" s="39">
        <f t="shared" si="143"/>
        <v>61275.816</v>
      </c>
      <c r="U202" s="39">
        <f t="shared" si="143"/>
        <v>18823.896</v>
      </c>
      <c r="V202" s="39">
        <f t="shared" si="143"/>
        <v>30121.56</v>
      </c>
      <c r="W202" s="39">
        <f t="shared" si="143"/>
        <v>10707.984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5"/>
      <c r="AJ202" s="2"/>
      <c r="AK202" s="2"/>
      <c r="AL202" s="2"/>
      <c r="AM202" s="2"/>
      <c r="AN202" s="2"/>
      <c r="AO202" s="2"/>
      <c r="AP202" s="5"/>
      <c r="AQ202" s="5"/>
    </row>
    <row r="203">
      <c r="A203" s="2"/>
      <c r="B203" s="5"/>
      <c r="C203" s="2"/>
      <c r="D203" s="2"/>
      <c r="E203" s="2"/>
      <c r="F203" s="2"/>
      <c r="G203" s="13">
        <v>4.0</v>
      </c>
      <c r="H203" s="13">
        <v>120.0</v>
      </c>
      <c r="I203" s="4"/>
      <c r="J203" s="4"/>
      <c r="K203" s="4"/>
      <c r="L203" s="4"/>
      <c r="M203" s="39">
        <f t="shared" ref="M203:X203" si="144">J195</f>
        <v>57407.646</v>
      </c>
      <c r="N203" s="39">
        <f t="shared" si="144"/>
        <v>20923.278</v>
      </c>
      <c r="O203" s="39">
        <f t="shared" si="144"/>
        <v>51869.412</v>
      </c>
      <c r="P203" s="39">
        <f t="shared" si="144"/>
        <v>28350.732</v>
      </c>
      <c r="Q203" s="39">
        <f t="shared" si="144"/>
        <v>43899.834</v>
      </c>
      <c r="R203" s="39">
        <f t="shared" si="144"/>
        <v>54455.934</v>
      </c>
      <c r="S203" s="39">
        <f t="shared" si="144"/>
        <v>15816.39</v>
      </c>
      <c r="T203" s="39">
        <f t="shared" si="144"/>
        <v>15901.194</v>
      </c>
      <c r="U203" s="39">
        <f t="shared" si="144"/>
        <v>42745.878</v>
      </c>
      <c r="V203" s="39">
        <f t="shared" si="144"/>
        <v>17978.226</v>
      </c>
      <c r="W203" s="39">
        <f t="shared" si="144"/>
        <v>18729.474</v>
      </c>
      <c r="X203" s="39">
        <f t="shared" si="144"/>
        <v>7159.5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5"/>
      <c r="AJ203" s="2"/>
      <c r="AK203" s="2"/>
      <c r="AL203" s="2"/>
      <c r="AM203" s="2"/>
      <c r="AN203" s="2"/>
      <c r="AO203" s="2"/>
      <c r="AP203" s="5"/>
      <c r="AQ203" s="5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5"/>
      <c r="AJ204" s="2"/>
      <c r="AK204" s="2"/>
      <c r="AL204" s="2"/>
      <c r="AM204" s="2"/>
      <c r="AN204" s="2"/>
      <c r="AO204" s="2"/>
      <c r="AP204" s="5"/>
      <c r="AQ204" s="5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9">
        <f t="shared" ref="M205:X205" si="145">M203+L202+K201+J200</f>
        <v>279140.577</v>
      </c>
      <c r="N205" s="39">
        <f t="shared" si="145"/>
        <v>101048.823</v>
      </c>
      <c r="O205" s="39">
        <f t="shared" si="145"/>
        <v>244589.184</v>
      </c>
      <c r="P205" s="39">
        <f t="shared" si="145"/>
        <v>146748.132</v>
      </c>
      <c r="Q205" s="39">
        <f t="shared" si="145"/>
        <v>205334.619</v>
      </c>
      <c r="R205" s="39">
        <f t="shared" si="145"/>
        <v>261086.613</v>
      </c>
      <c r="S205" s="39">
        <f t="shared" si="145"/>
        <v>77025.693</v>
      </c>
      <c r="T205" s="39">
        <f t="shared" si="145"/>
        <v>74373.603</v>
      </c>
      <c r="U205" s="39">
        <f t="shared" si="145"/>
        <v>203661.399</v>
      </c>
      <c r="V205" s="39">
        <f t="shared" si="145"/>
        <v>76744.587</v>
      </c>
      <c r="W205" s="39">
        <f t="shared" si="145"/>
        <v>93434.439</v>
      </c>
      <c r="X205" s="39">
        <f t="shared" si="145"/>
        <v>34681.914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5"/>
      <c r="AJ205" s="2"/>
      <c r="AK205" s="2"/>
      <c r="AL205" s="2"/>
      <c r="AM205" s="2"/>
      <c r="AN205" s="2"/>
      <c r="AO205" s="2"/>
      <c r="AP205" s="5"/>
      <c r="AQ205" s="5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5"/>
      <c r="AJ206" s="2"/>
      <c r="AK206" s="2"/>
      <c r="AL206" s="2"/>
      <c r="AM206" s="2"/>
      <c r="AN206" s="2"/>
      <c r="AO206" s="2"/>
      <c r="AP206" s="5"/>
      <c r="AQ206" s="5"/>
    </row>
    <row r="207">
      <c r="A207" s="2"/>
      <c r="B207" s="5"/>
      <c r="C207" s="2"/>
      <c r="D207" s="2"/>
      <c r="E207" s="2"/>
      <c r="F207" s="2"/>
      <c r="G207" s="2"/>
      <c r="H207" s="124" t="s">
        <v>111</v>
      </c>
      <c r="I207" s="125"/>
      <c r="J207" s="126">
        <f t="shared" ref="J207:U207" si="146">if(J44="Sea",$K$3,if(J44="Air",$L$3,if(J44="Express",$M$3,0)))</f>
        <v>149</v>
      </c>
      <c r="K207" s="126">
        <f t="shared" si="146"/>
        <v>154</v>
      </c>
      <c r="L207" s="126">
        <f t="shared" si="146"/>
        <v>144</v>
      </c>
      <c r="M207" s="126">
        <f t="shared" si="146"/>
        <v>144</v>
      </c>
      <c r="N207" s="126">
        <f t="shared" si="146"/>
        <v>154</v>
      </c>
      <c r="O207" s="126">
        <f t="shared" si="146"/>
        <v>149</v>
      </c>
      <c r="P207" s="126">
        <f t="shared" si="146"/>
        <v>144</v>
      </c>
      <c r="Q207" s="126">
        <f t="shared" si="146"/>
        <v>154</v>
      </c>
      <c r="R207" s="126">
        <f t="shared" si="146"/>
        <v>149</v>
      </c>
      <c r="S207" s="126">
        <f t="shared" si="146"/>
        <v>144</v>
      </c>
      <c r="T207" s="126">
        <f t="shared" si="146"/>
        <v>154</v>
      </c>
      <c r="U207" s="126">
        <f t="shared" si="146"/>
        <v>144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5"/>
      <c r="AJ207" s="2"/>
      <c r="AK207" s="2"/>
      <c r="AL207" s="2"/>
      <c r="AM207" s="2"/>
      <c r="AN207" s="2"/>
      <c r="AO207" s="2"/>
      <c r="AP207" s="5"/>
      <c r="AQ207" s="5"/>
    </row>
    <row r="208">
      <c r="A208" s="2"/>
      <c r="B208" s="5"/>
      <c r="C208" s="2"/>
      <c r="D208" s="3" t="s">
        <v>112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5"/>
      <c r="AJ208" s="2"/>
      <c r="AK208" s="2"/>
      <c r="AL208" s="2"/>
      <c r="AM208" s="2"/>
      <c r="AN208" s="2"/>
      <c r="AO208" s="2"/>
      <c r="AP208" s="5"/>
      <c r="AQ208" s="5"/>
    </row>
    <row r="209">
      <c r="A209" s="2"/>
      <c r="B209" s="5"/>
      <c r="C209" s="2"/>
      <c r="D209" s="3" t="s">
        <v>113</v>
      </c>
      <c r="H209" s="127">
        <v>30.0</v>
      </c>
      <c r="I209" s="128"/>
      <c r="J209" s="129">
        <f t="shared" ref="J209:U209" si="147">if(J$207&lt;=$H209,J$200,0)</f>
        <v>0</v>
      </c>
      <c r="K209" s="129">
        <f t="shared" si="147"/>
        <v>0</v>
      </c>
      <c r="L209" s="129">
        <f t="shared" si="147"/>
        <v>0</v>
      </c>
      <c r="M209" s="129">
        <f t="shared" si="147"/>
        <v>0</v>
      </c>
      <c r="N209" s="129">
        <f t="shared" si="147"/>
        <v>0</v>
      </c>
      <c r="O209" s="129">
        <f t="shared" si="147"/>
        <v>0</v>
      </c>
      <c r="P209" s="129">
        <f t="shared" si="147"/>
        <v>0</v>
      </c>
      <c r="Q209" s="129">
        <f t="shared" si="147"/>
        <v>0</v>
      </c>
      <c r="R209" s="129">
        <f t="shared" si="147"/>
        <v>0</v>
      </c>
      <c r="S209" s="129">
        <f t="shared" si="147"/>
        <v>0</v>
      </c>
      <c r="T209" s="129">
        <f t="shared" si="147"/>
        <v>0</v>
      </c>
      <c r="U209" s="129">
        <f t="shared" si="147"/>
        <v>0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5"/>
      <c r="AJ209" s="2"/>
      <c r="AK209" s="2"/>
      <c r="AL209" s="2"/>
      <c r="AM209" s="2"/>
      <c r="AN209" s="2"/>
      <c r="AO209" s="2"/>
      <c r="AP209" s="5"/>
      <c r="AQ209" s="5"/>
    </row>
    <row r="210">
      <c r="A210" s="2"/>
      <c r="B210" s="5"/>
      <c r="C210" s="2"/>
      <c r="D210" s="2"/>
      <c r="E210" s="2"/>
      <c r="F210" s="2"/>
      <c r="G210" s="2"/>
      <c r="H210" s="127">
        <v>60.0</v>
      </c>
      <c r="I210" s="128"/>
      <c r="J210" s="129"/>
      <c r="K210" s="129">
        <f t="shared" ref="K210:V210" si="148">if(and(J$207&gt;$H$209,J$207&lt;=$H$210),J$200,0)</f>
        <v>0</v>
      </c>
      <c r="L210" s="129">
        <f t="shared" si="148"/>
        <v>0</v>
      </c>
      <c r="M210" s="129">
        <f t="shared" si="148"/>
        <v>0</v>
      </c>
      <c r="N210" s="129">
        <f t="shared" si="148"/>
        <v>0</v>
      </c>
      <c r="O210" s="129">
        <f t="shared" si="148"/>
        <v>0</v>
      </c>
      <c r="P210" s="129">
        <f t="shared" si="148"/>
        <v>0</v>
      </c>
      <c r="Q210" s="129">
        <f t="shared" si="148"/>
        <v>0</v>
      </c>
      <c r="R210" s="129">
        <f t="shared" si="148"/>
        <v>0</v>
      </c>
      <c r="S210" s="129">
        <f t="shared" si="148"/>
        <v>0</v>
      </c>
      <c r="T210" s="129">
        <f t="shared" si="148"/>
        <v>0</v>
      </c>
      <c r="U210" s="129">
        <f t="shared" si="148"/>
        <v>0</v>
      </c>
      <c r="V210" s="129">
        <f t="shared" si="148"/>
        <v>0</v>
      </c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2"/>
      <c r="AH210" s="2"/>
      <c r="AI210" s="5"/>
      <c r="AJ210" s="2"/>
      <c r="AK210" s="2"/>
      <c r="AL210" s="2"/>
      <c r="AM210" s="2"/>
      <c r="AN210" s="2"/>
      <c r="AO210" s="2"/>
      <c r="AP210" s="5"/>
      <c r="AQ210" s="5"/>
    </row>
    <row r="211">
      <c r="A211" s="2"/>
      <c r="B211" s="5"/>
      <c r="C211" s="2"/>
      <c r="D211" s="2"/>
      <c r="E211" s="2"/>
      <c r="F211" s="2"/>
      <c r="G211" s="2"/>
      <c r="H211" s="127">
        <v>90.0</v>
      </c>
      <c r="I211" s="129"/>
      <c r="J211" s="129"/>
      <c r="K211" s="129"/>
      <c r="L211" s="129">
        <f t="shared" ref="L211:W211" si="149">if(and(J$207&gt;$H$210,J$207&lt;=$H$211),J$200,0)</f>
        <v>0</v>
      </c>
      <c r="M211" s="129">
        <f t="shared" si="149"/>
        <v>0</v>
      </c>
      <c r="N211" s="129">
        <f t="shared" si="149"/>
        <v>0</v>
      </c>
      <c r="O211" s="129">
        <f t="shared" si="149"/>
        <v>0</v>
      </c>
      <c r="P211" s="129">
        <f t="shared" si="149"/>
        <v>0</v>
      </c>
      <c r="Q211" s="129">
        <f t="shared" si="149"/>
        <v>0</v>
      </c>
      <c r="R211" s="129">
        <f t="shared" si="149"/>
        <v>0</v>
      </c>
      <c r="S211" s="129">
        <f t="shared" si="149"/>
        <v>0</v>
      </c>
      <c r="T211" s="129">
        <f t="shared" si="149"/>
        <v>0</v>
      </c>
      <c r="U211" s="129">
        <f t="shared" si="149"/>
        <v>0</v>
      </c>
      <c r="V211" s="129">
        <f t="shared" si="149"/>
        <v>0</v>
      </c>
      <c r="W211" s="129">
        <f t="shared" si="149"/>
        <v>0</v>
      </c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2"/>
      <c r="AH211" s="2"/>
      <c r="AI211" s="5"/>
      <c r="AJ211" s="2"/>
      <c r="AK211" s="2"/>
      <c r="AL211" s="2"/>
      <c r="AM211" s="2"/>
      <c r="AN211" s="2"/>
      <c r="AO211" s="2"/>
      <c r="AP211" s="5"/>
      <c r="AQ211" s="5"/>
    </row>
    <row r="212">
      <c r="A212" s="2"/>
      <c r="B212" s="5"/>
      <c r="C212" s="2"/>
      <c r="D212" s="2"/>
      <c r="E212" s="2"/>
      <c r="F212" s="2"/>
      <c r="G212" s="2"/>
      <c r="H212" s="127">
        <v>120.0</v>
      </c>
      <c r="I212" s="129"/>
      <c r="J212" s="129"/>
      <c r="K212" s="129"/>
      <c r="L212" s="129"/>
      <c r="M212" s="129">
        <f t="shared" ref="M212:X212" si="150">if(and(J$207&gt;$H$211,J$207&lt;=$H$212),J$200,0)</f>
        <v>0</v>
      </c>
      <c r="N212" s="129">
        <f t="shared" si="150"/>
        <v>0</v>
      </c>
      <c r="O212" s="129">
        <f t="shared" si="150"/>
        <v>0</v>
      </c>
      <c r="P212" s="129">
        <f t="shared" si="150"/>
        <v>0</v>
      </c>
      <c r="Q212" s="129">
        <f t="shared" si="150"/>
        <v>0</v>
      </c>
      <c r="R212" s="129">
        <f t="shared" si="150"/>
        <v>0</v>
      </c>
      <c r="S212" s="129">
        <f t="shared" si="150"/>
        <v>0</v>
      </c>
      <c r="T212" s="129">
        <f t="shared" si="150"/>
        <v>0</v>
      </c>
      <c r="U212" s="129">
        <f t="shared" si="150"/>
        <v>0</v>
      </c>
      <c r="V212" s="129">
        <f t="shared" si="150"/>
        <v>0</v>
      </c>
      <c r="W212" s="129">
        <f t="shared" si="150"/>
        <v>0</v>
      </c>
      <c r="X212" s="129">
        <f t="shared" si="150"/>
        <v>0</v>
      </c>
      <c r="Y212" s="130"/>
      <c r="Z212" s="130"/>
      <c r="AA212" s="130"/>
      <c r="AB212" s="130"/>
      <c r="AC212" s="130"/>
      <c r="AD212" s="130"/>
      <c r="AE212" s="130"/>
      <c r="AF212" s="130"/>
      <c r="AG212" s="2"/>
      <c r="AH212" s="2"/>
      <c r="AI212" s="5"/>
      <c r="AJ212" s="2"/>
      <c r="AK212" s="2"/>
      <c r="AL212" s="2"/>
      <c r="AM212" s="2"/>
      <c r="AN212" s="2"/>
      <c r="AO212" s="2"/>
      <c r="AP212" s="5"/>
      <c r="AQ212" s="5"/>
    </row>
    <row r="213">
      <c r="A213" s="2"/>
      <c r="B213" s="5"/>
      <c r="C213" s="2"/>
      <c r="D213" s="2"/>
      <c r="E213" s="2"/>
      <c r="F213" s="2"/>
      <c r="G213" s="2"/>
      <c r="H213" s="127">
        <v>150.0</v>
      </c>
      <c r="I213" s="129"/>
      <c r="J213" s="129"/>
      <c r="K213" s="129"/>
      <c r="L213" s="129"/>
      <c r="M213" s="129"/>
      <c r="N213" s="131">
        <f t="shared" ref="N213:Y213" si="151">if(and(J$207&gt;$H$212,J$207&lt;=$H$213),J$200,0)</f>
        <v>43020.75</v>
      </c>
      <c r="O213" s="129">
        <f t="shared" si="151"/>
        <v>0</v>
      </c>
      <c r="P213" s="131">
        <f t="shared" si="151"/>
        <v>39710.475</v>
      </c>
      <c r="Q213" s="131">
        <f t="shared" si="151"/>
        <v>20265.495</v>
      </c>
      <c r="R213" s="129">
        <f t="shared" si="151"/>
        <v>0</v>
      </c>
      <c r="S213" s="131">
        <f t="shared" si="151"/>
        <v>41216.7</v>
      </c>
      <c r="T213" s="131">
        <f t="shared" si="151"/>
        <v>11839.47</v>
      </c>
      <c r="U213" s="129">
        <f t="shared" si="151"/>
        <v>0</v>
      </c>
      <c r="V213" s="131">
        <f t="shared" si="151"/>
        <v>32494.845</v>
      </c>
      <c r="W213" s="131">
        <f t="shared" si="151"/>
        <v>14649</v>
      </c>
      <c r="X213" s="129">
        <f t="shared" si="151"/>
        <v>0</v>
      </c>
      <c r="Y213" s="131">
        <f t="shared" si="151"/>
        <v>5379.66</v>
      </c>
      <c r="Z213" s="130"/>
      <c r="AA213" s="130"/>
      <c r="AB213" s="130"/>
      <c r="AC213" s="130"/>
      <c r="AD213" s="130"/>
      <c r="AE213" s="130"/>
      <c r="AF213" s="130"/>
      <c r="AG213" s="2"/>
      <c r="AH213" s="2"/>
      <c r="AI213" s="5"/>
      <c r="AJ213" s="2"/>
      <c r="AK213" s="2"/>
      <c r="AL213" s="2"/>
      <c r="AM213" s="2"/>
      <c r="AN213" s="2"/>
      <c r="AO213" s="2"/>
      <c r="AP213" s="5"/>
      <c r="AQ213" s="5"/>
    </row>
    <row r="214">
      <c r="A214" s="2"/>
      <c r="B214" s="5"/>
      <c r="C214" s="2"/>
      <c r="D214" s="2"/>
      <c r="E214" s="2"/>
      <c r="F214" s="2"/>
      <c r="G214" s="2"/>
      <c r="H214" s="127">
        <v>180.0</v>
      </c>
      <c r="I214" s="129"/>
      <c r="J214" s="129"/>
      <c r="K214" s="129"/>
      <c r="L214" s="129"/>
      <c r="M214" s="129"/>
      <c r="N214" s="129"/>
      <c r="O214" s="129">
        <f t="shared" ref="O214:Z214" si="152">if(and(J$207&gt;$H$213,J$207&lt;=$H$214),J$200,0)</f>
        <v>0</v>
      </c>
      <c r="P214" s="131">
        <f t="shared" si="152"/>
        <v>15755.655</v>
      </c>
      <c r="Q214" s="129">
        <f t="shared" si="152"/>
        <v>0</v>
      </c>
      <c r="R214" s="129">
        <f t="shared" si="152"/>
        <v>0</v>
      </c>
      <c r="S214" s="131">
        <f t="shared" si="152"/>
        <v>33793.59</v>
      </c>
      <c r="T214" s="129">
        <f t="shared" si="152"/>
        <v>0</v>
      </c>
      <c r="U214" s="129">
        <f t="shared" si="152"/>
        <v>0</v>
      </c>
      <c r="V214" s="131">
        <f t="shared" si="152"/>
        <v>12240.75</v>
      </c>
      <c r="W214" s="129">
        <f t="shared" si="152"/>
        <v>0</v>
      </c>
      <c r="X214" s="129">
        <f t="shared" si="152"/>
        <v>0</v>
      </c>
      <c r="Y214" s="131">
        <f t="shared" si="152"/>
        <v>13775.19</v>
      </c>
      <c r="Z214" s="129">
        <f t="shared" si="152"/>
        <v>0</v>
      </c>
      <c r="AA214" s="132"/>
      <c r="AB214" s="130"/>
      <c r="AC214" s="130"/>
      <c r="AD214" s="130"/>
      <c r="AE214" s="130"/>
      <c r="AF214" s="130"/>
      <c r="AG214" s="2"/>
      <c r="AH214" s="2"/>
      <c r="AI214" s="5"/>
      <c r="AJ214" s="2"/>
      <c r="AK214" s="2"/>
      <c r="AL214" s="2"/>
      <c r="AM214" s="2"/>
      <c r="AN214" s="2"/>
      <c r="AO214" s="2"/>
      <c r="AP214" s="5"/>
      <c r="AQ214" s="5"/>
    </row>
    <row r="215">
      <c r="A215" s="2"/>
      <c r="B215" s="5"/>
      <c r="C215" s="2"/>
      <c r="D215" s="2"/>
      <c r="E215" s="2"/>
      <c r="F215" s="2"/>
      <c r="G215" s="2"/>
      <c r="H215" s="127">
        <v>210.0</v>
      </c>
      <c r="I215" s="128"/>
      <c r="J215" s="129"/>
      <c r="K215" s="129"/>
      <c r="L215" s="129"/>
      <c r="M215" s="129"/>
      <c r="N215" s="129"/>
      <c r="O215" s="129"/>
      <c r="P215" s="129">
        <f t="shared" ref="P215:AA215" si="153">if(and(J$207&gt;$H$214,J$207&lt;=$H$215),J$200,0)</f>
        <v>0</v>
      </c>
      <c r="Q215" s="129">
        <f t="shared" si="153"/>
        <v>0</v>
      </c>
      <c r="R215" s="129">
        <f t="shared" si="153"/>
        <v>0</v>
      </c>
      <c r="S215" s="129">
        <f t="shared" si="153"/>
        <v>0</v>
      </c>
      <c r="T215" s="129">
        <f t="shared" si="153"/>
        <v>0</v>
      </c>
      <c r="U215" s="129">
        <f t="shared" si="153"/>
        <v>0</v>
      </c>
      <c r="V215" s="129">
        <f t="shared" si="153"/>
        <v>0</v>
      </c>
      <c r="W215" s="129">
        <f t="shared" si="153"/>
        <v>0</v>
      </c>
      <c r="X215" s="129">
        <f t="shared" si="153"/>
        <v>0</v>
      </c>
      <c r="Y215" s="129">
        <f t="shared" si="153"/>
        <v>0</v>
      </c>
      <c r="Z215" s="129">
        <f t="shared" si="153"/>
        <v>0</v>
      </c>
      <c r="AA215" s="129">
        <f t="shared" si="153"/>
        <v>0</v>
      </c>
      <c r="AB215" s="130"/>
      <c r="AC215" s="130"/>
      <c r="AD215" s="130"/>
      <c r="AE215" s="130"/>
      <c r="AF215" s="130"/>
      <c r="AG215" s="2"/>
      <c r="AH215" s="2"/>
      <c r="AI215" s="5"/>
      <c r="AJ215" s="2"/>
      <c r="AK215" s="2"/>
      <c r="AL215" s="2"/>
      <c r="AM215" s="2"/>
      <c r="AN215" s="2"/>
      <c r="AO215" s="2"/>
      <c r="AP215" s="5"/>
      <c r="AQ215" s="5"/>
    </row>
    <row r="216">
      <c r="A216" s="2"/>
      <c r="B216" s="5"/>
      <c r="C216" s="2"/>
      <c r="D216" s="2"/>
      <c r="E216" s="2"/>
      <c r="F216" s="2"/>
      <c r="G216" s="2"/>
      <c r="H216" s="127">
        <v>240.0</v>
      </c>
      <c r="I216" s="128"/>
      <c r="J216" s="129"/>
      <c r="K216" s="129"/>
      <c r="L216" s="129"/>
      <c r="M216" s="129"/>
      <c r="N216" s="129"/>
      <c r="O216" s="129"/>
      <c r="P216" s="129"/>
      <c r="Q216" s="129">
        <f t="shared" ref="Q216:AB216" si="154">if(and(J$207&gt;$H$215,J$207&lt;=$H$216),J$200,0)</f>
        <v>0</v>
      </c>
      <c r="R216" s="129">
        <f t="shared" si="154"/>
        <v>0</v>
      </c>
      <c r="S216" s="129">
        <f t="shared" si="154"/>
        <v>0</v>
      </c>
      <c r="T216" s="129">
        <f t="shared" si="154"/>
        <v>0</v>
      </c>
      <c r="U216" s="129">
        <f t="shared" si="154"/>
        <v>0</v>
      </c>
      <c r="V216" s="129">
        <f t="shared" si="154"/>
        <v>0</v>
      </c>
      <c r="W216" s="129">
        <f t="shared" si="154"/>
        <v>0</v>
      </c>
      <c r="X216" s="129">
        <f t="shared" si="154"/>
        <v>0</v>
      </c>
      <c r="Y216" s="129">
        <f t="shared" si="154"/>
        <v>0</v>
      </c>
      <c r="Z216" s="129">
        <f t="shared" si="154"/>
        <v>0</v>
      </c>
      <c r="AA216" s="129">
        <f t="shared" si="154"/>
        <v>0</v>
      </c>
      <c r="AB216" s="129">
        <f t="shared" si="154"/>
        <v>0</v>
      </c>
      <c r="AC216" s="130"/>
      <c r="AD216" s="130"/>
      <c r="AE216" s="130"/>
      <c r="AF216" s="130"/>
      <c r="AG216" s="2"/>
      <c r="AH216" s="2"/>
      <c r="AI216" s="5"/>
      <c r="AJ216" s="2"/>
      <c r="AK216" s="2"/>
      <c r="AL216" s="2"/>
      <c r="AM216" s="2"/>
      <c r="AN216" s="2"/>
      <c r="AO216" s="2"/>
      <c r="AP216" s="5"/>
      <c r="AQ216" s="5"/>
    </row>
    <row r="217">
      <c r="A217" s="2"/>
      <c r="B217" s="5"/>
      <c r="C217" s="2"/>
      <c r="D217" s="2"/>
      <c r="E217" s="2"/>
      <c r="F217" s="2"/>
      <c r="G217" s="2"/>
      <c r="H217" s="127">
        <v>270.0</v>
      </c>
      <c r="I217" s="128"/>
      <c r="J217" s="129"/>
      <c r="K217" s="129"/>
      <c r="L217" s="129"/>
      <c r="M217" s="129"/>
      <c r="N217" s="129"/>
      <c r="O217" s="129"/>
      <c r="P217" s="129"/>
      <c r="Q217" s="129"/>
      <c r="R217" s="129">
        <f t="shared" ref="R217:AC217" si="155">if(and(J$207&gt;$H$216,J$207&lt;=$H$217),J$200,0)</f>
        <v>0</v>
      </c>
      <c r="S217" s="129">
        <f t="shared" si="155"/>
        <v>0</v>
      </c>
      <c r="T217" s="129">
        <f t="shared" si="155"/>
        <v>0</v>
      </c>
      <c r="U217" s="129">
        <f t="shared" si="155"/>
        <v>0</v>
      </c>
      <c r="V217" s="129">
        <f t="shared" si="155"/>
        <v>0</v>
      </c>
      <c r="W217" s="129">
        <f t="shared" si="155"/>
        <v>0</v>
      </c>
      <c r="X217" s="129">
        <f t="shared" si="155"/>
        <v>0</v>
      </c>
      <c r="Y217" s="129">
        <f t="shared" si="155"/>
        <v>0</v>
      </c>
      <c r="Z217" s="129">
        <f t="shared" si="155"/>
        <v>0</v>
      </c>
      <c r="AA217" s="129">
        <f t="shared" si="155"/>
        <v>0</v>
      </c>
      <c r="AB217" s="129">
        <f t="shared" si="155"/>
        <v>0</v>
      </c>
      <c r="AC217" s="129">
        <f t="shared" si="155"/>
        <v>0</v>
      </c>
      <c r="AD217" s="130"/>
      <c r="AE217" s="130"/>
      <c r="AF217" s="130"/>
      <c r="AG217" s="2"/>
      <c r="AH217" s="2"/>
      <c r="AI217" s="5"/>
      <c r="AJ217" s="2"/>
      <c r="AK217" s="2"/>
      <c r="AL217" s="2"/>
      <c r="AM217" s="2"/>
      <c r="AN217" s="2"/>
      <c r="AO217" s="2"/>
      <c r="AP217" s="5"/>
      <c r="AQ217" s="5"/>
    </row>
    <row r="218">
      <c r="A218" s="2"/>
      <c r="B218" s="5"/>
      <c r="C218" s="2"/>
      <c r="D218" s="2"/>
      <c r="E218" s="2"/>
      <c r="F218" s="2"/>
      <c r="G218" s="2"/>
      <c r="H218" s="127">
        <v>300.0</v>
      </c>
      <c r="I218" s="128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>
        <f t="shared" ref="S218:AD218" si="156">if(and(J$207&gt;$H$217,J$207&lt;=$H$218),J$200,0)</f>
        <v>0</v>
      </c>
      <c r="T218" s="129">
        <f t="shared" si="156"/>
        <v>0</v>
      </c>
      <c r="U218" s="129">
        <f t="shared" si="156"/>
        <v>0</v>
      </c>
      <c r="V218" s="129">
        <f t="shared" si="156"/>
        <v>0</v>
      </c>
      <c r="W218" s="129">
        <f t="shared" si="156"/>
        <v>0</v>
      </c>
      <c r="X218" s="129">
        <f t="shared" si="156"/>
        <v>0</v>
      </c>
      <c r="Y218" s="129">
        <f t="shared" si="156"/>
        <v>0</v>
      </c>
      <c r="Z218" s="129">
        <f t="shared" si="156"/>
        <v>0</v>
      </c>
      <c r="AA218" s="129">
        <f t="shared" si="156"/>
        <v>0</v>
      </c>
      <c r="AB218" s="129">
        <f t="shared" si="156"/>
        <v>0</v>
      </c>
      <c r="AC218" s="129">
        <f t="shared" si="156"/>
        <v>0</v>
      </c>
      <c r="AD218" s="129">
        <f t="shared" si="156"/>
        <v>0</v>
      </c>
      <c r="AE218" s="130"/>
      <c r="AF218" s="130"/>
      <c r="AG218" s="2"/>
      <c r="AH218" s="2"/>
      <c r="AI218" s="5"/>
      <c r="AJ218" s="2"/>
      <c r="AK218" s="2"/>
      <c r="AL218" s="2"/>
      <c r="AM218" s="2"/>
      <c r="AN218" s="2"/>
      <c r="AO218" s="2"/>
      <c r="AP218" s="5"/>
      <c r="AQ218" s="5"/>
    </row>
    <row r="219">
      <c r="A219" s="2"/>
      <c r="B219" s="5"/>
      <c r="C219" s="2"/>
      <c r="D219" s="2"/>
      <c r="E219" s="2"/>
      <c r="F219" s="2"/>
      <c r="G219" s="2"/>
      <c r="H219" s="127">
        <v>330.0</v>
      </c>
      <c r="I219" s="128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>
        <f t="shared" ref="T219:AE219" si="157">if(and(J$207&gt;$H$218,J$207&lt;=$H$219),J$200,0)</f>
        <v>0</v>
      </c>
      <c r="U219" s="129">
        <f t="shared" si="157"/>
        <v>0</v>
      </c>
      <c r="V219" s="129">
        <f t="shared" si="157"/>
        <v>0</v>
      </c>
      <c r="W219" s="129">
        <f t="shared" si="157"/>
        <v>0</v>
      </c>
      <c r="X219" s="129">
        <f t="shared" si="157"/>
        <v>0</v>
      </c>
      <c r="Y219" s="129">
        <f t="shared" si="157"/>
        <v>0</v>
      </c>
      <c r="Z219" s="129">
        <f t="shared" si="157"/>
        <v>0</v>
      </c>
      <c r="AA219" s="129">
        <f t="shared" si="157"/>
        <v>0</v>
      </c>
      <c r="AB219" s="129">
        <f t="shared" si="157"/>
        <v>0</v>
      </c>
      <c r="AC219" s="129">
        <f t="shared" si="157"/>
        <v>0</v>
      </c>
      <c r="AD219" s="129">
        <f t="shared" si="157"/>
        <v>0</v>
      </c>
      <c r="AE219" s="129">
        <f t="shared" si="157"/>
        <v>0</v>
      </c>
      <c r="AF219" s="130"/>
      <c r="AG219" s="2"/>
      <c r="AH219" s="2"/>
      <c r="AI219" s="5"/>
      <c r="AJ219" s="2"/>
      <c r="AK219" s="2"/>
      <c r="AL219" s="2"/>
      <c r="AM219" s="2"/>
      <c r="AN219" s="2"/>
      <c r="AO219" s="2"/>
      <c r="AP219" s="5"/>
      <c r="AQ219" s="5"/>
    </row>
    <row r="220">
      <c r="A220" s="2"/>
      <c r="B220" s="5"/>
      <c r="C220" s="2"/>
      <c r="D220" s="2"/>
      <c r="E220" s="2"/>
      <c r="F220" s="2"/>
      <c r="G220" s="2"/>
      <c r="H220" s="127">
        <v>360.0</v>
      </c>
      <c r="I220" s="128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>
        <f t="shared" ref="U220:AF220" si="158">if(and(J$207&gt;$H$219,J$207&lt;=$H$220),J$200,0)</f>
        <v>0</v>
      </c>
      <c r="V220" s="129">
        <f t="shared" si="158"/>
        <v>0</v>
      </c>
      <c r="W220" s="129">
        <f t="shared" si="158"/>
        <v>0</v>
      </c>
      <c r="X220" s="129">
        <f t="shared" si="158"/>
        <v>0</v>
      </c>
      <c r="Y220" s="129">
        <f t="shared" si="158"/>
        <v>0</v>
      </c>
      <c r="Z220" s="129">
        <f t="shared" si="158"/>
        <v>0</v>
      </c>
      <c r="AA220" s="129">
        <f t="shared" si="158"/>
        <v>0</v>
      </c>
      <c r="AB220" s="129">
        <f t="shared" si="158"/>
        <v>0</v>
      </c>
      <c r="AC220" s="129">
        <f t="shared" si="158"/>
        <v>0</v>
      </c>
      <c r="AD220" s="129">
        <f t="shared" si="158"/>
        <v>0</v>
      </c>
      <c r="AE220" s="129">
        <f t="shared" si="158"/>
        <v>0</v>
      </c>
      <c r="AF220" s="129">
        <f t="shared" si="158"/>
        <v>0</v>
      </c>
      <c r="AG220" s="2"/>
      <c r="AH220" s="2"/>
      <c r="AI220" s="5"/>
      <c r="AJ220" s="2"/>
      <c r="AK220" s="2"/>
      <c r="AL220" s="2"/>
      <c r="AM220" s="2"/>
      <c r="AN220" s="2"/>
      <c r="AO220" s="2"/>
      <c r="AP220" s="5"/>
      <c r="AQ220" s="5"/>
    </row>
    <row r="221">
      <c r="A221" s="2"/>
      <c r="B221" s="5"/>
      <c r="C221" s="2"/>
      <c r="D221" s="2"/>
      <c r="E221" s="2"/>
      <c r="F221" s="2"/>
      <c r="G221" s="2"/>
      <c r="H221" s="128"/>
      <c r="I221" s="128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5"/>
      <c r="AJ221" s="2"/>
      <c r="AK221" s="2"/>
      <c r="AL221" s="2"/>
      <c r="AM221" s="2"/>
      <c r="AN221" s="2"/>
      <c r="AO221" s="2"/>
      <c r="AP221" s="5"/>
      <c r="AQ221" s="5"/>
    </row>
    <row r="222">
      <c r="A222" s="2"/>
      <c r="B222" s="5"/>
      <c r="C222" s="2"/>
      <c r="D222" s="2"/>
      <c r="E222" s="2"/>
      <c r="F222" s="2"/>
      <c r="G222" s="2"/>
      <c r="H222" s="128"/>
      <c r="I222" s="128"/>
      <c r="J222" s="131">
        <f t="shared" ref="J222:AF222" si="159">sum(J209:J220)</f>
        <v>0</v>
      </c>
      <c r="K222" s="131">
        <f t="shared" si="159"/>
        <v>0</v>
      </c>
      <c r="L222" s="131">
        <f t="shared" si="159"/>
        <v>0</v>
      </c>
      <c r="M222" s="131">
        <f t="shared" si="159"/>
        <v>0</v>
      </c>
      <c r="N222" s="131">
        <f t="shared" si="159"/>
        <v>43020.75</v>
      </c>
      <c r="O222" s="131">
        <f t="shared" si="159"/>
        <v>0</v>
      </c>
      <c r="P222" s="131">
        <f t="shared" si="159"/>
        <v>55466.13</v>
      </c>
      <c r="Q222" s="131">
        <f t="shared" si="159"/>
        <v>20265.495</v>
      </c>
      <c r="R222" s="131">
        <f t="shared" si="159"/>
        <v>0</v>
      </c>
      <c r="S222" s="131">
        <f t="shared" si="159"/>
        <v>75010.29</v>
      </c>
      <c r="T222" s="131">
        <f t="shared" si="159"/>
        <v>11839.47</v>
      </c>
      <c r="U222" s="131">
        <f t="shared" si="159"/>
        <v>0</v>
      </c>
      <c r="V222" s="131">
        <f t="shared" si="159"/>
        <v>44735.595</v>
      </c>
      <c r="W222" s="131">
        <f t="shared" si="159"/>
        <v>14649</v>
      </c>
      <c r="X222" s="131">
        <f t="shared" si="159"/>
        <v>0</v>
      </c>
      <c r="Y222" s="131">
        <f t="shared" si="159"/>
        <v>19154.85</v>
      </c>
      <c r="Z222" s="131">
        <f t="shared" si="159"/>
        <v>0</v>
      </c>
      <c r="AA222" s="131">
        <f t="shared" si="159"/>
        <v>0</v>
      </c>
      <c r="AB222" s="131">
        <f t="shared" si="159"/>
        <v>0</v>
      </c>
      <c r="AC222" s="131">
        <f t="shared" si="159"/>
        <v>0</v>
      </c>
      <c r="AD222" s="131">
        <f t="shared" si="159"/>
        <v>0</v>
      </c>
      <c r="AE222" s="131">
        <f t="shared" si="159"/>
        <v>0</v>
      </c>
      <c r="AF222" s="131">
        <f t="shared" si="159"/>
        <v>0</v>
      </c>
      <c r="AG222" s="2"/>
      <c r="AH222" s="2"/>
      <c r="AI222" s="5"/>
      <c r="AJ222" s="2"/>
      <c r="AK222" s="2"/>
      <c r="AL222" s="2"/>
      <c r="AM222" s="2"/>
      <c r="AN222" s="2"/>
      <c r="AO222" s="2"/>
      <c r="AP222" s="5"/>
      <c r="AQ222" s="5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5"/>
      <c r="AJ223" s="2"/>
      <c r="AK223" s="2"/>
      <c r="AL223" s="2"/>
      <c r="AM223" s="2"/>
      <c r="AN223" s="2"/>
      <c r="AO223" s="2"/>
      <c r="AP223" s="5"/>
      <c r="AQ223" s="5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5"/>
      <c r="AJ224" s="2"/>
      <c r="AK224" s="2"/>
      <c r="AL224" s="2"/>
      <c r="AM224" s="2"/>
      <c r="AN224" s="2"/>
      <c r="AO224" s="2"/>
      <c r="AP224" s="5"/>
      <c r="AQ224" s="5"/>
    </row>
    <row r="225">
      <c r="A225" s="2"/>
      <c r="B225" s="5"/>
      <c r="C225" s="2"/>
      <c r="D225" s="2"/>
      <c r="E225" s="2"/>
      <c r="F225" s="2"/>
      <c r="G225" s="2"/>
      <c r="H225" s="124" t="s">
        <v>111</v>
      </c>
      <c r="I225" s="125"/>
      <c r="J225" s="126">
        <f t="shared" ref="J225:U225" si="160">J207+30</f>
        <v>179</v>
      </c>
      <c r="K225" s="126">
        <f t="shared" si="160"/>
        <v>184</v>
      </c>
      <c r="L225" s="126">
        <f t="shared" si="160"/>
        <v>174</v>
      </c>
      <c r="M225" s="126">
        <f t="shared" si="160"/>
        <v>174</v>
      </c>
      <c r="N225" s="126">
        <f t="shared" si="160"/>
        <v>184</v>
      </c>
      <c r="O225" s="126">
        <f t="shared" si="160"/>
        <v>179</v>
      </c>
      <c r="P225" s="126">
        <f t="shared" si="160"/>
        <v>174</v>
      </c>
      <c r="Q225" s="126">
        <f t="shared" si="160"/>
        <v>184</v>
      </c>
      <c r="R225" s="126">
        <f t="shared" si="160"/>
        <v>179</v>
      </c>
      <c r="S225" s="126">
        <f t="shared" si="160"/>
        <v>174</v>
      </c>
      <c r="T225" s="126">
        <f t="shared" si="160"/>
        <v>184</v>
      </c>
      <c r="U225" s="126">
        <f t="shared" si="160"/>
        <v>174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5"/>
      <c r="AJ225" s="2"/>
      <c r="AK225" s="2"/>
      <c r="AL225" s="2"/>
      <c r="AM225" s="2"/>
      <c r="AN225" s="2"/>
      <c r="AO225" s="2"/>
      <c r="AP225" s="5"/>
      <c r="AQ225" s="5"/>
    </row>
    <row r="226">
      <c r="A226" s="2"/>
      <c r="B226" s="5"/>
      <c r="C226" s="2"/>
      <c r="D226" s="3" t="s">
        <v>114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5"/>
      <c r="AJ226" s="2"/>
      <c r="AK226" s="2"/>
      <c r="AL226" s="2"/>
      <c r="AM226" s="2"/>
      <c r="AN226" s="2"/>
      <c r="AO226" s="2"/>
      <c r="AP226" s="5"/>
      <c r="AQ226" s="5"/>
    </row>
    <row r="227">
      <c r="A227" s="2"/>
      <c r="B227" s="5"/>
      <c r="C227" s="2"/>
      <c r="D227" s="3" t="s">
        <v>113</v>
      </c>
      <c r="H227" s="133">
        <v>30.0</v>
      </c>
      <c r="I227" s="128"/>
      <c r="J227" s="134"/>
      <c r="K227" s="134">
        <f>if(K$225&lt;=I227,K$201,0)</f>
        <v>0</v>
      </c>
      <c r="L227" s="134">
        <f t="shared" ref="L227:U227" si="161">if(L$225&lt;=J227,M$201,0)</f>
        <v>0</v>
      </c>
      <c r="M227" s="134">
        <f t="shared" si="161"/>
        <v>0</v>
      </c>
      <c r="N227" s="134">
        <f t="shared" si="161"/>
        <v>0</v>
      </c>
      <c r="O227" s="134">
        <f t="shared" si="161"/>
        <v>0</v>
      </c>
      <c r="P227" s="134">
        <f t="shared" si="161"/>
        <v>0</v>
      </c>
      <c r="Q227" s="134">
        <f t="shared" si="161"/>
        <v>0</v>
      </c>
      <c r="R227" s="134">
        <f t="shared" si="161"/>
        <v>0</v>
      </c>
      <c r="S227" s="134">
        <f t="shared" si="161"/>
        <v>0</v>
      </c>
      <c r="T227" s="134">
        <f t="shared" si="161"/>
        <v>0</v>
      </c>
      <c r="U227" s="134">
        <f t="shared" si="161"/>
        <v>0</v>
      </c>
      <c r="V227" s="130"/>
      <c r="W227" s="130"/>
      <c r="X227" s="130"/>
      <c r="Y227" s="130"/>
      <c r="Z227" s="130"/>
      <c r="AA227" s="130"/>
      <c r="AB227" s="2"/>
      <c r="AC227" s="2"/>
      <c r="AD227" s="2"/>
      <c r="AE227" s="2"/>
      <c r="AF227" s="2"/>
      <c r="AG227" s="2"/>
      <c r="AH227" s="2"/>
      <c r="AI227" s="5"/>
      <c r="AJ227" s="2"/>
      <c r="AK227" s="2"/>
      <c r="AL227" s="2"/>
      <c r="AM227" s="2"/>
      <c r="AN227" s="2"/>
      <c r="AO227" s="2"/>
      <c r="AP227" s="5"/>
      <c r="AQ227" s="5"/>
    </row>
    <row r="228">
      <c r="A228" s="2"/>
      <c r="B228" s="5"/>
      <c r="C228" s="2"/>
      <c r="D228" s="2"/>
      <c r="E228" s="2"/>
      <c r="F228" s="2"/>
      <c r="G228" s="2"/>
      <c r="H228" s="133">
        <v>60.0</v>
      </c>
      <c r="I228" s="128"/>
      <c r="J228" s="132"/>
      <c r="K228" s="132">
        <f t="shared" ref="K228:V228" si="162">if(and(J$225&gt;$H$227,J$225&lt;=$H$228),K$201,0)</f>
        <v>0</v>
      </c>
      <c r="L228" s="132">
        <f t="shared" si="162"/>
        <v>0</v>
      </c>
      <c r="M228" s="132">
        <f t="shared" si="162"/>
        <v>0</v>
      </c>
      <c r="N228" s="132">
        <f t="shared" si="162"/>
        <v>0</v>
      </c>
      <c r="O228" s="132">
        <f t="shared" si="162"/>
        <v>0</v>
      </c>
      <c r="P228" s="132">
        <f t="shared" si="162"/>
        <v>0</v>
      </c>
      <c r="Q228" s="132">
        <f t="shared" si="162"/>
        <v>0</v>
      </c>
      <c r="R228" s="132">
        <f t="shared" si="162"/>
        <v>0</v>
      </c>
      <c r="S228" s="132">
        <f t="shared" si="162"/>
        <v>0</v>
      </c>
      <c r="T228" s="132">
        <f t="shared" si="162"/>
        <v>0</v>
      </c>
      <c r="U228" s="132">
        <f t="shared" si="162"/>
        <v>0</v>
      </c>
      <c r="V228" s="132">
        <f t="shared" si="162"/>
        <v>0</v>
      </c>
      <c r="W228" s="130"/>
      <c r="X228" s="130"/>
      <c r="Y228" s="130"/>
      <c r="Z228" s="130"/>
      <c r="AA228" s="130"/>
      <c r="AB228" s="2"/>
      <c r="AC228" s="2"/>
      <c r="AD228" s="2"/>
      <c r="AE228" s="2"/>
      <c r="AF228" s="2"/>
      <c r="AG228" s="2"/>
      <c r="AH228" s="2"/>
      <c r="AI228" s="5"/>
      <c r="AJ228" s="2"/>
      <c r="AK228" s="2"/>
      <c r="AL228" s="2"/>
      <c r="AM228" s="2"/>
      <c r="AN228" s="2"/>
      <c r="AO228" s="2"/>
      <c r="AP228" s="5"/>
      <c r="AQ228" s="5"/>
    </row>
    <row r="229">
      <c r="A229" s="2"/>
      <c r="B229" s="5"/>
      <c r="C229" s="2"/>
      <c r="D229" s="2"/>
      <c r="E229" s="2"/>
      <c r="F229" s="2"/>
      <c r="G229" s="2"/>
      <c r="H229" s="133">
        <v>90.0</v>
      </c>
      <c r="I229" s="129"/>
      <c r="J229" s="132"/>
      <c r="K229" s="132"/>
      <c r="L229" s="132">
        <f t="shared" ref="L229:W229" si="163">if(and(J$225&gt;$H$228,J$225&lt;=$H$229),K$201,0)</f>
        <v>0</v>
      </c>
      <c r="M229" s="132">
        <f t="shared" si="163"/>
        <v>0</v>
      </c>
      <c r="N229" s="132">
        <f t="shared" si="163"/>
        <v>0</v>
      </c>
      <c r="O229" s="132">
        <f t="shared" si="163"/>
        <v>0</v>
      </c>
      <c r="P229" s="132">
        <f t="shared" si="163"/>
        <v>0</v>
      </c>
      <c r="Q229" s="132">
        <f t="shared" si="163"/>
        <v>0</v>
      </c>
      <c r="R229" s="132">
        <f t="shared" si="163"/>
        <v>0</v>
      </c>
      <c r="S229" s="132">
        <f t="shared" si="163"/>
        <v>0</v>
      </c>
      <c r="T229" s="132">
        <f t="shared" si="163"/>
        <v>0</v>
      </c>
      <c r="U229" s="132">
        <f t="shared" si="163"/>
        <v>0</v>
      </c>
      <c r="V229" s="132">
        <f t="shared" si="163"/>
        <v>0</v>
      </c>
      <c r="W229" s="132">
        <f t="shared" si="163"/>
        <v>0</v>
      </c>
      <c r="X229" s="130"/>
      <c r="Y229" s="130"/>
      <c r="Z229" s="130"/>
      <c r="AA229" s="130"/>
      <c r="AB229" s="2"/>
      <c r="AC229" s="2"/>
      <c r="AD229" s="2"/>
      <c r="AE229" s="2"/>
      <c r="AF229" s="2"/>
      <c r="AG229" s="2"/>
      <c r="AH229" s="2"/>
      <c r="AI229" s="5"/>
      <c r="AJ229" s="2"/>
      <c r="AK229" s="2"/>
      <c r="AL229" s="2"/>
      <c r="AM229" s="2"/>
      <c r="AN229" s="2"/>
      <c r="AO229" s="2"/>
      <c r="AP229" s="5"/>
      <c r="AQ229" s="5"/>
    </row>
    <row r="230">
      <c r="A230" s="2"/>
      <c r="B230" s="5"/>
      <c r="C230" s="2"/>
      <c r="D230" s="2"/>
      <c r="E230" s="2"/>
      <c r="F230" s="2"/>
      <c r="G230" s="2"/>
      <c r="H230" s="133">
        <v>120.0</v>
      </c>
      <c r="I230" s="129"/>
      <c r="J230" s="132"/>
      <c r="K230" s="132"/>
      <c r="L230" s="132"/>
      <c r="M230" s="132">
        <f t="shared" ref="M230:X230" si="164">if(and(J$225&gt;$H$229,J$225&lt;=$H$230),K$201,0)</f>
        <v>0</v>
      </c>
      <c r="N230" s="132">
        <f t="shared" si="164"/>
        <v>0</v>
      </c>
      <c r="O230" s="132">
        <f t="shared" si="164"/>
        <v>0</v>
      </c>
      <c r="P230" s="132">
        <f t="shared" si="164"/>
        <v>0</v>
      </c>
      <c r="Q230" s="132">
        <f t="shared" si="164"/>
        <v>0</v>
      </c>
      <c r="R230" s="132">
        <f t="shared" si="164"/>
        <v>0</v>
      </c>
      <c r="S230" s="132">
        <f t="shared" si="164"/>
        <v>0</v>
      </c>
      <c r="T230" s="132">
        <f t="shared" si="164"/>
        <v>0</v>
      </c>
      <c r="U230" s="132">
        <f t="shared" si="164"/>
        <v>0</v>
      </c>
      <c r="V230" s="132">
        <f t="shared" si="164"/>
        <v>0</v>
      </c>
      <c r="W230" s="132">
        <f t="shared" si="164"/>
        <v>0</v>
      </c>
      <c r="X230" s="132">
        <f t="shared" si="164"/>
        <v>0</v>
      </c>
      <c r="Y230" s="130"/>
      <c r="Z230" s="130"/>
      <c r="AA230" s="130"/>
      <c r="AB230" s="2"/>
      <c r="AC230" s="2"/>
      <c r="AD230" s="2"/>
      <c r="AE230" s="2"/>
      <c r="AF230" s="2"/>
      <c r="AG230" s="2"/>
      <c r="AH230" s="2"/>
      <c r="AI230" s="5"/>
      <c r="AJ230" s="2"/>
      <c r="AK230" s="2"/>
      <c r="AL230" s="2"/>
      <c r="AM230" s="2"/>
      <c r="AN230" s="2"/>
      <c r="AO230" s="2"/>
      <c r="AP230" s="5"/>
      <c r="AQ230" s="5"/>
    </row>
    <row r="231">
      <c r="A231" s="2"/>
      <c r="B231" s="5"/>
      <c r="C231" s="2"/>
      <c r="D231" s="2"/>
      <c r="E231" s="2"/>
      <c r="F231" s="2"/>
      <c r="G231" s="2"/>
      <c r="H231" s="133">
        <v>150.0</v>
      </c>
      <c r="I231" s="129"/>
      <c r="J231" s="132"/>
      <c r="K231" s="132"/>
      <c r="L231" s="132"/>
      <c r="M231" s="132"/>
      <c r="N231" s="132">
        <f t="shared" ref="N231:Y231" si="165">if(and(J$225&gt;$H$230,J$225&lt;=$H$231),K$201,0)</f>
        <v>0</v>
      </c>
      <c r="O231" s="132">
        <f t="shared" si="165"/>
        <v>0</v>
      </c>
      <c r="P231" s="132">
        <f t="shared" si="165"/>
        <v>0</v>
      </c>
      <c r="Q231" s="132">
        <f t="shared" si="165"/>
        <v>0</v>
      </c>
      <c r="R231" s="132">
        <f t="shared" si="165"/>
        <v>0</v>
      </c>
      <c r="S231" s="132">
        <f t="shared" si="165"/>
        <v>0</v>
      </c>
      <c r="T231" s="132">
        <f t="shared" si="165"/>
        <v>0</v>
      </c>
      <c r="U231" s="132">
        <f t="shared" si="165"/>
        <v>0</v>
      </c>
      <c r="V231" s="132">
        <f t="shared" si="165"/>
        <v>0</v>
      </c>
      <c r="W231" s="132">
        <f t="shared" si="165"/>
        <v>0</v>
      </c>
      <c r="X231" s="132">
        <f t="shared" si="165"/>
        <v>0</v>
      </c>
      <c r="Y231" s="132">
        <f t="shared" si="165"/>
        <v>0</v>
      </c>
      <c r="Z231" s="130"/>
      <c r="AA231" s="130"/>
      <c r="AB231" s="2"/>
      <c r="AC231" s="2"/>
      <c r="AD231" s="2"/>
      <c r="AE231" s="2"/>
      <c r="AF231" s="2"/>
      <c r="AG231" s="2"/>
      <c r="AH231" s="2"/>
      <c r="AI231" s="5"/>
      <c r="AJ231" s="2"/>
      <c r="AK231" s="2"/>
      <c r="AL231" s="2"/>
      <c r="AM231" s="2"/>
      <c r="AN231" s="2"/>
      <c r="AO231" s="2"/>
      <c r="AP231" s="5"/>
      <c r="AQ231" s="5"/>
    </row>
    <row r="232">
      <c r="A232" s="2"/>
      <c r="B232" s="5"/>
      <c r="C232" s="2"/>
      <c r="D232" s="2"/>
      <c r="E232" s="2"/>
      <c r="F232" s="2"/>
      <c r="G232" s="2"/>
      <c r="H232" s="133">
        <v>180.0</v>
      </c>
      <c r="I232" s="129"/>
      <c r="J232" s="132"/>
      <c r="K232" s="132"/>
      <c r="L232" s="132"/>
      <c r="M232" s="132"/>
      <c r="N232" s="132"/>
      <c r="O232" s="135">
        <f t="shared" ref="O232:Z232" si="166">if(and(J$225&gt;$H$231,J$225&lt;=$H$232),K$201,0)</f>
        <v>92034.765</v>
      </c>
      <c r="P232" s="132">
        <f t="shared" si="166"/>
        <v>0</v>
      </c>
      <c r="Q232" s="135">
        <f t="shared" si="166"/>
        <v>80635.905</v>
      </c>
      <c r="R232" s="135">
        <f t="shared" si="166"/>
        <v>48392.145</v>
      </c>
      <c r="S232" s="132">
        <f t="shared" si="166"/>
        <v>0</v>
      </c>
      <c r="T232" s="135">
        <f t="shared" si="166"/>
        <v>86078.835</v>
      </c>
      <c r="U232" s="135">
        <f t="shared" si="166"/>
        <v>25396.065</v>
      </c>
      <c r="V232" s="132">
        <f t="shared" si="166"/>
        <v>0</v>
      </c>
      <c r="W232" s="135">
        <f t="shared" si="166"/>
        <v>67144.86</v>
      </c>
      <c r="X232" s="135">
        <f t="shared" si="166"/>
        <v>25293.465</v>
      </c>
      <c r="Y232" s="132">
        <f t="shared" si="166"/>
        <v>0</v>
      </c>
      <c r="Z232" s="135">
        <f t="shared" si="166"/>
        <v>11434.77</v>
      </c>
      <c r="AA232" s="132"/>
      <c r="AB232" s="2"/>
      <c r="AC232" s="2"/>
      <c r="AD232" s="2"/>
      <c r="AE232" s="2"/>
      <c r="AF232" s="2"/>
      <c r="AG232" s="2"/>
      <c r="AH232" s="2"/>
      <c r="AI232" s="5"/>
      <c r="AJ232" s="2"/>
      <c r="AK232" s="2"/>
      <c r="AL232" s="2"/>
      <c r="AM232" s="2"/>
      <c r="AN232" s="2"/>
      <c r="AO232" s="2"/>
      <c r="AP232" s="5"/>
      <c r="AQ232" s="5"/>
    </row>
    <row r="233">
      <c r="A233" s="2"/>
      <c r="B233" s="5"/>
      <c r="C233" s="2"/>
      <c r="D233" s="2"/>
      <c r="E233" s="2"/>
      <c r="F233" s="2"/>
      <c r="G233" s="2"/>
      <c r="H233" s="133">
        <v>210.0</v>
      </c>
      <c r="I233" s="128"/>
      <c r="J233" s="132"/>
      <c r="K233" s="132"/>
      <c r="L233" s="132"/>
      <c r="M233" s="132"/>
      <c r="N233" s="132"/>
      <c r="O233" s="132"/>
      <c r="P233" s="132">
        <f t="shared" ref="P233:AA233" si="167">if(and(J$225&gt;$H$232,J$225&lt;=$H$233),K$201,0)</f>
        <v>0</v>
      </c>
      <c r="Q233" s="135">
        <f t="shared" si="167"/>
        <v>33315.93</v>
      </c>
      <c r="R233" s="132">
        <f t="shared" si="167"/>
        <v>0</v>
      </c>
      <c r="S233" s="132">
        <f t="shared" si="167"/>
        <v>0</v>
      </c>
      <c r="T233" s="135">
        <f t="shared" si="167"/>
        <v>67692.915</v>
      </c>
      <c r="U233" s="132">
        <f t="shared" si="167"/>
        <v>0</v>
      </c>
      <c r="V233" s="132">
        <f t="shared" si="167"/>
        <v>0</v>
      </c>
      <c r="W233" s="135">
        <f t="shared" si="167"/>
        <v>24518.835</v>
      </c>
      <c r="X233" s="132">
        <f t="shared" si="167"/>
        <v>0</v>
      </c>
      <c r="Y233" s="132">
        <f t="shared" si="167"/>
        <v>0</v>
      </c>
      <c r="Z233" s="135">
        <f t="shared" si="167"/>
        <v>30808.215</v>
      </c>
      <c r="AA233" s="132">
        <f t="shared" si="167"/>
        <v>0</v>
      </c>
      <c r="AB233" s="2"/>
      <c r="AC233" s="2"/>
      <c r="AD233" s="2"/>
      <c r="AE233" s="2"/>
      <c r="AF233" s="2"/>
      <c r="AG233" s="2"/>
      <c r="AH233" s="2"/>
      <c r="AI233" s="5"/>
      <c r="AJ233" s="2"/>
      <c r="AK233" s="2"/>
      <c r="AL233" s="2"/>
      <c r="AM233" s="2"/>
      <c r="AN233" s="2"/>
      <c r="AO233" s="2"/>
      <c r="AP233" s="5"/>
      <c r="AQ233" s="5"/>
    </row>
    <row r="234">
      <c r="A234" s="2"/>
      <c r="B234" s="5"/>
      <c r="C234" s="2"/>
      <c r="D234" s="2"/>
      <c r="E234" s="2"/>
      <c r="F234" s="2"/>
      <c r="G234" s="2"/>
      <c r="H234" s="133">
        <v>240.0</v>
      </c>
      <c r="I234" s="128"/>
      <c r="J234" s="132"/>
      <c r="K234" s="132"/>
      <c r="L234" s="132"/>
      <c r="M234" s="132"/>
      <c r="N234" s="132"/>
      <c r="O234" s="132"/>
      <c r="P234" s="132"/>
      <c r="Q234" s="132">
        <f t="shared" ref="Q234:AB234" si="168">if(and(J$225&gt;$H$233,J$225&lt;=$H$234),K$201,0)</f>
        <v>0</v>
      </c>
      <c r="R234" s="132">
        <f t="shared" si="168"/>
        <v>0</v>
      </c>
      <c r="S234" s="132">
        <f t="shared" si="168"/>
        <v>0</v>
      </c>
      <c r="T234" s="132">
        <f t="shared" si="168"/>
        <v>0</v>
      </c>
      <c r="U234" s="132">
        <f t="shared" si="168"/>
        <v>0</v>
      </c>
      <c r="V234" s="132">
        <f t="shared" si="168"/>
        <v>0</v>
      </c>
      <c r="W234" s="132">
        <f t="shared" si="168"/>
        <v>0</v>
      </c>
      <c r="X234" s="132">
        <f t="shared" si="168"/>
        <v>0</v>
      </c>
      <c r="Y234" s="132">
        <f t="shared" si="168"/>
        <v>0</v>
      </c>
      <c r="Z234" s="132">
        <f t="shared" si="168"/>
        <v>0</v>
      </c>
      <c r="AA234" s="132">
        <f t="shared" si="168"/>
        <v>0</v>
      </c>
      <c r="AB234" s="132">
        <f t="shared" si="168"/>
        <v>0</v>
      </c>
      <c r="AC234" s="2"/>
      <c r="AD234" s="2"/>
      <c r="AE234" s="2"/>
      <c r="AF234" s="2"/>
      <c r="AG234" s="2"/>
      <c r="AH234" s="2"/>
      <c r="AI234" s="5"/>
      <c r="AJ234" s="2"/>
      <c r="AK234" s="2"/>
      <c r="AL234" s="2"/>
      <c r="AM234" s="2"/>
      <c r="AN234" s="2"/>
      <c r="AO234" s="2"/>
      <c r="AP234" s="5"/>
      <c r="AQ234" s="5"/>
    </row>
    <row r="235">
      <c r="A235" s="2"/>
      <c r="B235" s="5"/>
      <c r="C235" s="2"/>
      <c r="D235" s="2"/>
      <c r="E235" s="2"/>
      <c r="F235" s="2"/>
      <c r="G235" s="2"/>
      <c r="H235" s="133">
        <v>270.0</v>
      </c>
      <c r="I235" s="128"/>
      <c r="J235" s="132"/>
      <c r="K235" s="132"/>
      <c r="L235" s="132"/>
      <c r="M235" s="132"/>
      <c r="N235" s="132"/>
      <c r="O235" s="132"/>
      <c r="P235" s="132"/>
      <c r="Q235" s="132"/>
      <c r="R235" s="132">
        <f t="shared" ref="R235:AC235" si="169">if(and(J$225&gt;$H$234,J$225&lt;=$H$235),K$201,0)</f>
        <v>0</v>
      </c>
      <c r="S235" s="132">
        <f t="shared" si="169"/>
        <v>0</v>
      </c>
      <c r="T235" s="132">
        <f t="shared" si="169"/>
        <v>0</v>
      </c>
      <c r="U235" s="132">
        <f t="shared" si="169"/>
        <v>0</v>
      </c>
      <c r="V235" s="132">
        <f t="shared" si="169"/>
        <v>0</v>
      </c>
      <c r="W235" s="132">
        <f t="shared" si="169"/>
        <v>0</v>
      </c>
      <c r="X235" s="132">
        <f t="shared" si="169"/>
        <v>0</v>
      </c>
      <c r="Y235" s="132">
        <f t="shared" si="169"/>
        <v>0</v>
      </c>
      <c r="Z235" s="132">
        <f t="shared" si="169"/>
        <v>0</v>
      </c>
      <c r="AA235" s="132">
        <f t="shared" si="169"/>
        <v>0</v>
      </c>
      <c r="AB235" s="132">
        <f t="shared" si="169"/>
        <v>0</v>
      </c>
      <c r="AC235" s="132">
        <f t="shared" si="169"/>
        <v>0</v>
      </c>
      <c r="AD235" s="2"/>
      <c r="AE235" s="2"/>
      <c r="AF235" s="2"/>
      <c r="AG235" s="2"/>
      <c r="AH235" s="2"/>
      <c r="AI235" s="5"/>
      <c r="AJ235" s="2"/>
      <c r="AK235" s="2"/>
      <c r="AL235" s="2"/>
      <c r="AM235" s="2"/>
      <c r="AN235" s="2"/>
      <c r="AO235" s="2"/>
      <c r="AP235" s="5"/>
      <c r="AQ235" s="5"/>
    </row>
    <row r="236">
      <c r="A236" s="2"/>
      <c r="B236" s="5"/>
      <c r="C236" s="2"/>
      <c r="D236" s="2"/>
      <c r="E236" s="2"/>
      <c r="F236" s="2"/>
      <c r="G236" s="2"/>
      <c r="H236" s="133">
        <v>300.0</v>
      </c>
      <c r="I236" s="128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>
        <f t="shared" ref="S236:AD236" si="170">if(and(J$225&gt;$H$235,J$225&lt;=$H$236),K$201,0)</f>
        <v>0</v>
      </c>
      <c r="T236" s="132">
        <f t="shared" si="170"/>
        <v>0</v>
      </c>
      <c r="U236" s="132">
        <f t="shared" si="170"/>
        <v>0</v>
      </c>
      <c r="V236" s="132">
        <f t="shared" si="170"/>
        <v>0</v>
      </c>
      <c r="W236" s="132">
        <f t="shared" si="170"/>
        <v>0</v>
      </c>
      <c r="X236" s="132">
        <f t="shared" si="170"/>
        <v>0</v>
      </c>
      <c r="Y236" s="132">
        <f t="shared" si="170"/>
        <v>0</v>
      </c>
      <c r="Z236" s="132">
        <f t="shared" si="170"/>
        <v>0</v>
      </c>
      <c r="AA236" s="132">
        <f t="shared" si="170"/>
        <v>0</v>
      </c>
      <c r="AB236" s="132">
        <f t="shared" si="170"/>
        <v>0</v>
      </c>
      <c r="AC236" s="132">
        <f t="shared" si="170"/>
        <v>0</v>
      </c>
      <c r="AD236" s="132">
        <f t="shared" si="170"/>
        <v>0</v>
      </c>
      <c r="AE236" s="2"/>
      <c r="AF236" s="2"/>
      <c r="AG236" s="2"/>
      <c r="AH236" s="2"/>
      <c r="AI236" s="5"/>
      <c r="AJ236" s="2"/>
      <c r="AK236" s="2"/>
      <c r="AL236" s="2"/>
      <c r="AM236" s="2"/>
      <c r="AN236" s="2"/>
      <c r="AO236" s="2"/>
      <c r="AP236" s="5"/>
      <c r="AQ236" s="5"/>
    </row>
    <row r="237">
      <c r="A237" s="2"/>
      <c r="B237" s="5"/>
      <c r="C237" s="2"/>
      <c r="D237" s="2"/>
      <c r="E237" s="2"/>
      <c r="F237" s="2"/>
      <c r="G237" s="2"/>
      <c r="H237" s="133">
        <v>330.0</v>
      </c>
      <c r="I237" s="128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>
        <f t="shared" ref="T237:AE237" si="171">if(and(J$225&gt;$H$236,J$225&lt;=$H$237),K$201,0)</f>
        <v>0</v>
      </c>
      <c r="U237" s="132">
        <f t="shared" si="171"/>
        <v>0</v>
      </c>
      <c r="V237" s="132">
        <f t="shared" si="171"/>
        <v>0</v>
      </c>
      <c r="W237" s="132">
        <f t="shared" si="171"/>
        <v>0</v>
      </c>
      <c r="X237" s="132">
        <f t="shared" si="171"/>
        <v>0</v>
      </c>
      <c r="Y237" s="132">
        <f t="shared" si="171"/>
        <v>0</v>
      </c>
      <c r="Z237" s="132">
        <f t="shared" si="171"/>
        <v>0</v>
      </c>
      <c r="AA237" s="132">
        <f t="shared" si="171"/>
        <v>0</v>
      </c>
      <c r="AB237" s="132">
        <f t="shared" si="171"/>
        <v>0</v>
      </c>
      <c r="AC237" s="132">
        <f t="shared" si="171"/>
        <v>0</v>
      </c>
      <c r="AD237" s="132">
        <f t="shared" si="171"/>
        <v>0</v>
      </c>
      <c r="AE237" s="132">
        <f t="shared" si="171"/>
        <v>0</v>
      </c>
      <c r="AF237" s="2"/>
      <c r="AG237" s="2"/>
      <c r="AH237" s="2"/>
      <c r="AI237" s="5"/>
      <c r="AJ237" s="2"/>
      <c r="AK237" s="2"/>
      <c r="AL237" s="2"/>
      <c r="AM237" s="2"/>
      <c r="AN237" s="2"/>
      <c r="AO237" s="2"/>
      <c r="AP237" s="5"/>
      <c r="AQ237" s="5"/>
    </row>
    <row r="238">
      <c r="A238" s="2"/>
      <c r="B238" s="5"/>
      <c r="C238" s="2"/>
      <c r="D238" s="2"/>
      <c r="E238" s="2"/>
      <c r="F238" s="2"/>
      <c r="G238" s="2"/>
      <c r="H238" s="133">
        <v>360.0</v>
      </c>
      <c r="I238" s="128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>
        <f t="shared" ref="U238:AF238" si="172">if(and(J$225&gt;$H$237,J$225&lt;=$H$238),K$201,0)</f>
        <v>0</v>
      </c>
      <c r="V238" s="132">
        <f t="shared" si="172"/>
        <v>0</v>
      </c>
      <c r="W238" s="132">
        <f t="shared" si="172"/>
        <v>0</v>
      </c>
      <c r="X238" s="132">
        <f t="shared" si="172"/>
        <v>0</v>
      </c>
      <c r="Y238" s="132">
        <f t="shared" si="172"/>
        <v>0</v>
      </c>
      <c r="Z238" s="132">
        <f t="shared" si="172"/>
        <v>0</v>
      </c>
      <c r="AA238" s="132">
        <f t="shared" si="172"/>
        <v>0</v>
      </c>
      <c r="AB238" s="132">
        <f t="shared" si="172"/>
        <v>0</v>
      </c>
      <c r="AC238" s="132">
        <f t="shared" si="172"/>
        <v>0</v>
      </c>
      <c r="AD238" s="132">
        <f t="shared" si="172"/>
        <v>0</v>
      </c>
      <c r="AE238" s="132">
        <f t="shared" si="172"/>
        <v>0</v>
      </c>
      <c r="AF238" s="132">
        <f t="shared" si="172"/>
        <v>0</v>
      </c>
      <c r="AG238" s="2"/>
      <c r="AH238" s="2"/>
      <c r="AI238" s="5"/>
      <c r="AJ238" s="2"/>
      <c r="AK238" s="2"/>
      <c r="AL238" s="2"/>
      <c r="AM238" s="2"/>
      <c r="AN238" s="2"/>
      <c r="AO238" s="2"/>
      <c r="AP238" s="5"/>
      <c r="AQ238" s="5"/>
    </row>
    <row r="239">
      <c r="A239" s="2"/>
      <c r="B239" s="5"/>
      <c r="C239" s="2"/>
      <c r="D239" s="2"/>
      <c r="E239" s="2"/>
      <c r="F239" s="2"/>
      <c r="G239" s="2"/>
      <c r="H239" s="128"/>
      <c r="I239" s="128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0"/>
      <c r="W239" s="130"/>
      <c r="X239" s="130"/>
      <c r="Y239" s="130"/>
      <c r="Z239" s="130"/>
      <c r="AA239" s="130"/>
      <c r="AB239" s="2"/>
      <c r="AC239" s="2"/>
      <c r="AD239" s="2"/>
      <c r="AE239" s="2"/>
      <c r="AF239" s="2"/>
      <c r="AG239" s="2"/>
      <c r="AH239" s="2"/>
      <c r="AI239" s="5"/>
      <c r="AJ239" s="2"/>
      <c r="AK239" s="2"/>
      <c r="AL239" s="2"/>
      <c r="AM239" s="2"/>
      <c r="AN239" s="2"/>
      <c r="AO239" s="2"/>
      <c r="AP239" s="5"/>
      <c r="AQ239" s="5"/>
    </row>
    <row r="240">
      <c r="A240" s="2"/>
      <c r="B240" s="5"/>
      <c r="C240" s="2"/>
      <c r="D240" s="2"/>
      <c r="E240" s="2"/>
      <c r="F240" s="2"/>
      <c r="G240" s="2"/>
      <c r="H240" s="128"/>
      <c r="I240" s="128"/>
      <c r="J240" s="135">
        <f t="shared" ref="J240:AF240" si="173">sum(J227:J238)</f>
        <v>0</v>
      </c>
      <c r="K240" s="135">
        <f t="shared" si="173"/>
        <v>0</v>
      </c>
      <c r="L240" s="135">
        <f t="shared" si="173"/>
        <v>0</v>
      </c>
      <c r="M240" s="135">
        <f t="shared" si="173"/>
        <v>0</v>
      </c>
      <c r="N240" s="135">
        <f t="shared" si="173"/>
        <v>0</v>
      </c>
      <c r="O240" s="135">
        <f t="shared" si="173"/>
        <v>92034.765</v>
      </c>
      <c r="P240" s="135">
        <f t="shared" si="173"/>
        <v>0</v>
      </c>
      <c r="Q240" s="135">
        <f t="shared" si="173"/>
        <v>113951.835</v>
      </c>
      <c r="R240" s="135">
        <f t="shared" si="173"/>
        <v>48392.145</v>
      </c>
      <c r="S240" s="135">
        <f t="shared" si="173"/>
        <v>0</v>
      </c>
      <c r="T240" s="135">
        <f t="shared" si="173"/>
        <v>153771.75</v>
      </c>
      <c r="U240" s="135">
        <f t="shared" si="173"/>
        <v>25396.065</v>
      </c>
      <c r="V240" s="135">
        <f t="shared" si="173"/>
        <v>0</v>
      </c>
      <c r="W240" s="135">
        <f t="shared" si="173"/>
        <v>91663.695</v>
      </c>
      <c r="X240" s="135">
        <f t="shared" si="173"/>
        <v>25293.465</v>
      </c>
      <c r="Y240" s="135">
        <f t="shared" si="173"/>
        <v>0</v>
      </c>
      <c r="Z240" s="135">
        <f t="shared" si="173"/>
        <v>42242.985</v>
      </c>
      <c r="AA240" s="135">
        <f t="shared" si="173"/>
        <v>0</v>
      </c>
      <c r="AB240" s="135">
        <f t="shared" si="173"/>
        <v>0</v>
      </c>
      <c r="AC240" s="135">
        <f t="shared" si="173"/>
        <v>0</v>
      </c>
      <c r="AD240" s="135">
        <f t="shared" si="173"/>
        <v>0</v>
      </c>
      <c r="AE240" s="135">
        <f t="shared" si="173"/>
        <v>0</v>
      </c>
      <c r="AF240" s="135">
        <f t="shared" si="173"/>
        <v>0</v>
      </c>
      <c r="AG240" s="2"/>
      <c r="AH240" s="2"/>
      <c r="AI240" s="5"/>
      <c r="AJ240" s="2"/>
      <c r="AK240" s="2"/>
      <c r="AL240" s="2"/>
      <c r="AM240" s="2"/>
      <c r="AN240" s="2"/>
      <c r="AO240" s="2"/>
      <c r="AP240" s="5"/>
      <c r="AQ240" s="5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5"/>
      <c r="AJ241" s="2"/>
      <c r="AK241" s="2"/>
      <c r="AL241" s="2"/>
      <c r="AM241" s="2"/>
      <c r="AN241" s="2"/>
      <c r="AO241" s="2"/>
      <c r="AP241" s="5"/>
      <c r="AQ241" s="5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5"/>
      <c r="AJ242" s="2"/>
      <c r="AK242" s="2"/>
      <c r="AL242" s="2"/>
      <c r="AM242" s="2"/>
      <c r="AN242" s="2"/>
      <c r="AO242" s="2"/>
      <c r="AP242" s="5"/>
      <c r="AQ242" s="5"/>
    </row>
    <row r="243">
      <c r="A243" s="2"/>
      <c r="B243" s="5"/>
      <c r="C243" s="2"/>
      <c r="D243" s="2"/>
      <c r="E243" s="2"/>
      <c r="F243" s="2"/>
      <c r="G243" s="2"/>
      <c r="H243" s="124" t="s">
        <v>111</v>
      </c>
      <c r="I243" s="125"/>
      <c r="J243" s="126">
        <f t="shared" ref="J243:U243" si="174">J225+30</f>
        <v>209</v>
      </c>
      <c r="K243" s="126">
        <f t="shared" si="174"/>
        <v>214</v>
      </c>
      <c r="L243" s="126">
        <f t="shared" si="174"/>
        <v>204</v>
      </c>
      <c r="M243" s="126">
        <f t="shared" si="174"/>
        <v>204</v>
      </c>
      <c r="N243" s="126">
        <f t="shared" si="174"/>
        <v>214</v>
      </c>
      <c r="O243" s="126">
        <f t="shared" si="174"/>
        <v>209</v>
      </c>
      <c r="P243" s="126">
        <f t="shared" si="174"/>
        <v>204</v>
      </c>
      <c r="Q243" s="126">
        <f t="shared" si="174"/>
        <v>214</v>
      </c>
      <c r="R243" s="126">
        <f t="shared" si="174"/>
        <v>209</v>
      </c>
      <c r="S243" s="126">
        <f t="shared" si="174"/>
        <v>204</v>
      </c>
      <c r="T243" s="126">
        <f t="shared" si="174"/>
        <v>214</v>
      </c>
      <c r="U243" s="126">
        <f t="shared" si="174"/>
        <v>204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5"/>
      <c r="AJ243" s="2"/>
      <c r="AK243" s="2"/>
      <c r="AL243" s="2"/>
      <c r="AM243" s="2"/>
      <c r="AN243" s="2"/>
      <c r="AO243" s="2"/>
      <c r="AP243" s="5"/>
      <c r="AQ243" s="5"/>
    </row>
    <row r="244">
      <c r="A244" s="2"/>
      <c r="B244" s="5"/>
      <c r="C244" s="2"/>
      <c r="D244" s="3" t="s">
        <v>115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5"/>
      <c r="AJ244" s="2"/>
      <c r="AK244" s="2"/>
      <c r="AL244" s="2"/>
      <c r="AM244" s="2"/>
      <c r="AN244" s="2"/>
      <c r="AO244" s="2"/>
      <c r="AP244" s="5"/>
      <c r="AQ244" s="5"/>
    </row>
    <row r="245">
      <c r="A245" s="2"/>
      <c r="B245" s="5"/>
      <c r="C245" s="2"/>
      <c r="D245" s="3" t="s">
        <v>113</v>
      </c>
      <c r="H245" s="136">
        <v>30.0</v>
      </c>
      <c r="I245" s="128"/>
      <c r="J245" s="137">
        <f t="shared" ref="J245:U245" si="175">if(J$243&lt;=$H$245,L$202,0)</f>
        <v>0</v>
      </c>
      <c r="K245" s="137">
        <f t="shared" si="175"/>
        <v>0</v>
      </c>
      <c r="L245" s="137">
        <f t="shared" si="175"/>
        <v>0</v>
      </c>
      <c r="M245" s="137">
        <f t="shared" si="175"/>
        <v>0</v>
      </c>
      <c r="N245" s="137">
        <f t="shared" si="175"/>
        <v>0</v>
      </c>
      <c r="O245" s="137">
        <f t="shared" si="175"/>
        <v>0</v>
      </c>
      <c r="P245" s="137">
        <f t="shared" si="175"/>
        <v>0</v>
      </c>
      <c r="Q245" s="137">
        <f t="shared" si="175"/>
        <v>0</v>
      </c>
      <c r="R245" s="137">
        <f t="shared" si="175"/>
        <v>0</v>
      </c>
      <c r="S245" s="137">
        <f t="shared" si="175"/>
        <v>0</v>
      </c>
      <c r="T245" s="137">
        <f t="shared" si="175"/>
        <v>0</v>
      </c>
      <c r="U245" s="137">
        <f t="shared" si="175"/>
        <v>0</v>
      </c>
      <c r="V245" s="130"/>
      <c r="W245" s="130"/>
      <c r="X245" s="130"/>
      <c r="Y245" s="130"/>
      <c r="Z245" s="130"/>
      <c r="AA245" s="130"/>
      <c r="AB245" s="2"/>
      <c r="AC245" s="2"/>
      <c r="AD245" s="2"/>
      <c r="AE245" s="2"/>
      <c r="AF245" s="2"/>
      <c r="AG245" s="2"/>
      <c r="AH245" s="2"/>
      <c r="AI245" s="5"/>
      <c r="AJ245" s="2"/>
      <c r="AK245" s="2"/>
      <c r="AL245" s="2"/>
      <c r="AM245" s="2"/>
      <c r="AN245" s="2"/>
      <c r="AO245" s="2"/>
      <c r="AP245" s="5"/>
      <c r="AQ245" s="5"/>
    </row>
    <row r="246">
      <c r="A246" s="2"/>
      <c r="B246" s="5"/>
      <c r="C246" s="2"/>
      <c r="D246" s="2"/>
      <c r="E246" s="2"/>
      <c r="F246" s="2"/>
      <c r="G246" s="2"/>
      <c r="H246" s="136">
        <v>60.0</v>
      </c>
      <c r="I246" s="128"/>
      <c r="J246" s="132"/>
      <c r="K246" s="137">
        <f t="shared" ref="K246:V246" si="176">if(and(J243&gt;$H$245,J243&lt;=$H$246),L$202,0)</f>
        <v>0</v>
      </c>
      <c r="L246" s="137">
        <f t="shared" si="176"/>
        <v>0</v>
      </c>
      <c r="M246" s="137">
        <f t="shared" si="176"/>
        <v>0</v>
      </c>
      <c r="N246" s="137">
        <f t="shared" si="176"/>
        <v>0</v>
      </c>
      <c r="O246" s="137">
        <f t="shared" si="176"/>
        <v>0</v>
      </c>
      <c r="P246" s="137">
        <f t="shared" si="176"/>
        <v>0</v>
      </c>
      <c r="Q246" s="137">
        <f t="shared" si="176"/>
        <v>0</v>
      </c>
      <c r="R246" s="137">
        <f t="shared" si="176"/>
        <v>0</v>
      </c>
      <c r="S246" s="137">
        <f t="shared" si="176"/>
        <v>0</v>
      </c>
      <c r="T246" s="137">
        <f t="shared" si="176"/>
        <v>0</v>
      </c>
      <c r="U246" s="137">
        <f t="shared" si="176"/>
        <v>0</v>
      </c>
      <c r="V246" s="137">
        <f t="shared" si="176"/>
        <v>0</v>
      </c>
      <c r="W246" s="130"/>
      <c r="X246" s="130"/>
      <c r="Y246" s="130"/>
      <c r="Z246" s="130"/>
      <c r="AA246" s="130"/>
      <c r="AB246" s="2"/>
      <c r="AC246" s="2"/>
      <c r="AD246" s="2"/>
      <c r="AE246" s="2"/>
      <c r="AF246" s="2"/>
      <c r="AG246" s="2"/>
      <c r="AH246" s="2"/>
      <c r="AI246" s="5"/>
      <c r="AJ246" s="2"/>
      <c r="AK246" s="2"/>
      <c r="AL246" s="2"/>
      <c r="AM246" s="2"/>
      <c r="AN246" s="2"/>
      <c r="AO246" s="2"/>
      <c r="AP246" s="5"/>
      <c r="AQ246" s="5"/>
    </row>
    <row r="247">
      <c r="A247" s="2"/>
      <c r="B247" s="5"/>
      <c r="C247" s="2"/>
      <c r="D247" s="2"/>
      <c r="E247" s="2"/>
      <c r="F247" s="2"/>
      <c r="G247" s="2"/>
      <c r="H247" s="136">
        <v>90.0</v>
      </c>
      <c r="I247" s="129"/>
      <c r="J247" s="132"/>
      <c r="K247" s="137"/>
      <c r="L247" s="137">
        <f t="shared" ref="L247:W247" si="177">if(and(J$243&gt;$H$246,J$243&lt;=$H$247),L$202,0)</f>
        <v>0</v>
      </c>
      <c r="M247" s="137">
        <f t="shared" si="177"/>
        <v>0</v>
      </c>
      <c r="N247" s="137">
        <f t="shared" si="177"/>
        <v>0</v>
      </c>
      <c r="O247" s="137">
        <f t="shared" si="177"/>
        <v>0</v>
      </c>
      <c r="P247" s="137">
        <f t="shared" si="177"/>
        <v>0</v>
      </c>
      <c r="Q247" s="137">
        <f t="shared" si="177"/>
        <v>0</v>
      </c>
      <c r="R247" s="137">
        <f t="shared" si="177"/>
        <v>0</v>
      </c>
      <c r="S247" s="137">
        <f t="shared" si="177"/>
        <v>0</v>
      </c>
      <c r="T247" s="137">
        <f t="shared" si="177"/>
        <v>0</v>
      </c>
      <c r="U247" s="137">
        <f t="shared" si="177"/>
        <v>0</v>
      </c>
      <c r="V247" s="137">
        <f t="shared" si="177"/>
        <v>0</v>
      </c>
      <c r="W247" s="137">
        <f t="shared" si="177"/>
        <v>0</v>
      </c>
      <c r="X247" s="130"/>
      <c r="Y247" s="130"/>
      <c r="Z247" s="130"/>
      <c r="AA247" s="130"/>
      <c r="AB247" s="2"/>
      <c r="AC247" s="2"/>
      <c r="AD247" s="2"/>
      <c r="AE247" s="2"/>
      <c r="AF247" s="2"/>
      <c r="AG247" s="2"/>
      <c r="AH247" s="2"/>
      <c r="AI247" s="5"/>
      <c r="AJ247" s="2"/>
      <c r="AK247" s="2"/>
      <c r="AL247" s="2"/>
      <c r="AM247" s="2"/>
      <c r="AN247" s="2"/>
      <c r="AO247" s="2"/>
      <c r="AP247" s="5"/>
      <c r="AQ247" s="5"/>
    </row>
    <row r="248">
      <c r="A248" s="2"/>
      <c r="B248" s="5"/>
      <c r="C248" s="2"/>
      <c r="D248" s="2"/>
      <c r="E248" s="2"/>
      <c r="F248" s="2"/>
      <c r="G248" s="2"/>
      <c r="H248" s="136">
        <v>120.0</v>
      </c>
      <c r="I248" s="129"/>
      <c r="J248" s="132"/>
      <c r="K248" s="137"/>
      <c r="L248" s="137"/>
      <c r="M248" s="137">
        <f t="shared" ref="M248:X248" si="178">if(and(J$243&gt;$H$247,J$243&lt;=$H$248),L$202,0)</f>
        <v>0</v>
      </c>
      <c r="N248" s="137">
        <f t="shared" si="178"/>
        <v>0</v>
      </c>
      <c r="O248" s="137">
        <f t="shared" si="178"/>
        <v>0</v>
      </c>
      <c r="P248" s="137">
        <f t="shared" si="178"/>
        <v>0</v>
      </c>
      <c r="Q248" s="137">
        <f t="shared" si="178"/>
        <v>0</v>
      </c>
      <c r="R248" s="137">
        <f t="shared" si="178"/>
        <v>0</v>
      </c>
      <c r="S248" s="137">
        <f t="shared" si="178"/>
        <v>0</v>
      </c>
      <c r="T248" s="137">
        <f t="shared" si="178"/>
        <v>0</v>
      </c>
      <c r="U248" s="137">
        <f t="shared" si="178"/>
        <v>0</v>
      </c>
      <c r="V248" s="137">
        <f t="shared" si="178"/>
        <v>0</v>
      </c>
      <c r="W248" s="137">
        <f t="shared" si="178"/>
        <v>0</v>
      </c>
      <c r="X248" s="137">
        <f t="shared" si="178"/>
        <v>0</v>
      </c>
      <c r="Y248" s="130"/>
      <c r="Z248" s="130"/>
      <c r="AA248" s="130"/>
      <c r="AB248" s="2"/>
      <c r="AC248" s="2"/>
      <c r="AD248" s="2"/>
      <c r="AE248" s="2"/>
      <c r="AF248" s="2"/>
      <c r="AG248" s="2"/>
      <c r="AH248" s="2"/>
      <c r="AI248" s="5"/>
      <c r="AJ248" s="2"/>
      <c r="AK248" s="2"/>
      <c r="AL248" s="2"/>
      <c r="AM248" s="2"/>
      <c r="AN248" s="2"/>
      <c r="AO248" s="2"/>
      <c r="AP248" s="5"/>
      <c r="AQ248" s="5"/>
    </row>
    <row r="249">
      <c r="A249" s="2"/>
      <c r="B249" s="5"/>
      <c r="C249" s="2"/>
      <c r="D249" s="2"/>
      <c r="E249" s="2"/>
      <c r="F249" s="2"/>
      <c r="G249" s="2"/>
      <c r="H249" s="136">
        <v>150.0</v>
      </c>
      <c r="I249" s="129"/>
      <c r="J249" s="132"/>
      <c r="K249" s="137"/>
      <c r="L249" s="137"/>
      <c r="M249" s="137"/>
      <c r="N249" s="137">
        <f t="shared" ref="N249:Y249" si="179">if(and(J$243&gt;$H$248,J$243&lt;=$H$249),L$202,0)</f>
        <v>0</v>
      </c>
      <c r="O249" s="137">
        <f t="shared" si="179"/>
        <v>0</v>
      </c>
      <c r="P249" s="137">
        <f t="shared" si="179"/>
        <v>0</v>
      </c>
      <c r="Q249" s="137">
        <f t="shared" si="179"/>
        <v>0</v>
      </c>
      <c r="R249" s="137">
        <f t="shared" si="179"/>
        <v>0</v>
      </c>
      <c r="S249" s="137">
        <f t="shared" si="179"/>
        <v>0</v>
      </c>
      <c r="T249" s="137">
        <f t="shared" si="179"/>
        <v>0</v>
      </c>
      <c r="U249" s="137">
        <f t="shared" si="179"/>
        <v>0</v>
      </c>
      <c r="V249" s="137">
        <f t="shared" si="179"/>
        <v>0</v>
      </c>
      <c r="W249" s="137">
        <f t="shared" si="179"/>
        <v>0</v>
      </c>
      <c r="X249" s="137">
        <f t="shared" si="179"/>
        <v>0</v>
      </c>
      <c r="Y249" s="137">
        <f t="shared" si="179"/>
        <v>0</v>
      </c>
      <c r="Z249" s="130"/>
      <c r="AA249" s="130"/>
      <c r="AB249" s="2"/>
      <c r="AC249" s="2"/>
      <c r="AD249" s="2"/>
      <c r="AE249" s="2"/>
      <c r="AF249" s="2"/>
      <c r="AG249" s="2"/>
      <c r="AH249" s="2"/>
      <c r="AI249" s="5"/>
      <c r="AJ249" s="2"/>
      <c r="AK249" s="2"/>
      <c r="AL249" s="2"/>
      <c r="AM249" s="2"/>
      <c r="AN249" s="2"/>
      <c r="AO249" s="2"/>
      <c r="AP249" s="5"/>
      <c r="AQ249" s="5"/>
    </row>
    <row r="250">
      <c r="A250" s="2"/>
      <c r="B250" s="5"/>
      <c r="C250" s="2"/>
      <c r="D250" s="2"/>
      <c r="E250" s="2"/>
      <c r="F250" s="2"/>
      <c r="G250" s="2"/>
      <c r="H250" s="136">
        <v>180.0</v>
      </c>
      <c r="I250" s="129"/>
      <c r="J250" s="132"/>
      <c r="K250" s="137"/>
      <c r="L250" s="137"/>
      <c r="M250" s="137"/>
      <c r="N250" s="137"/>
      <c r="O250" s="137">
        <f t="shared" ref="O250:Z250" si="180">if(and(J$243&gt;$H$249,J$243&lt;=$H$250),L$202,0)</f>
        <v>0</v>
      </c>
      <c r="P250" s="137">
        <f t="shared" si="180"/>
        <v>0</v>
      </c>
      <c r="Q250" s="137">
        <f t="shared" si="180"/>
        <v>0</v>
      </c>
      <c r="R250" s="137">
        <f t="shared" si="180"/>
        <v>0</v>
      </c>
      <c r="S250" s="137">
        <f t="shared" si="180"/>
        <v>0</v>
      </c>
      <c r="T250" s="137">
        <f t="shared" si="180"/>
        <v>0</v>
      </c>
      <c r="U250" s="137">
        <f t="shared" si="180"/>
        <v>0</v>
      </c>
      <c r="V250" s="137">
        <f t="shared" si="180"/>
        <v>0</v>
      </c>
      <c r="W250" s="137">
        <f t="shared" si="180"/>
        <v>0</v>
      </c>
      <c r="X250" s="137">
        <f t="shared" si="180"/>
        <v>0</v>
      </c>
      <c r="Y250" s="137">
        <f t="shared" si="180"/>
        <v>0</v>
      </c>
      <c r="Z250" s="137">
        <f t="shared" si="180"/>
        <v>0</v>
      </c>
      <c r="AA250" s="132"/>
      <c r="AB250" s="2"/>
      <c r="AC250" s="2"/>
      <c r="AD250" s="2"/>
      <c r="AE250" s="2"/>
      <c r="AF250" s="2"/>
      <c r="AG250" s="2"/>
      <c r="AH250" s="2"/>
      <c r="AI250" s="5"/>
      <c r="AJ250" s="2"/>
      <c r="AK250" s="2"/>
      <c r="AL250" s="2"/>
      <c r="AM250" s="2"/>
      <c r="AN250" s="2"/>
      <c r="AO250" s="2"/>
      <c r="AP250" s="5"/>
      <c r="AQ250" s="5"/>
    </row>
    <row r="251">
      <c r="A251" s="2"/>
      <c r="B251" s="5"/>
      <c r="C251" s="2"/>
      <c r="D251" s="2"/>
      <c r="E251" s="2"/>
      <c r="F251" s="2"/>
      <c r="G251" s="2"/>
      <c r="H251" s="136">
        <v>210.0</v>
      </c>
      <c r="I251" s="128"/>
      <c r="J251" s="132"/>
      <c r="K251" s="137"/>
      <c r="L251" s="137"/>
      <c r="M251" s="137"/>
      <c r="N251" s="137"/>
      <c r="O251" s="137"/>
      <c r="P251" s="138">
        <f t="shared" ref="P251:AA251" si="181">if(and(J$243&gt;$H$250,J$243&lt;=$H$251),L$202,0)</f>
        <v>86677.416</v>
      </c>
      <c r="Q251" s="137">
        <f t="shared" si="181"/>
        <v>0</v>
      </c>
      <c r="R251" s="138">
        <f t="shared" si="181"/>
        <v>72373.392</v>
      </c>
      <c r="S251" s="138">
        <f t="shared" si="181"/>
        <v>49739.76</v>
      </c>
      <c r="T251" s="137">
        <f t="shared" si="181"/>
        <v>0</v>
      </c>
      <c r="U251" s="138">
        <f t="shared" si="181"/>
        <v>79335.144</v>
      </c>
      <c r="V251" s="138">
        <f t="shared" si="181"/>
        <v>23973.768</v>
      </c>
      <c r="W251" s="137">
        <f t="shared" si="181"/>
        <v>0</v>
      </c>
      <c r="X251" s="138">
        <f t="shared" si="181"/>
        <v>61275.816</v>
      </c>
      <c r="Y251" s="138">
        <f t="shared" si="181"/>
        <v>18823.896</v>
      </c>
      <c r="Z251" s="137">
        <f t="shared" si="181"/>
        <v>0</v>
      </c>
      <c r="AA251" s="138">
        <f t="shared" si="181"/>
        <v>10707.984</v>
      </c>
      <c r="AB251" s="2"/>
      <c r="AC251" s="2"/>
      <c r="AD251" s="2"/>
      <c r="AE251" s="2"/>
      <c r="AF251" s="2"/>
      <c r="AG251" s="2"/>
      <c r="AH251" s="2"/>
      <c r="AI251" s="5"/>
      <c r="AJ251" s="2"/>
      <c r="AK251" s="2"/>
      <c r="AL251" s="2"/>
      <c r="AM251" s="2"/>
      <c r="AN251" s="2"/>
      <c r="AO251" s="2"/>
      <c r="AP251" s="5"/>
      <c r="AQ251" s="5"/>
    </row>
    <row r="252">
      <c r="A252" s="2"/>
      <c r="B252" s="5"/>
      <c r="C252" s="2"/>
      <c r="D252" s="2"/>
      <c r="E252" s="2"/>
      <c r="F252" s="2"/>
      <c r="G252" s="2"/>
      <c r="H252" s="136">
        <v>240.0</v>
      </c>
      <c r="I252" s="128"/>
      <c r="J252" s="132"/>
      <c r="K252" s="137"/>
      <c r="L252" s="137"/>
      <c r="M252" s="137"/>
      <c r="N252" s="137"/>
      <c r="O252" s="137"/>
      <c r="P252" s="137"/>
      <c r="Q252" s="137">
        <f t="shared" ref="Q252:AB252" si="182">if(and(J$243&gt;$H$251,J$243&lt;=$H$252),L$202,0)</f>
        <v>0</v>
      </c>
      <c r="R252" s="138">
        <f t="shared" si="182"/>
        <v>31053.96</v>
      </c>
      <c r="S252" s="137">
        <f t="shared" si="182"/>
        <v>0</v>
      </c>
      <c r="T252" s="137">
        <f t="shared" si="182"/>
        <v>0</v>
      </c>
      <c r="U252" s="138">
        <f t="shared" si="182"/>
        <v>59948.28</v>
      </c>
      <c r="V252" s="137">
        <f t="shared" si="182"/>
        <v>0</v>
      </c>
      <c r="W252" s="137">
        <f t="shared" si="182"/>
        <v>0</v>
      </c>
      <c r="X252" s="138">
        <f t="shared" si="182"/>
        <v>21712.824</v>
      </c>
      <c r="Y252" s="137">
        <f t="shared" si="182"/>
        <v>0</v>
      </c>
      <c r="Z252" s="137">
        <f t="shared" si="182"/>
        <v>0</v>
      </c>
      <c r="AA252" s="138">
        <f t="shared" si="182"/>
        <v>30121.56</v>
      </c>
      <c r="AB252" s="137">
        <f t="shared" si="182"/>
        <v>0</v>
      </c>
      <c r="AC252" s="2"/>
      <c r="AD252" s="2"/>
      <c r="AE252" s="2"/>
      <c r="AF252" s="2"/>
      <c r="AG252" s="2"/>
      <c r="AH252" s="2"/>
      <c r="AI252" s="5"/>
      <c r="AJ252" s="2"/>
      <c r="AK252" s="2"/>
      <c r="AL252" s="2"/>
      <c r="AM252" s="2"/>
      <c r="AN252" s="2"/>
      <c r="AO252" s="2"/>
      <c r="AP252" s="5"/>
      <c r="AQ252" s="5"/>
    </row>
    <row r="253">
      <c r="A253" s="2"/>
      <c r="B253" s="5"/>
      <c r="C253" s="2"/>
      <c r="D253" s="2"/>
      <c r="E253" s="2"/>
      <c r="F253" s="2"/>
      <c r="G253" s="2"/>
      <c r="H253" s="136">
        <v>270.0</v>
      </c>
      <c r="I253" s="128"/>
      <c r="J253" s="132"/>
      <c r="K253" s="137"/>
      <c r="L253" s="137"/>
      <c r="M253" s="137"/>
      <c r="N253" s="137"/>
      <c r="O253" s="137"/>
      <c r="P253" s="137"/>
      <c r="Q253" s="137"/>
      <c r="R253" s="137">
        <f t="shared" ref="R253:AC253" si="183">if(and(J$243&gt;$H$252,J$243&lt;=$H$253),L$202,0)</f>
        <v>0</v>
      </c>
      <c r="S253" s="137">
        <f t="shared" si="183"/>
        <v>0</v>
      </c>
      <c r="T253" s="137">
        <f t="shared" si="183"/>
        <v>0</v>
      </c>
      <c r="U253" s="137">
        <f t="shared" si="183"/>
        <v>0</v>
      </c>
      <c r="V253" s="137">
        <f t="shared" si="183"/>
        <v>0</v>
      </c>
      <c r="W253" s="137">
        <f t="shared" si="183"/>
        <v>0</v>
      </c>
      <c r="X253" s="137">
        <f t="shared" si="183"/>
        <v>0</v>
      </c>
      <c r="Y253" s="137">
        <f t="shared" si="183"/>
        <v>0</v>
      </c>
      <c r="Z253" s="137">
        <f t="shared" si="183"/>
        <v>0</v>
      </c>
      <c r="AA253" s="137">
        <f t="shared" si="183"/>
        <v>0</v>
      </c>
      <c r="AB253" s="137">
        <f t="shared" si="183"/>
        <v>0</v>
      </c>
      <c r="AC253" s="137">
        <f t="shared" si="183"/>
        <v>0</v>
      </c>
      <c r="AD253" s="2"/>
      <c r="AE253" s="2"/>
      <c r="AF253" s="2"/>
      <c r="AG253" s="2"/>
      <c r="AH253" s="2"/>
      <c r="AI253" s="5"/>
      <c r="AJ253" s="2"/>
      <c r="AK253" s="2"/>
      <c r="AL253" s="2"/>
      <c r="AM253" s="2"/>
      <c r="AN253" s="2"/>
      <c r="AO253" s="2"/>
      <c r="AP253" s="5"/>
      <c r="AQ253" s="5"/>
    </row>
    <row r="254">
      <c r="A254" s="2"/>
      <c r="B254" s="5"/>
      <c r="C254" s="2"/>
      <c r="D254" s="2"/>
      <c r="E254" s="2"/>
      <c r="F254" s="2"/>
      <c r="G254" s="2"/>
      <c r="H254" s="136">
        <v>300.0</v>
      </c>
      <c r="I254" s="128"/>
      <c r="J254" s="132"/>
      <c r="K254" s="137"/>
      <c r="L254" s="137"/>
      <c r="M254" s="137"/>
      <c r="N254" s="137"/>
      <c r="O254" s="137"/>
      <c r="P254" s="137"/>
      <c r="Q254" s="137"/>
      <c r="R254" s="137"/>
      <c r="S254" s="137">
        <f t="shared" ref="S254:AD254" si="184">if(and(J$243&gt;$H$253,J$243&lt;=$H$254),L$202,0)</f>
        <v>0</v>
      </c>
      <c r="T254" s="137">
        <f t="shared" si="184"/>
        <v>0</v>
      </c>
      <c r="U254" s="137">
        <f t="shared" si="184"/>
        <v>0</v>
      </c>
      <c r="V254" s="137">
        <f t="shared" si="184"/>
        <v>0</v>
      </c>
      <c r="W254" s="137">
        <f t="shared" si="184"/>
        <v>0</v>
      </c>
      <c r="X254" s="137">
        <f t="shared" si="184"/>
        <v>0</v>
      </c>
      <c r="Y254" s="137">
        <f t="shared" si="184"/>
        <v>0</v>
      </c>
      <c r="Z254" s="137">
        <f t="shared" si="184"/>
        <v>0</v>
      </c>
      <c r="AA254" s="137">
        <f t="shared" si="184"/>
        <v>0</v>
      </c>
      <c r="AB254" s="137">
        <f t="shared" si="184"/>
        <v>0</v>
      </c>
      <c r="AC254" s="137">
        <f t="shared" si="184"/>
        <v>0</v>
      </c>
      <c r="AD254" s="137">
        <f t="shared" si="184"/>
        <v>0</v>
      </c>
      <c r="AE254" s="2"/>
      <c r="AF254" s="2"/>
      <c r="AG254" s="2"/>
      <c r="AH254" s="2"/>
      <c r="AI254" s="5"/>
      <c r="AJ254" s="2"/>
      <c r="AK254" s="2"/>
      <c r="AL254" s="2"/>
      <c r="AM254" s="2"/>
      <c r="AN254" s="2"/>
      <c r="AO254" s="2"/>
      <c r="AP254" s="5"/>
      <c r="AQ254" s="5"/>
    </row>
    <row r="255">
      <c r="A255" s="2"/>
      <c r="B255" s="5"/>
      <c r="C255" s="2"/>
      <c r="D255" s="2"/>
      <c r="E255" s="2"/>
      <c r="F255" s="2"/>
      <c r="G255" s="2"/>
      <c r="H255" s="136">
        <v>330.0</v>
      </c>
      <c r="I255" s="128"/>
      <c r="J255" s="132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>
        <f t="shared" ref="T255:AE255" si="185">if(and(J$243&gt;$H$254,J$243&lt;=$H$255),L$202,0)</f>
        <v>0</v>
      </c>
      <c r="U255" s="137">
        <f t="shared" si="185"/>
        <v>0</v>
      </c>
      <c r="V255" s="137">
        <f t="shared" si="185"/>
        <v>0</v>
      </c>
      <c r="W255" s="137">
        <f t="shared" si="185"/>
        <v>0</v>
      </c>
      <c r="X255" s="137">
        <f t="shared" si="185"/>
        <v>0</v>
      </c>
      <c r="Y255" s="137">
        <f t="shared" si="185"/>
        <v>0</v>
      </c>
      <c r="Z255" s="137">
        <f t="shared" si="185"/>
        <v>0</v>
      </c>
      <c r="AA255" s="137">
        <f t="shared" si="185"/>
        <v>0</v>
      </c>
      <c r="AB255" s="137">
        <f t="shared" si="185"/>
        <v>0</v>
      </c>
      <c r="AC255" s="137">
        <f t="shared" si="185"/>
        <v>0</v>
      </c>
      <c r="AD255" s="137">
        <f t="shared" si="185"/>
        <v>0</v>
      </c>
      <c r="AE255" s="137">
        <f t="shared" si="185"/>
        <v>0</v>
      </c>
      <c r="AF255" s="2"/>
      <c r="AG255" s="2"/>
      <c r="AH255" s="2"/>
      <c r="AI255" s="5"/>
      <c r="AJ255" s="2"/>
      <c r="AK255" s="2"/>
      <c r="AL255" s="2"/>
      <c r="AM255" s="2"/>
      <c r="AN255" s="2"/>
      <c r="AO255" s="2"/>
      <c r="AP255" s="5"/>
      <c r="AQ255" s="5"/>
    </row>
    <row r="256">
      <c r="A256" s="2"/>
      <c r="B256" s="5"/>
      <c r="C256" s="2"/>
      <c r="D256" s="2"/>
      <c r="E256" s="2"/>
      <c r="F256" s="2"/>
      <c r="G256" s="2"/>
      <c r="H256" s="136">
        <v>360.0</v>
      </c>
      <c r="I256" s="128"/>
      <c r="J256" s="132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>
        <f t="shared" ref="U256:AF256" si="186">if(and(J$243&gt;$H$255,J$243&lt;=$H$256),L$202,0)</f>
        <v>0</v>
      </c>
      <c r="V256" s="137">
        <f t="shared" si="186"/>
        <v>0</v>
      </c>
      <c r="W256" s="137">
        <f t="shared" si="186"/>
        <v>0</v>
      </c>
      <c r="X256" s="137">
        <f t="shared" si="186"/>
        <v>0</v>
      </c>
      <c r="Y256" s="137">
        <f t="shared" si="186"/>
        <v>0</v>
      </c>
      <c r="Z256" s="137">
        <f t="shared" si="186"/>
        <v>0</v>
      </c>
      <c r="AA256" s="137">
        <f t="shared" si="186"/>
        <v>0</v>
      </c>
      <c r="AB256" s="137">
        <f t="shared" si="186"/>
        <v>0</v>
      </c>
      <c r="AC256" s="137">
        <f t="shared" si="186"/>
        <v>0</v>
      </c>
      <c r="AD256" s="137">
        <f t="shared" si="186"/>
        <v>0</v>
      </c>
      <c r="AE256" s="137">
        <f t="shared" si="186"/>
        <v>0</v>
      </c>
      <c r="AF256" s="137">
        <f t="shared" si="186"/>
        <v>0</v>
      </c>
      <c r="AG256" s="2"/>
      <c r="AH256" s="2"/>
      <c r="AI256" s="5"/>
      <c r="AJ256" s="2"/>
      <c r="AK256" s="2"/>
      <c r="AL256" s="2"/>
      <c r="AM256" s="2"/>
      <c r="AN256" s="2"/>
      <c r="AO256" s="2"/>
      <c r="AP256" s="5"/>
      <c r="AQ256" s="5"/>
    </row>
    <row r="257">
      <c r="A257" s="2"/>
      <c r="B257" s="5"/>
      <c r="C257" s="2"/>
      <c r="D257" s="2"/>
      <c r="E257" s="2"/>
      <c r="F257" s="2"/>
      <c r="G257" s="2"/>
      <c r="H257" s="128"/>
      <c r="I257" s="128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0"/>
      <c r="W257" s="130"/>
      <c r="X257" s="130"/>
      <c r="Y257" s="130"/>
      <c r="Z257" s="130"/>
      <c r="AA257" s="130"/>
      <c r="AB257" s="2"/>
      <c r="AC257" s="2"/>
      <c r="AD257" s="2"/>
      <c r="AE257" s="2"/>
      <c r="AF257" s="2"/>
      <c r="AG257" s="2"/>
      <c r="AH257" s="2"/>
      <c r="AI257" s="5"/>
      <c r="AJ257" s="2"/>
      <c r="AK257" s="2"/>
      <c r="AL257" s="2"/>
      <c r="AM257" s="2"/>
      <c r="AN257" s="2"/>
      <c r="AO257" s="2"/>
      <c r="AP257" s="5"/>
      <c r="AQ257" s="5"/>
    </row>
    <row r="258">
      <c r="A258" s="2"/>
      <c r="B258" s="5"/>
      <c r="C258" s="2"/>
      <c r="D258" s="2"/>
      <c r="E258" s="2"/>
      <c r="F258" s="2"/>
      <c r="G258" s="2"/>
      <c r="H258" s="139"/>
      <c r="I258" s="139"/>
      <c r="J258" s="138">
        <f t="shared" ref="J258:AF258" si="187">sum(J245:J256)</f>
        <v>0</v>
      </c>
      <c r="K258" s="138">
        <f t="shared" si="187"/>
        <v>0</v>
      </c>
      <c r="L258" s="138">
        <f t="shared" si="187"/>
        <v>0</v>
      </c>
      <c r="M258" s="138">
        <f t="shared" si="187"/>
        <v>0</v>
      </c>
      <c r="N258" s="138">
        <f t="shared" si="187"/>
        <v>0</v>
      </c>
      <c r="O258" s="138">
        <f t="shared" si="187"/>
        <v>0</v>
      </c>
      <c r="P258" s="138">
        <f t="shared" si="187"/>
        <v>86677.416</v>
      </c>
      <c r="Q258" s="138">
        <f t="shared" si="187"/>
        <v>0</v>
      </c>
      <c r="R258" s="138">
        <f t="shared" si="187"/>
        <v>103427.352</v>
      </c>
      <c r="S258" s="138">
        <f t="shared" si="187"/>
        <v>49739.76</v>
      </c>
      <c r="T258" s="138">
        <f t="shared" si="187"/>
        <v>0</v>
      </c>
      <c r="U258" s="138">
        <f t="shared" si="187"/>
        <v>139283.424</v>
      </c>
      <c r="V258" s="138">
        <f t="shared" si="187"/>
        <v>23973.768</v>
      </c>
      <c r="W258" s="138">
        <f t="shared" si="187"/>
        <v>0</v>
      </c>
      <c r="X258" s="138">
        <f t="shared" si="187"/>
        <v>82988.64</v>
      </c>
      <c r="Y258" s="138">
        <f t="shared" si="187"/>
        <v>18823.896</v>
      </c>
      <c r="Z258" s="138">
        <f t="shared" si="187"/>
        <v>0</v>
      </c>
      <c r="AA258" s="138">
        <f t="shared" si="187"/>
        <v>40829.544</v>
      </c>
      <c r="AB258" s="138">
        <f t="shared" si="187"/>
        <v>0</v>
      </c>
      <c r="AC258" s="138">
        <f t="shared" si="187"/>
        <v>0</v>
      </c>
      <c r="AD258" s="138">
        <f t="shared" si="187"/>
        <v>0</v>
      </c>
      <c r="AE258" s="138">
        <f t="shared" si="187"/>
        <v>0</v>
      </c>
      <c r="AF258" s="138">
        <f t="shared" si="187"/>
        <v>0</v>
      </c>
      <c r="AG258" s="2"/>
      <c r="AH258" s="2"/>
      <c r="AI258" s="5"/>
      <c r="AJ258" s="2"/>
      <c r="AK258" s="2"/>
      <c r="AL258" s="2"/>
      <c r="AM258" s="2"/>
      <c r="AN258" s="2"/>
      <c r="AO258" s="2"/>
      <c r="AP258" s="5"/>
      <c r="AQ258" s="5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5"/>
      <c r="AJ259" s="2"/>
      <c r="AK259" s="2"/>
      <c r="AL259" s="2"/>
      <c r="AM259" s="2"/>
      <c r="AN259" s="2"/>
      <c r="AO259" s="2"/>
      <c r="AP259" s="5"/>
      <c r="AQ259" s="5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5"/>
      <c r="AJ260" s="2"/>
      <c r="AK260" s="2"/>
      <c r="AL260" s="2"/>
      <c r="AM260" s="2"/>
      <c r="AN260" s="2"/>
      <c r="AO260" s="5"/>
      <c r="AP260" s="5"/>
      <c r="AQ260" s="5"/>
    </row>
    <row r="261">
      <c r="A261" s="2"/>
      <c r="B261" s="5"/>
      <c r="C261" s="2"/>
      <c r="D261" s="2"/>
      <c r="E261" s="2"/>
      <c r="F261" s="2"/>
      <c r="G261" s="2"/>
      <c r="H261" s="124" t="s">
        <v>111</v>
      </c>
      <c r="I261" s="125"/>
      <c r="J261" s="126">
        <f t="shared" ref="J261:U261" si="188">J243+30</f>
        <v>239</v>
      </c>
      <c r="K261" s="126">
        <f t="shared" si="188"/>
        <v>244</v>
      </c>
      <c r="L261" s="126">
        <f t="shared" si="188"/>
        <v>234</v>
      </c>
      <c r="M261" s="126">
        <f t="shared" si="188"/>
        <v>234</v>
      </c>
      <c r="N261" s="126">
        <f t="shared" si="188"/>
        <v>244</v>
      </c>
      <c r="O261" s="126">
        <f t="shared" si="188"/>
        <v>239</v>
      </c>
      <c r="P261" s="126">
        <f t="shared" si="188"/>
        <v>234</v>
      </c>
      <c r="Q261" s="126">
        <f t="shared" si="188"/>
        <v>244</v>
      </c>
      <c r="R261" s="126">
        <f t="shared" si="188"/>
        <v>239</v>
      </c>
      <c r="S261" s="126">
        <f t="shared" si="188"/>
        <v>234</v>
      </c>
      <c r="T261" s="126">
        <f t="shared" si="188"/>
        <v>244</v>
      </c>
      <c r="U261" s="126">
        <f t="shared" si="188"/>
        <v>234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5"/>
      <c r="AJ261" s="2"/>
      <c r="AK261" s="2"/>
      <c r="AL261" s="2"/>
      <c r="AM261" s="2"/>
      <c r="AN261" s="2"/>
      <c r="AO261" s="5"/>
      <c r="AP261" s="5"/>
      <c r="AQ261" s="5"/>
    </row>
    <row r="262">
      <c r="A262" s="2"/>
      <c r="B262" s="5"/>
      <c r="C262" s="2"/>
      <c r="D262" s="3" t="s">
        <v>116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5"/>
      <c r="AJ262" s="2"/>
      <c r="AK262" s="2"/>
      <c r="AL262" s="2"/>
      <c r="AM262" s="2"/>
      <c r="AN262" s="2"/>
      <c r="AO262" s="5"/>
      <c r="AP262" s="5"/>
      <c r="AQ262" s="5"/>
    </row>
    <row r="263">
      <c r="A263" s="2"/>
      <c r="B263" s="5"/>
      <c r="C263" s="2"/>
      <c r="D263" s="3" t="s">
        <v>113</v>
      </c>
      <c r="H263" s="136">
        <v>30.0</v>
      </c>
      <c r="I263" s="128"/>
      <c r="J263" s="137">
        <f t="shared" ref="J263:U263" si="189">if(J$261&lt;=$H$263,M$203,0)</f>
        <v>0</v>
      </c>
      <c r="K263" s="137">
        <f t="shared" si="189"/>
        <v>0</v>
      </c>
      <c r="L263" s="137">
        <f t="shared" si="189"/>
        <v>0</v>
      </c>
      <c r="M263" s="137">
        <f t="shared" si="189"/>
        <v>0</v>
      </c>
      <c r="N263" s="137">
        <f t="shared" si="189"/>
        <v>0</v>
      </c>
      <c r="O263" s="137">
        <f t="shared" si="189"/>
        <v>0</v>
      </c>
      <c r="P263" s="137">
        <f t="shared" si="189"/>
        <v>0</v>
      </c>
      <c r="Q263" s="137">
        <f t="shared" si="189"/>
        <v>0</v>
      </c>
      <c r="R263" s="137">
        <f t="shared" si="189"/>
        <v>0</v>
      </c>
      <c r="S263" s="137">
        <f t="shared" si="189"/>
        <v>0</v>
      </c>
      <c r="T263" s="137">
        <f t="shared" si="189"/>
        <v>0</v>
      </c>
      <c r="U263" s="137">
        <f t="shared" si="189"/>
        <v>0</v>
      </c>
      <c r="V263" s="130"/>
      <c r="W263" s="130"/>
      <c r="X263" s="130"/>
      <c r="Y263" s="130"/>
      <c r="Z263" s="130"/>
      <c r="AA263" s="130"/>
      <c r="AB263" s="2"/>
      <c r="AC263" s="2"/>
      <c r="AD263" s="2"/>
      <c r="AE263" s="2"/>
      <c r="AF263" s="2"/>
      <c r="AG263" s="2"/>
      <c r="AH263" s="2"/>
      <c r="AI263" s="5"/>
      <c r="AJ263" s="2"/>
      <c r="AK263" s="2"/>
      <c r="AL263" s="2"/>
      <c r="AM263" s="2"/>
      <c r="AN263" s="2"/>
      <c r="AO263" s="5"/>
      <c r="AP263" s="5"/>
      <c r="AQ263" s="5"/>
    </row>
    <row r="264">
      <c r="A264" s="2"/>
      <c r="B264" s="5"/>
      <c r="C264" s="2"/>
      <c r="D264" s="2"/>
      <c r="E264" s="2"/>
      <c r="F264" s="2"/>
      <c r="G264" s="2"/>
      <c r="H264" s="136">
        <v>60.0</v>
      </c>
      <c r="I264" s="128"/>
      <c r="J264" s="132"/>
      <c r="K264" s="137">
        <f t="shared" ref="K264:V264" si="190">if(and(J$261&gt;$H$263,J$261&lt;=$H$264),M$203,0)</f>
        <v>0</v>
      </c>
      <c r="L264" s="137">
        <f t="shared" si="190"/>
        <v>0</v>
      </c>
      <c r="M264" s="137">
        <f t="shared" si="190"/>
        <v>0</v>
      </c>
      <c r="N264" s="137">
        <f t="shared" si="190"/>
        <v>0</v>
      </c>
      <c r="O264" s="137">
        <f t="shared" si="190"/>
        <v>0</v>
      </c>
      <c r="P264" s="137">
        <f t="shared" si="190"/>
        <v>0</v>
      </c>
      <c r="Q264" s="137">
        <f t="shared" si="190"/>
        <v>0</v>
      </c>
      <c r="R264" s="137">
        <f t="shared" si="190"/>
        <v>0</v>
      </c>
      <c r="S264" s="137">
        <f t="shared" si="190"/>
        <v>0</v>
      </c>
      <c r="T264" s="137">
        <f t="shared" si="190"/>
        <v>0</v>
      </c>
      <c r="U264" s="137">
        <f t="shared" si="190"/>
        <v>0</v>
      </c>
      <c r="V264" s="137">
        <f t="shared" si="190"/>
        <v>0</v>
      </c>
      <c r="W264" s="130"/>
      <c r="X264" s="130"/>
      <c r="Y264" s="130"/>
      <c r="Z264" s="130"/>
      <c r="AA264" s="130"/>
      <c r="AB264" s="2"/>
      <c r="AC264" s="2"/>
      <c r="AD264" s="2"/>
      <c r="AE264" s="2"/>
      <c r="AF264" s="2"/>
      <c r="AG264" s="2"/>
      <c r="AH264" s="2"/>
      <c r="AI264" s="5"/>
      <c r="AJ264" s="2"/>
      <c r="AK264" s="2"/>
      <c r="AL264" s="2"/>
      <c r="AM264" s="2"/>
      <c r="AN264" s="2"/>
      <c r="AO264" s="5"/>
      <c r="AP264" s="5"/>
      <c r="AQ264" s="5"/>
    </row>
    <row r="265">
      <c r="A265" s="2"/>
      <c r="B265" s="5"/>
      <c r="C265" s="2"/>
      <c r="D265" s="2"/>
      <c r="E265" s="2"/>
      <c r="F265" s="2"/>
      <c r="G265" s="2"/>
      <c r="H265" s="136">
        <v>90.0</v>
      </c>
      <c r="I265" s="129"/>
      <c r="J265" s="132"/>
      <c r="K265" s="137"/>
      <c r="L265" s="137">
        <f t="shared" ref="L265:W265" si="191">if(and(J$261&gt;$H$264,J$261&lt;=$H$265),M$203,0)</f>
        <v>0</v>
      </c>
      <c r="M265" s="137">
        <f t="shared" si="191"/>
        <v>0</v>
      </c>
      <c r="N265" s="137">
        <f t="shared" si="191"/>
        <v>0</v>
      </c>
      <c r="O265" s="137">
        <f t="shared" si="191"/>
        <v>0</v>
      </c>
      <c r="P265" s="137">
        <f t="shared" si="191"/>
        <v>0</v>
      </c>
      <c r="Q265" s="137">
        <f t="shared" si="191"/>
        <v>0</v>
      </c>
      <c r="R265" s="137">
        <f t="shared" si="191"/>
        <v>0</v>
      </c>
      <c r="S265" s="137">
        <f t="shared" si="191"/>
        <v>0</v>
      </c>
      <c r="T265" s="137">
        <f t="shared" si="191"/>
        <v>0</v>
      </c>
      <c r="U265" s="137">
        <f t="shared" si="191"/>
        <v>0</v>
      </c>
      <c r="V265" s="137">
        <f t="shared" si="191"/>
        <v>0</v>
      </c>
      <c r="W265" s="137">
        <f t="shared" si="191"/>
        <v>0</v>
      </c>
      <c r="X265" s="130"/>
      <c r="Y265" s="130"/>
      <c r="Z265" s="130"/>
      <c r="AA265" s="130"/>
      <c r="AB265" s="2"/>
      <c r="AC265" s="2"/>
      <c r="AD265" s="2"/>
      <c r="AE265" s="2"/>
      <c r="AF265" s="2"/>
      <c r="AG265" s="2"/>
      <c r="AH265" s="2"/>
      <c r="AI265" s="5"/>
      <c r="AJ265" s="2"/>
      <c r="AK265" s="2"/>
      <c r="AL265" s="2"/>
      <c r="AM265" s="2"/>
      <c r="AN265" s="2"/>
      <c r="AO265" s="5"/>
      <c r="AP265" s="5"/>
      <c r="AQ265" s="5"/>
    </row>
    <row r="266">
      <c r="A266" s="2"/>
      <c r="B266" s="5"/>
      <c r="C266" s="2"/>
      <c r="D266" s="2"/>
      <c r="E266" s="2"/>
      <c r="F266" s="2"/>
      <c r="G266" s="2"/>
      <c r="H266" s="136">
        <v>120.0</v>
      </c>
      <c r="I266" s="129"/>
      <c r="J266" s="132"/>
      <c r="K266" s="137"/>
      <c r="L266" s="137"/>
      <c r="M266" s="137">
        <f t="shared" ref="M266:X266" si="192">if(and(J$261&gt;$H$265,J$261&lt;=$H$266),M$203,0)</f>
        <v>0</v>
      </c>
      <c r="N266" s="137">
        <f t="shared" si="192"/>
        <v>0</v>
      </c>
      <c r="O266" s="137">
        <f t="shared" si="192"/>
        <v>0</v>
      </c>
      <c r="P266" s="137">
        <f t="shared" si="192"/>
        <v>0</v>
      </c>
      <c r="Q266" s="137">
        <f t="shared" si="192"/>
        <v>0</v>
      </c>
      <c r="R266" s="137">
        <f t="shared" si="192"/>
        <v>0</v>
      </c>
      <c r="S266" s="137">
        <f t="shared" si="192"/>
        <v>0</v>
      </c>
      <c r="T266" s="137">
        <f t="shared" si="192"/>
        <v>0</v>
      </c>
      <c r="U266" s="137">
        <f t="shared" si="192"/>
        <v>0</v>
      </c>
      <c r="V266" s="137">
        <f t="shared" si="192"/>
        <v>0</v>
      </c>
      <c r="W266" s="137">
        <f t="shared" si="192"/>
        <v>0</v>
      </c>
      <c r="X266" s="137">
        <f t="shared" si="192"/>
        <v>0</v>
      </c>
      <c r="Y266" s="130"/>
      <c r="Z266" s="130"/>
      <c r="AA266" s="130"/>
      <c r="AB266" s="2"/>
      <c r="AC266" s="2"/>
      <c r="AD266" s="2"/>
      <c r="AE266" s="2"/>
      <c r="AF266" s="2"/>
      <c r="AG266" s="2"/>
      <c r="AH266" s="2"/>
      <c r="AI266" s="5"/>
      <c r="AJ266" s="2"/>
      <c r="AK266" s="2"/>
      <c r="AL266" s="2"/>
      <c r="AM266" s="2"/>
      <c r="AN266" s="2"/>
      <c r="AO266" s="5"/>
      <c r="AP266" s="5"/>
      <c r="AQ266" s="5"/>
    </row>
    <row r="267">
      <c r="A267" s="2"/>
      <c r="B267" s="5"/>
      <c r="C267" s="2"/>
      <c r="D267" s="2"/>
      <c r="E267" s="2"/>
      <c r="F267" s="2"/>
      <c r="G267" s="2"/>
      <c r="H267" s="136">
        <v>150.0</v>
      </c>
      <c r="I267" s="129"/>
      <c r="J267" s="132"/>
      <c r="K267" s="137"/>
      <c r="L267" s="137"/>
      <c r="M267" s="137"/>
      <c r="N267" s="137">
        <f t="shared" ref="N267:Y267" si="193">if(and(J$261&gt;$H$266,J$261&lt;=$H$267),M$203,0)</f>
        <v>0</v>
      </c>
      <c r="O267" s="137">
        <f t="shared" si="193"/>
        <v>0</v>
      </c>
      <c r="P267" s="137">
        <f t="shared" si="193"/>
        <v>0</v>
      </c>
      <c r="Q267" s="137">
        <f t="shared" si="193"/>
        <v>0</v>
      </c>
      <c r="R267" s="137">
        <f t="shared" si="193"/>
        <v>0</v>
      </c>
      <c r="S267" s="137">
        <f t="shared" si="193"/>
        <v>0</v>
      </c>
      <c r="T267" s="137">
        <f t="shared" si="193"/>
        <v>0</v>
      </c>
      <c r="U267" s="137">
        <f t="shared" si="193"/>
        <v>0</v>
      </c>
      <c r="V267" s="137">
        <f t="shared" si="193"/>
        <v>0</v>
      </c>
      <c r="W267" s="137">
        <f t="shared" si="193"/>
        <v>0</v>
      </c>
      <c r="X267" s="137">
        <f t="shared" si="193"/>
        <v>0</v>
      </c>
      <c r="Y267" s="137">
        <f t="shared" si="193"/>
        <v>0</v>
      </c>
      <c r="Z267" s="130"/>
      <c r="AA267" s="130"/>
      <c r="AB267" s="2"/>
      <c r="AC267" s="2"/>
      <c r="AD267" s="2"/>
      <c r="AE267" s="2"/>
      <c r="AF267" s="2"/>
      <c r="AG267" s="2"/>
      <c r="AH267" s="2"/>
      <c r="AI267" s="5"/>
      <c r="AJ267" s="2"/>
      <c r="AK267" s="2"/>
      <c r="AL267" s="2"/>
      <c r="AM267" s="2"/>
      <c r="AN267" s="2"/>
      <c r="AO267" s="5"/>
      <c r="AP267" s="5"/>
      <c r="AQ267" s="5"/>
    </row>
    <row r="268">
      <c r="A268" s="2"/>
      <c r="B268" s="5"/>
      <c r="C268" s="2"/>
      <c r="D268" s="2"/>
      <c r="E268" s="2"/>
      <c r="F268" s="2"/>
      <c r="G268" s="2"/>
      <c r="H268" s="136">
        <v>180.0</v>
      </c>
      <c r="I268" s="129"/>
      <c r="J268" s="132"/>
      <c r="K268" s="137"/>
      <c r="L268" s="137"/>
      <c r="M268" s="137"/>
      <c r="N268" s="137"/>
      <c r="O268" s="137">
        <f t="shared" ref="O268:Z268" si="194">if(and(J$261&gt;$H$267,J$261&lt;=$H$268),M$203,0)</f>
        <v>0</v>
      </c>
      <c r="P268" s="137">
        <f t="shared" si="194"/>
        <v>0</v>
      </c>
      <c r="Q268" s="137">
        <f t="shared" si="194"/>
        <v>0</v>
      </c>
      <c r="R268" s="137">
        <f t="shared" si="194"/>
        <v>0</v>
      </c>
      <c r="S268" s="137">
        <f t="shared" si="194"/>
        <v>0</v>
      </c>
      <c r="T268" s="137">
        <f t="shared" si="194"/>
        <v>0</v>
      </c>
      <c r="U268" s="137">
        <f t="shared" si="194"/>
        <v>0</v>
      </c>
      <c r="V268" s="137">
        <f t="shared" si="194"/>
        <v>0</v>
      </c>
      <c r="W268" s="137">
        <f t="shared" si="194"/>
        <v>0</v>
      </c>
      <c r="X268" s="137">
        <f t="shared" si="194"/>
        <v>0</v>
      </c>
      <c r="Y268" s="137">
        <f t="shared" si="194"/>
        <v>0</v>
      </c>
      <c r="Z268" s="137">
        <f t="shared" si="194"/>
        <v>0</v>
      </c>
      <c r="AA268" s="132"/>
      <c r="AB268" s="2"/>
      <c r="AC268" s="2"/>
      <c r="AD268" s="2"/>
      <c r="AE268" s="2"/>
      <c r="AF268" s="2"/>
      <c r="AG268" s="2"/>
      <c r="AH268" s="2"/>
      <c r="AI268" s="5"/>
      <c r="AJ268" s="2"/>
      <c r="AK268" s="2"/>
      <c r="AL268" s="2"/>
      <c r="AM268" s="2"/>
      <c r="AN268" s="2"/>
      <c r="AO268" s="5"/>
      <c r="AP268" s="5"/>
      <c r="AQ268" s="5"/>
    </row>
    <row r="269">
      <c r="A269" s="2"/>
      <c r="B269" s="5"/>
      <c r="C269" s="2"/>
      <c r="D269" s="2"/>
      <c r="E269" s="2"/>
      <c r="F269" s="2"/>
      <c r="G269" s="2"/>
      <c r="H269" s="136">
        <v>210.0</v>
      </c>
      <c r="I269" s="128"/>
      <c r="J269" s="132"/>
      <c r="K269" s="137"/>
      <c r="L269" s="137"/>
      <c r="M269" s="137"/>
      <c r="N269" s="137"/>
      <c r="O269" s="137"/>
      <c r="P269" s="137">
        <f t="shared" ref="P269:AA269" si="195">if(and(J$261&gt;$H$268,J$261&lt;=$H$269),M$203,0)</f>
        <v>0</v>
      </c>
      <c r="Q269" s="137">
        <f t="shared" si="195"/>
        <v>0</v>
      </c>
      <c r="R269" s="137">
        <f t="shared" si="195"/>
        <v>0</v>
      </c>
      <c r="S269" s="137">
        <f t="shared" si="195"/>
        <v>0</v>
      </c>
      <c r="T269" s="137">
        <f t="shared" si="195"/>
        <v>0</v>
      </c>
      <c r="U269" s="137">
        <f t="shared" si="195"/>
        <v>0</v>
      </c>
      <c r="V269" s="137">
        <f t="shared" si="195"/>
        <v>0</v>
      </c>
      <c r="W269" s="137">
        <f t="shared" si="195"/>
        <v>0</v>
      </c>
      <c r="X269" s="137">
        <f t="shared" si="195"/>
        <v>0</v>
      </c>
      <c r="Y269" s="137">
        <f t="shared" si="195"/>
        <v>0</v>
      </c>
      <c r="Z269" s="137">
        <f t="shared" si="195"/>
        <v>0</v>
      </c>
      <c r="AA269" s="137">
        <f t="shared" si="195"/>
        <v>0</v>
      </c>
      <c r="AB269" s="2"/>
      <c r="AC269" s="2"/>
      <c r="AD269" s="2"/>
      <c r="AE269" s="2"/>
      <c r="AF269" s="2"/>
      <c r="AG269" s="2"/>
      <c r="AH269" s="2"/>
      <c r="AI269" s="5"/>
      <c r="AJ269" s="2"/>
      <c r="AK269" s="2"/>
      <c r="AL269" s="2"/>
      <c r="AM269" s="2"/>
      <c r="AN269" s="2"/>
      <c r="AO269" s="5"/>
      <c r="AP269" s="5"/>
      <c r="AQ269" s="5"/>
    </row>
    <row r="270">
      <c r="A270" s="2"/>
      <c r="B270" s="5"/>
      <c r="C270" s="2"/>
      <c r="D270" s="2"/>
      <c r="E270" s="2"/>
      <c r="F270" s="2"/>
      <c r="G270" s="2"/>
      <c r="H270" s="136">
        <v>240.0</v>
      </c>
      <c r="I270" s="128"/>
      <c r="J270" s="132"/>
      <c r="K270" s="137"/>
      <c r="L270" s="137"/>
      <c r="M270" s="137"/>
      <c r="N270" s="137"/>
      <c r="O270" s="137"/>
      <c r="P270" s="137"/>
      <c r="Q270" s="138">
        <f t="shared" ref="Q270:AB270" si="196">if(and(J$261&gt;$H$269,J$261&lt;=$H$270),M$203,0)</f>
        <v>57407.646</v>
      </c>
      <c r="R270" s="137">
        <f t="shared" si="196"/>
        <v>0</v>
      </c>
      <c r="S270" s="138">
        <f t="shared" si="196"/>
        <v>51869.412</v>
      </c>
      <c r="T270" s="138">
        <f t="shared" si="196"/>
        <v>28350.732</v>
      </c>
      <c r="U270" s="137">
        <f t="shared" si="196"/>
        <v>0</v>
      </c>
      <c r="V270" s="138">
        <f t="shared" si="196"/>
        <v>54455.934</v>
      </c>
      <c r="W270" s="138">
        <f t="shared" si="196"/>
        <v>15816.39</v>
      </c>
      <c r="X270" s="137">
        <f t="shared" si="196"/>
        <v>0</v>
      </c>
      <c r="Y270" s="138">
        <f t="shared" si="196"/>
        <v>42745.878</v>
      </c>
      <c r="Z270" s="138">
        <f t="shared" si="196"/>
        <v>17978.226</v>
      </c>
      <c r="AA270" s="137">
        <f t="shared" si="196"/>
        <v>0</v>
      </c>
      <c r="AB270" s="138">
        <f t="shared" si="196"/>
        <v>7159.5</v>
      </c>
      <c r="AC270" s="2"/>
      <c r="AD270" s="2"/>
      <c r="AE270" s="2"/>
      <c r="AF270" s="2"/>
      <c r="AG270" s="2"/>
      <c r="AH270" s="2"/>
      <c r="AI270" s="5"/>
      <c r="AJ270" s="2"/>
      <c r="AK270" s="2"/>
      <c r="AL270" s="2"/>
      <c r="AM270" s="2"/>
      <c r="AN270" s="2"/>
      <c r="AO270" s="5"/>
      <c r="AP270" s="5"/>
      <c r="AQ270" s="5"/>
    </row>
    <row r="271">
      <c r="A271" s="2"/>
      <c r="B271" s="5"/>
      <c r="C271" s="2"/>
      <c r="D271" s="2"/>
      <c r="E271" s="2"/>
      <c r="F271" s="2"/>
      <c r="G271" s="2"/>
      <c r="H271" s="136">
        <v>270.0</v>
      </c>
      <c r="I271" s="128"/>
      <c r="J271" s="132"/>
      <c r="K271" s="137"/>
      <c r="L271" s="137"/>
      <c r="M271" s="137"/>
      <c r="N271" s="137"/>
      <c r="O271" s="137"/>
      <c r="P271" s="137"/>
      <c r="Q271" s="137"/>
      <c r="R271" s="137">
        <f t="shared" ref="R271:AC271" si="197">if(and(J$261&gt;$H$270,J$261&lt;=$H$271),M$203,0)</f>
        <v>0</v>
      </c>
      <c r="S271" s="138">
        <f t="shared" si="197"/>
        <v>20923.278</v>
      </c>
      <c r="T271" s="137">
        <f t="shared" si="197"/>
        <v>0</v>
      </c>
      <c r="U271" s="137">
        <f t="shared" si="197"/>
        <v>0</v>
      </c>
      <c r="V271" s="138">
        <f t="shared" si="197"/>
        <v>43899.834</v>
      </c>
      <c r="W271" s="137">
        <f t="shared" si="197"/>
        <v>0</v>
      </c>
      <c r="X271" s="137">
        <f t="shared" si="197"/>
        <v>0</v>
      </c>
      <c r="Y271" s="138">
        <f t="shared" si="197"/>
        <v>15901.194</v>
      </c>
      <c r="Z271" s="137">
        <f t="shared" si="197"/>
        <v>0</v>
      </c>
      <c r="AA271" s="137">
        <f t="shared" si="197"/>
        <v>0</v>
      </c>
      <c r="AB271" s="138">
        <f t="shared" si="197"/>
        <v>18729.474</v>
      </c>
      <c r="AC271" s="137">
        <f t="shared" si="197"/>
        <v>0</v>
      </c>
      <c r="AD271" s="2"/>
      <c r="AE271" s="2"/>
      <c r="AF271" s="2"/>
      <c r="AG271" s="2"/>
      <c r="AH271" s="2"/>
      <c r="AI271" s="5"/>
      <c r="AJ271" s="2"/>
      <c r="AK271" s="2"/>
      <c r="AL271" s="2"/>
      <c r="AM271" s="2"/>
      <c r="AN271" s="2"/>
      <c r="AO271" s="5"/>
      <c r="AP271" s="5"/>
      <c r="AQ271" s="5"/>
    </row>
    <row r="272">
      <c r="A272" s="2"/>
      <c r="B272" s="5"/>
      <c r="C272" s="2"/>
      <c r="D272" s="2"/>
      <c r="E272" s="2"/>
      <c r="F272" s="2"/>
      <c r="G272" s="2"/>
      <c r="H272" s="136">
        <v>300.0</v>
      </c>
      <c r="I272" s="128"/>
      <c r="J272" s="132"/>
      <c r="K272" s="137"/>
      <c r="L272" s="137"/>
      <c r="M272" s="137"/>
      <c r="N272" s="137"/>
      <c r="O272" s="137"/>
      <c r="P272" s="137"/>
      <c r="Q272" s="137"/>
      <c r="R272" s="137"/>
      <c r="S272" s="137">
        <f t="shared" ref="S272:AD272" si="198">if(and(J$261&gt;$H$271,J$261&lt;=$H$272),M$203,0)</f>
        <v>0</v>
      </c>
      <c r="T272" s="137">
        <f t="shared" si="198"/>
        <v>0</v>
      </c>
      <c r="U272" s="137">
        <f t="shared" si="198"/>
        <v>0</v>
      </c>
      <c r="V272" s="137">
        <f t="shared" si="198"/>
        <v>0</v>
      </c>
      <c r="W272" s="137">
        <f t="shared" si="198"/>
        <v>0</v>
      </c>
      <c r="X272" s="137">
        <f t="shared" si="198"/>
        <v>0</v>
      </c>
      <c r="Y272" s="137">
        <f t="shared" si="198"/>
        <v>0</v>
      </c>
      <c r="Z272" s="137">
        <f t="shared" si="198"/>
        <v>0</v>
      </c>
      <c r="AA272" s="137">
        <f t="shared" si="198"/>
        <v>0</v>
      </c>
      <c r="AB272" s="137">
        <f t="shared" si="198"/>
        <v>0</v>
      </c>
      <c r="AC272" s="137">
        <f t="shared" si="198"/>
        <v>0</v>
      </c>
      <c r="AD272" s="137">
        <f t="shared" si="198"/>
        <v>0</v>
      </c>
      <c r="AE272" s="2"/>
      <c r="AF272" s="2"/>
      <c r="AG272" s="2"/>
      <c r="AH272" s="2"/>
      <c r="AI272" s="5"/>
      <c r="AJ272" s="2"/>
      <c r="AK272" s="2"/>
      <c r="AL272" s="2"/>
      <c r="AM272" s="2"/>
      <c r="AN272" s="2"/>
      <c r="AO272" s="5"/>
      <c r="AP272" s="5"/>
      <c r="AQ272" s="5"/>
    </row>
    <row r="273">
      <c r="A273" s="2"/>
      <c r="B273" s="5"/>
      <c r="C273" s="2"/>
      <c r="D273" s="2"/>
      <c r="E273" s="2"/>
      <c r="F273" s="2"/>
      <c r="G273" s="2"/>
      <c r="H273" s="136">
        <v>330.0</v>
      </c>
      <c r="I273" s="128"/>
      <c r="J273" s="132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>
        <f t="shared" ref="T273:AE273" si="199">if(and(J$261&gt;$H$272,J$261&lt;=$H$273),M$203,0)</f>
        <v>0</v>
      </c>
      <c r="U273" s="137">
        <f t="shared" si="199"/>
        <v>0</v>
      </c>
      <c r="V273" s="137">
        <f t="shared" si="199"/>
        <v>0</v>
      </c>
      <c r="W273" s="137">
        <f t="shared" si="199"/>
        <v>0</v>
      </c>
      <c r="X273" s="137">
        <f t="shared" si="199"/>
        <v>0</v>
      </c>
      <c r="Y273" s="137">
        <f t="shared" si="199"/>
        <v>0</v>
      </c>
      <c r="Z273" s="137">
        <f t="shared" si="199"/>
        <v>0</v>
      </c>
      <c r="AA273" s="137">
        <f t="shared" si="199"/>
        <v>0</v>
      </c>
      <c r="AB273" s="137">
        <f t="shared" si="199"/>
        <v>0</v>
      </c>
      <c r="AC273" s="137">
        <f t="shared" si="199"/>
        <v>0</v>
      </c>
      <c r="AD273" s="137">
        <f t="shared" si="199"/>
        <v>0</v>
      </c>
      <c r="AE273" s="137">
        <f t="shared" si="199"/>
        <v>0</v>
      </c>
      <c r="AF273" s="2"/>
      <c r="AG273" s="2"/>
      <c r="AH273" s="2"/>
      <c r="AI273" s="5"/>
      <c r="AJ273" s="2"/>
      <c r="AK273" s="2"/>
      <c r="AL273" s="2"/>
      <c r="AM273" s="2"/>
      <c r="AN273" s="2"/>
      <c r="AO273" s="5"/>
      <c r="AP273" s="5"/>
      <c r="AQ273" s="5"/>
    </row>
    <row r="274">
      <c r="A274" s="2"/>
      <c r="B274" s="5"/>
      <c r="C274" s="2"/>
      <c r="D274" s="2"/>
      <c r="E274" s="2"/>
      <c r="F274" s="2"/>
      <c r="G274" s="2"/>
      <c r="H274" s="136">
        <v>360.0</v>
      </c>
      <c r="I274" s="128"/>
      <c r="J274" s="132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>
        <f t="shared" ref="U274:AF274" si="200">if(and(J$261&gt;$H$273,J$261&lt;=$H$274),M$203,0)</f>
        <v>0</v>
      </c>
      <c r="V274" s="137">
        <f t="shared" si="200"/>
        <v>0</v>
      </c>
      <c r="W274" s="137">
        <f t="shared" si="200"/>
        <v>0</v>
      </c>
      <c r="X274" s="137">
        <f t="shared" si="200"/>
        <v>0</v>
      </c>
      <c r="Y274" s="137">
        <f t="shared" si="200"/>
        <v>0</v>
      </c>
      <c r="Z274" s="137">
        <f t="shared" si="200"/>
        <v>0</v>
      </c>
      <c r="AA274" s="137">
        <f t="shared" si="200"/>
        <v>0</v>
      </c>
      <c r="AB274" s="137">
        <f t="shared" si="200"/>
        <v>0</v>
      </c>
      <c r="AC274" s="137">
        <f t="shared" si="200"/>
        <v>0</v>
      </c>
      <c r="AD274" s="137">
        <f t="shared" si="200"/>
        <v>0</v>
      </c>
      <c r="AE274" s="137">
        <f t="shared" si="200"/>
        <v>0</v>
      </c>
      <c r="AF274" s="137">
        <f t="shared" si="200"/>
        <v>0</v>
      </c>
      <c r="AG274" s="2"/>
      <c r="AH274" s="2"/>
      <c r="AI274" s="5"/>
      <c r="AJ274" s="2"/>
      <c r="AK274" s="2"/>
      <c r="AL274" s="2"/>
      <c r="AM274" s="2"/>
      <c r="AN274" s="2"/>
      <c r="AO274" s="5"/>
      <c r="AP274" s="5"/>
      <c r="AQ274" s="5"/>
    </row>
    <row r="275">
      <c r="A275" s="2"/>
      <c r="B275" s="5"/>
      <c r="C275" s="2"/>
      <c r="D275" s="2"/>
      <c r="E275" s="2"/>
      <c r="F275" s="2"/>
      <c r="G275" s="2"/>
      <c r="H275" s="128"/>
      <c r="I275" s="128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0"/>
      <c r="W275" s="130"/>
      <c r="X275" s="130"/>
      <c r="Y275" s="130"/>
      <c r="Z275" s="130"/>
      <c r="AA275" s="130"/>
      <c r="AB275" s="2"/>
      <c r="AC275" s="2"/>
      <c r="AD275" s="2"/>
      <c r="AE275" s="2"/>
      <c r="AF275" s="2"/>
      <c r="AG275" s="2"/>
      <c r="AH275" s="2"/>
      <c r="AI275" s="5"/>
      <c r="AJ275" s="2"/>
      <c r="AK275" s="2"/>
      <c r="AL275" s="2"/>
      <c r="AM275" s="2"/>
      <c r="AN275" s="2"/>
      <c r="AO275" s="5"/>
      <c r="AP275" s="5"/>
      <c r="AQ275" s="5"/>
    </row>
    <row r="276">
      <c r="A276" s="2"/>
      <c r="B276" s="5"/>
      <c r="C276" s="2"/>
      <c r="D276" s="2"/>
      <c r="E276" s="2"/>
      <c r="F276" s="2"/>
      <c r="G276" s="2"/>
      <c r="H276" s="139"/>
      <c r="I276" s="139"/>
      <c r="J276" s="138">
        <f t="shared" ref="J276:AF276" si="201">sum(J263:J274)</f>
        <v>0</v>
      </c>
      <c r="K276" s="138">
        <f t="shared" si="201"/>
        <v>0</v>
      </c>
      <c r="L276" s="138">
        <f t="shared" si="201"/>
        <v>0</v>
      </c>
      <c r="M276" s="138">
        <f t="shared" si="201"/>
        <v>0</v>
      </c>
      <c r="N276" s="138">
        <f t="shared" si="201"/>
        <v>0</v>
      </c>
      <c r="O276" s="138">
        <f t="shared" si="201"/>
        <v>0</v>
      </c>
      <c r="P276" s="138">
        <f t="shared" si="201"/>
        <v>0</v>
      </c>
      <c r="Q276" s="138">
        <f t="shared" si="201"/>
        <v>57407.646</v>
      </c>
      <c r="R276" s="138">
        <f t="shared" si="201"/>
        <v>0</v>
      </c>
      <c r="S276" s="138">
        <f t="shared" si="201"/>
        <v>72792.69</v>
      </c>
      <c r="T276" s="138">
        <f t="shared" si="201"/>
        <v>28350.732</v>
      </c>
      <c r="U276" s="138">
        <f t="shared" si="201"/>
        <v>0</v>
      </c>
      <c r="V276" s="138">
        <f t="shared" si="201"/>
        <v>98355.768</v>
      </c>
      <c r="W276" s="138">
        <f t="shared" si="201"/>
        <v>15816.39</v>
      </c>
      <c r="X276" s="138">
        <f t="shared" si="201"/>
        <v>0</v>
      </c>
      <c r="Y276" s="138">
        <f t="shared" si="201"/>
        <v>58647.072</v>
      </c>
      <c r="Z276" s="138">
        <f t="shared" si="201"/>
        <v>17978.226</v>
      </c>
      <c r="AA276" s="138">
        <f t="shared" si="201"/>
        <v>0</v>
      </c>
      <c r="AB276" s="138">
        <f t="shared" si="201"/>
        <v>25888.974</v>
      </c>
      <c r="AC276" s="138">
        <f t="shared" si="201"/>
        <v>0</v>
      </c>
      <c r="AD276" s="138">
        <f t="shared" si="201"/>
        <v>0</v>
      </c>
      <c r="AE276" s="138">
        <f t="shared" si="201"/>
        <v>0</v>
      </c>
      <c r="AF276" s="138">
        <f t="shared" si="201"/>
        <v>0</v>
      </c>
      <c r="AG276" s="2"/>
      <c r="AH276" s="2"/>
      <c r="AI276" s="5"/>
      <c r="AJ276" s="2"/>
      <c r="AK276" s="2"/>
      <c r="AL276" s="2"/>
      <c r="AM276" s="2"/>
      <c r="AN276" s="2"/>
      <c r="AO276" s="5"/>
      <c r="AP276" s="5"/>
      <c r="AQ276" s="5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5"/>
      <c r="AJ277" s="2"/>
      <c r="AK277" s="2"/>
      <c r="AL277" s="2"/>
      <c r="AM277" s="2"/>
      <c r="AN277" s="2"/>
      <c r="AO277" s="5"/>
      <c r="AP277" s="5"/>
      <c r="AQ277" s="5"/>
    </row>
    <row r="278">
      <c r="A278" s="2"/>
      <c r="B278" s="5"/>
      <c r="C278" s="2"/>
      <c r="D278" s="3" t="s">
        <v>117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5"/>
      <c r="AJ278" s="2"/>
      <c r="AK278" s="2"/>
      <c r="AL278" s="2"/>
      <c r="AM278" s="2"/>
      <c r="AN278" s="2"/>
      <c r="AO278" s="5"/>
      <c r="AP278" s="5"/>
      <c r="AQ278" s="5"/>
    </row>
    <row r="279">
      <c r="A279" s="2"/>
      <c r="B279" s="5"/>
      <c r="C279" s="2"/>
      <c r="D279" s="3" t="s">
        <v>118</v>
      </c>
      <c r="E279" s="2"/>
      <c r="F279" s="2"/>
      <c r="G279" s="2"/>
      <c r="H279" s="2"/>
      <c r="I279" s="2"/>
      <c r="J279" s="3" t="s">
        <v>33</v>
      </c>
      <c r="K279" s="3" t="s">
        <v>34</v>
      </c>
      <c r="L279" s="3" t="s">
        <v>35</v>
      </c>
      <c r="M279" s="3" t="s">
        <v>36</v>
      </c>
      <c r="N279" s="3" t="s">
        <v>37</v>
      </c>
      <c r="O279" s="3" t="s">
        <v>38</v>
      </c>
      <c r="P279" s="3" t="s">
        <v>39</v>
      </c>
      <c r="Q279" s="3" t="s">
        <v>40</v>
      </c>
      <c r="R279" s="3" t="s">
        <v>41</v>
      </c>
      <c r="S279" s="3" t="s">
        <v>42</v>
      </c>
      <c r="T279" s="3" t="s">
        <v>43</v>
      </c>
      <c r="U279" s="3" t="s">
        <v>44</v>
      </c>
      <c r="V279" s="3" t="s">
        <v>33</v>
      </c>
      <c r="W279" s="3" t="s">
        <v>34</v>
      </c>
      <c r="X279" s="3" t="s">
        <v>35</v>
      </c>
      <c r="Y279" s="3" t="s">
        <v>36</v>
      </c>
      <c r="Z279" s="3" t="s">
        <v>37</v>
      </c>
      <c r="AA279" s="3" t="s">
        <v>38</v>
      </c>
      <c r="AB279" s="3" t="s">
        <v>39</v>
      </c>
      <c r="AC279" s="3" t="s">
        <v>40</v>
      </c>
      <c r="AD279" s="3" t="s">
        <v>41</v>
      </c>
      <c r="AE279" s="3" t="s">
        <v>42</v>
      </c>
      <c r="AF279" s="3" t="s">
        <v>43</v>
      </c>
      <c r="AG279" s="2"/>
      <c r="AH279" s="2"/>
      <c r="AI279" s="5"/>
      <c r="AJ279" s="2"/>
      <c r="AK279" s="2"/>
      <c r="AL279" s="2"/>
      <c r="AM279" s="2"/>
      <c r="AN279" s="2"/>
      <c r="AO279" s="5"/>
      <c r="AP279" s="5"/>
      <c r="AQ279" s="5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5"/>
      <c r="AJ280" s="2"/>
      <c r="AK280" s="2"/>
      <c r="AL280" s="2"/>
      <c r="AM280" s="2"/>
      <c r="AN280" s="2"/>
      <c r="AO280" s="5"/>
      <c r="AP280" s="5"/>
      <c r="AQ280" s="5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39">
        <f t="shared" ref="J281:AF281" si="202">J276+J258+J240+J222</f>
        <v>0</v>
      </c>
      <c r="K281" s="39">
        <f t="shared" si="202"/>
        <v>0</v>
      </c>
      <c r="L281" s="39">
        <f t="shared" si="202"/>
        <v>0</v>
      </c>
      <c r="M281" s="39">
        <f t="shared" si="202"/>
        <v>0</v>
      </c>
      <c r="N281" s="39">
        <f t="shared" si="202"/>
        <v>43020.75</v>
      </c>
      <c r="O281" s="39">
        <f t="shared" si="202"/>
        <v>92034.765</v>
      </c>
      <c r="P281" s="39">
        <f t="shared" si="202"/>
        <v>142143.546</v>
      </c>
      <c r="Q281" s="39">
        <f t="shared" si="202"/>
        <v>191624.976</v>
      </c>
      <c r="R281" s="39">
        <f t="shared" si="202"/>
        <v>151819.497</v>
      </c>
      <c r="S281" s="39">
        <f t="shared" si="202"/>
        <v>197542.74</v>
      </c>
      <c r="T281" s="39">
        <f t="shared" si="202"/>
        <v>193961.952</v>
      </c>
      <c r="U281" s="39">
        <f t="shared" si="202"/>
        <v>164679.489</v>
      </c>
      <c r="V281" s="39">
        <f t="shared" si="202"/>
        <v>167065.131</v>
      </c>
      <c r="W281" s="39">
        <f t="shared" si="202"/>
        <v>122129.085</v>
      </c>
      <c r="X281" s="39">
        <f t="shared" si="202"/>
        <v>108282.105</v>
      </c>
      <c r="Y281" s="39">
        <f t="shared" si="202"/>
        <v>96625.818</v>
      </c>
      <c r="Z281" s="39">
        <f t="shared" si="202"/>
        <v>60221.211</v>
      </c>
      <c r="AA281" s="39">
        <f t="shared" si="202"/>
        <v>40829.544</v>
      </c>
      <c r="AB281" s="39">
        <f t="shared" si="202"/>
        <v>25888.974</v>
      </c>
      <c r="AC281" s="39">
        <f t="shared" si="202"/>
        <v>0</v>
      </c>
      <c r="AD281" s="39">
        <f t="shared" si="202"/>
        <v>0</v>
      </c>
      <c r="AE281" s="39">
        <f t="shared" si="202"/>
        <v>0</v>
      </c>
      <c r="AF281" s="39">
        <f t="shared" si="202"/>
        <v>0</v>
      </c>
      <c r="AG281" s="2"/>
      <c r="AH281" s="2"/>
      <c r="AI281" s="5"/>
      <c r="AJ281" s="2"/>
      <c r="AK281" s="2"/>
      <c r="AL281" s="2"/>
      <c r="AM281" s="2"/>
      <c r="AN281" s="2"/>
      <c r="AO281" s="5"/>
      <c r="AP281" s="5"/>
      <c r="AQ281" s="5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5"/>
      <c r="AJ282" s="2"/>
      <c r="AK282" s="2"/>
      <c r="AL282" s="2"/>
      <c r="AM282" s="2"/>
      <c r="AN282" s="2"/>
      <c r="AO282" s="5"/>
      <c r="AP282" s="5"/>
      <c r="AQ282" s="5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5"/>
      <c r="AJ283" s="2"/>
      <c r="AK283" s="2"/>
      <c r="AL283" s="2"/>
      <c r="AM283" s="2"/>
      <c r="AN283" s="2"/>
      <c r="AO283" s="5"/>
      <c r="AP283" s="5"/>
      <c r="AQ283" s="5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5"/>
      <c r="AJ284" s="2"/>
      <c r="AK284" s="2"/>
      <c r="AL284" s="2"/>
      <c r="AM284" s="2"/>
      <c r="AN284" s="2"/>
      <c r="AO284" s="5"/>
      <c r="AP284" s="5"/>
      <c r="AQ284" s="5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5"/>
      <c r="AJ285" s="2"/>
      <c r="AK285" s="2"/>
      <c r="AL285" s="2"/>
      <c r="AM285" s="2"/>
      <c r="AN285" s="2"/>
      <c r="AO285" s="5"/>
      <c r="AP285" s="5"/>
      <c r="AQ285" s="5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5"/>
      <c r="AJ286" s="2"/>
      <c r="AK286" s="2"/>
      <c r="AL286" s="2"/>
      <c r="AM286" s="2"/>
      <c r="AN286" s="2"/>
      <c r="AO286" s="5"/>
      <c r="AP286" s="5"/>
      <c r="AQ286" s="5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5"/>
      <c r="AJ287" s="2"/>
      <c r="AK287" s="2"/>
      <c r="AL287" s="2"/>
      <c r="AM287" s="2"/>
      <c r="AN287" s="2"/>
      <c r="AO287" s="5"/>
      <c r="AP287" s="5"/>
      <c r="AQ287" s="5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5"/>
      <c r="AJ288" s="2"/>
      <c r="AK288" s="2"/>
      <c r="AL288" s="2"/>
      <c r="AM288" s="2"/>
      <c r="AN288" s="2"/>
      <c r="AO288" s="5"/>
      <c r="AP288" s="5"/>
      <c r="AQ288" s="5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5"/>
      <c r="AJ289" s="2"/>
      <c r="AK289" s="2"/>
      <c r="AL289" s="2"/>
      <c r="AM289" s="2"/>
      <c r="AN289" s="2"/>
      <c r="AO289" s="5"/>
      <c r="AP289" s="5"/>
      <c r="AQ289" s="5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5"/>
      <c r="AJ290" s="2"/>
      <c r="AK290" s="2"/>
      <c r="AL290" s="2"/>
      <c r="AM290" s="2"/>
      <c r="AN290" s="2"/>
      <c r="AO290" s="5"/>
      <c r="AP290" s="5"/>
      <c r="AQ290" s="5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5"/>
      <c r="AJ291" s="2"/>
      <c r="AK291" s="2"/>
      <c r="AL291" s="2"/>
      <c r="AM291" s="2"/>
      <c r="AN291" s="2"/>
      <c r="AO291" s="5"/>
      <c r="AP291" s="5"/>
      <c r="AQ291" s="5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5"/>
      <c r="AJ292" s="2"/>
      <c r="AK292" s="2"/>
      <c r="AL292" s="2"/>
      <c r="AM292" s="2"/>
      <c r="AN292" s="2"/>
      <c r="AO292" s="5"/>
      <c r="AP292" s="5"/>
      <c r="AQ292" s="5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5"/>
      <c r="AJ293" s="2"/>
      <c r="AK293" s="2"/>
      <c r="AL293" s="2"/>
      <c r="AM293" s="2"/>
      <c r="AN293" s="2"/>
      <c r="AO293" s="5"/>
      <c r="AP293" s="5"/>
      <c r="AQ293" s="5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5"/>
      <c r="AJ294" s="2"/>
      <c r="AK294" s="2"/>
      <c r="AL294" s="2"/>
      <c r="AM294" s="2"/>
      <c r="AN294" s="2"/>
      <c r="AO294" s="5"/>
      <c r="AP294" s="5"/>
      <c r="AQ294" s="5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5"/>
      <c r="AJ295" s="2"/>
      <c r="AK295" s="2"/>
      <c r="AL295" s="2"/>
      <c r="AM295" s="2"/>
      <c r="AN295" s="2"/>
      <c r="AO295" s="5"/>
      <c r="AP295" s="5"/>
      <c r="AQ295" s="5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5"/>
      <c r="AJ296" s="2"/>
      <c r="AK296" s="2"/>
      <c r="AL296" s="2"/>
      <c r="AM296" s="2"/>
      <c r="AN296" s="2"/>
      <c r="AO296" s="5"/>
      <c r="AP296" s="5"/>
      <c r="AQ296" s="5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5"/>
      <c r="AJ297" s="2"/>
      <c r="AK297" s="2"/>
      <c r="AL297" s="2"/>
      <c r="AM297" s="2"/>
      <c r="AN297" s="2"/>
      <c r="AO297" s="5"/>
      <c r="AP297" s="5"/>
      <c r="AQ297" s="5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5"/>
      <c r="AJ298" s="2"/>
      <c r="AK298" s="2"/>
      <c r="AL298" s="2"/>
      <c r="AM298" s="2"/>
      <c r="AN298" s="2"/>
      <c r="AO298" s="5"/>
      <c r="AP298" s="5"/>
      <c r="AQ298" s="5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5"/>
      <c r="AJ299" s="2"/>
      <c r="AK299" s="2"/>
      <c r="AL299" s="2"/>
      <c r="AM299" s="2"/>
      <c r="AN299" s="2"/>
      <c r="AO299" s="5"/>
      <c r="AP299" s="5"/>
      <c r="AQ299" s="5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5"/>
      <c r="AJ300" s="2"/>
      <c r="AK300" s="2"/>
      <c r="AL300" s="2"/>
      <c r="AM300" s="2"/>
      <c r="AN300" s="2"/>
      <c r="AO300" s="5"/>
      <c r="AP300" s="5"/>
      <c r="AQ300" s="5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5"/>
      <c r="AJ301" s="2"/>
      <c r="AK301" s="2"/>
      <c r="AL301" s="2"/>
      <c r="AM301" s="2"/>
      <c r="AN301" s="2"/>
      <c r="AO301" s="5"/>
      <c r="AP301" s="5"/>
      <c r="AQ301" s="5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5"/>
      <c r="AJ302" s="2"/>
      <c r="AK302" s="2"/>
      <c r="AL302" s="2"/>
      <c r="AM302" s="2"/>
      <c r="AN302" s="2"/>
      <c r="AO302" s="5"/>
      <c r="AP302" s="5"/>
      <c r="AQ302" s="5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5"/>
      <c r="AJ303" s="2"/>
      <c r="AK303" s="2"/>
      <c r="AL303" s="2"/>
      <c r="AM303" s="2"/>
      <c r="AN303" s="2"/>
      <c r="AO303" s="5"/>
      <c r="AP303" s="5"/>
      <c r="AQ303" s="5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5"/>
      <c r="AJ304" s="2"/>
      <c r="AK304" s="2"/>
      <c r="AL304" s="2"/>
      <c r="AM304" s="2"/>
      <c r="AN304" s="2"/>
      <c r="AO304" s="5"/>
      <c r="AP304" s="5"/>
      <c r="AQ304" s="5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5"/>
      <c r="AJ305" s="2"/>
      <c r="AK305" s="2"/>
      <c r="AL305" s="2"/>
      <c r="AM305" s="2"/>
      <c r="AN305" s="2"/>
      <c r="AO305" s="5"/>
      <c r="AP305" s="5"/>
      <c r="AQ305" s="5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5"/>
      <c r="AJ306" s="2"/>
      <c r="AK306" s="2"/>
      <c r="AL306" s="2"/>
      <c r="AM306" s="2"/>
      <c r="AN306" s="2"/>
      <c r="AO306" s="5"/>
      <c r="AP306" s="5"/>
      <c r="AQ306" s="5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5"/>
      <c r="AJ307" s="2"/>
      <c r="AK307" s="2"/>
      <c r="AL307" s="2"/>
      <c r="AM307" s="2"/>
      <c r="AN307" s="2"/>
      <c r="AO307" s="5"/>
      <c r="AP307" s="5"/>
      <c r="AQ307" s="5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5"/>
      <c r="AJ308" s="2"/>
      <c r="AK308" s="2"/>
      <c r="AL308" s="2"/>
      <c r="AM308" s="2"/>
      <c r="AN308" s="2"/>
      <c r="AO308" s="5"/>
      <c r="AP308" s="5"/>
      <c r="AQ308" s="5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5"/>
      <c r="AJ309" s="2"/>
      <c r="AK309" s="2"/>
      <c r="AL309" s="2"/>
      <c r="AM309" s="2"/>
      <c r="AN309" s="2"/>
      <c r="AO309" s="5"/>
      <c r="AP309" s="5"/>
      <c r="AQ309" s="5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5"/>
      <c r="AJ310" s="2"/>
      <c r="AK310" s="2"/>
      <c r="AL310" s="2"/>
      <c r="AM310" s="2"/>
      <c r="AN310" s="2"/>
      <c r="AO310" s="5"/>
      <c r="AP310" s="5"/>
      <c r="AQ310" s="5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5"/>
      <c r="AJ311" s="2"/>
      <c r="AK311" s="2"/>
      <c r="AL311" s="2"/>
      <c r="AM311" s="2"/>
      <c r="AN311" s="2"/>
      <c r="AO311" s="5"/>
      <c r="AP311" s="5"/>
      <c r="AQ311" s="5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5"/>
      <c r="AJ312" s="2"/>
      <c r="AK312" s="2"/>
      <c r="AL312" s="2"/>
      <c r="AM312" s="2"/>
      <c r="AN312" s="2"/>
      <c r="AO312" s="5"/>
      <c r="AP312" s="5"/>
      <c r="AQ312" s="5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5"/>
      <c r="AJ313" s="2"/>
      <c r="AK313" s="2"/>
      <c r="AL313" s="2"/>
      <c r="AM313" s="2"/>
      <c r="AN313" s="2"/>
      <c r="AO313" s="5"/>
      <c r="AP313" s="5"/>
      <c r="AQ313" s="5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5"/>
      <c r="AJ314" s="2"/>
      <c r="AK314" s="2"/>
      <c r="AL314" s="2"/>
      <c r="AM314" s="2"/>
      <c r="AN314" s="2"/>
      <c r="AO314" s="5"/>
      <c r="AP314" s="5"/>
      <c r="AQ314" s="5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5"/>
      <c r="AJ315" s="2"/>
      <c r="AK315" s="2"/>
      <c r="AL315" s="2"/>
      <c r="AM315" s="2"/>
      <c r="AN315" s="2"/>
      <c r="AO315" s="5"/>
      <c r="AP315" s="5"/>
      <c r="AQ315" s="5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5"/>
      <c r="AJ316" s="2"/>
      <c r="AK316" s="2"/>
      <c r="AL316" s="2"/>
      <c r="AM316" s="2"/>
      <c r="AN316" s="2"/>
      <c r="AO316" s="5"/>
      <c r="AP316" s="5"/>
      <c r="AQ316" s="5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5"/>
      <c r="AJ317" s="2"/>
      <c r="AK317" s="2"/>
      <c r="AL317" s="2"/>
      <c r="AM317" s="2"/>
      <c r="AN317" s="2"/>
      <c r="AO317" s="5"/>
      <c r="AP317" s="5"/>
      <c r="AQ317" s="5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5"/>
      <c r="AJ318" s="2"/>
      <c r="AK318" s="2"/>
      <c r="AL318" s="2"/>
      <c r="AM318" s="2"/>
      <c r="AN318" s="2"/>
      <c r="AO318" s="5"/>
      <c r="AP318" s="5"/>
      <c r="AQ318" s="5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5"/>
      <c r="AJ319" s="2"/>
      <c r="AK319" s="2"/>
      <c r="AL319" s="2"/>
      <c r="AM319" s="2"/>
      <c r="AN319" s="2"/>
      <c r="AO319" s="5"/>
      <c r="AP319" s="5"/>
      <c r="AQ319" s="5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5"/>
      <c r="AJ320" s="2"/>
      <c r="AK320" s="2"/>
      <c r="AL320" s="2"/>
      <c r="AM320" s="2"/>
      <c r="AN320" s="2"/>
      <c r="AO320" s="5"/>
      <c r="AP320" s="5"/>
      <c r="AQ320" s="5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5"/>
      <c r="AJ321" s="2"/>
      <c r="AK321" s="2"/>
      <c r="AL321" s="2"/>
      <c r="AM321" s="2"/>
      <c r="AN321" s="2"/>
      <c r="AO321" s="5"/>
      <c r="AP321" s="5"/>
      <c r="AQ321" s="5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5"/>
      <c r="AJ322" s="2"/>
      <c r="AK322" s="2"/>
      <c r="AL322" s="2"/>
      <c r="AM322" s="2"/>
      <c r="AN322" s="2"/>
      <c r="AO322" s="5"/>
      <c r="AP322" s="5"/>
      <c r="AQ322" s="5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5"/>
      <c r="AJ323" s="2"/>
      <c r="AK323" s="2"/>
      <c r="AL323" s="2"/>
      <c r="AM323" s="2"/>
      <c r="AN323" s="2"/>
      <c r="AO323" s="5"/>
      <c r="AP323" s="5"/>
      <c r="AQ323" s="5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5"/>
      <c r="AJ324" s="2"/>
      <c r="AK324" s="2"/>
      <c r="AL324" s="2"/>
      <c r="AM324" s="2"/>
      <c r="AN324" s="2"/>
      <c r="AO324" s="5"/>
      <c r="AP324" s="5"/>
      <c r="AQ324" s="5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5"/>
      <c r="AJ325" s="2"/>
      <c r="AK325" s="2"/>
      <c r="AL325" s="2"/>
      <c r="AM325" s="2"/>
      <c r="AN325" s="2"/>
      <c r="AO325" s="5"/>
      <c r="AP325" s="5"/>
      <c r="AQ325" s="5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5"/>
      <c r="AJ326" s="2"/>
      <c r="AK326" s="2"/>
      <c r="AL326" s="2"/>
      <c r="AM326" s="2"/>
      <c r="AN326" s="2"/>
      <c r="AO326" s="5"/>
      <c r="AP326" s="5"/>
      <c r="AQ326" s="5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5"/>
      <c r="AJ327" s="2"/>
      <c r="AK327" s="2"/>
      <c r="AL327" s="2"/>
      <c r="AM327" s="2"/>
      <c r="AN327" s="2"/>
      <c r="AO327" s="5"/>
      <c r="AP327" s="5"/>
      <c r="AQ327" s="5"/>
    </row>
    <row r="328">
      <c r="A328" s="2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5"/>
      <c r="W328" s="7"/>
      <c r="X328" s="7"/>
      <c r="Y328" s="7"/>
      <c r="Z328" s="5"/>
      <c r="AA328" s="7"/>
      <c r="AB328" s="7"/>
      <c r="AC328" s="7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5"/>
      <c r="W329" s="7"/>
      <c r="X329" s="7"/>
      <c r="Y329" s="7"/>
      <c r="Z329" s="5"/>
      <c r="AA329" s="7"/>
      <c r="AB329" s="7"/>
      <c r="AC329" s="7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5"/>
      <c r="W330" s="7"/>
      <c r="X330" s="7"/>
      <c r="Y330" s="7"/>
      <c r="Z330" s="5"/>
      <c r="AA330" s="7"/>
      <c r="AB330" s="7"/>
      <c r="AC330" s="7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5"/>
      <c r="W331" s="7"/>
      <c r="X331" s="7"/>
      <c r="Y331" s="7"/>
      <c r="Z331" s="5"/>
      <c r="AA331" s="7"/>
      <c r="AB331" s="7"/>
      <c r="AC331" s="7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5"/>
      <c r="W332" s="7"/>
      <c r="X332" s="7"/>
      <c r="Y332" s="7"/>
      <c r="Z332" s="5"/>
      <c r="AA332" s="7"/>
      <c r="AB332" s="7"/>
      <c r="AC332" s="7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5"/>
      <c r="W333" s="7"/>
      <c r="X333" s="7"/>
      <c r="Y333" s="7"/>
      <c r="Z333" s="5"/>
      <c r="AA333" s="7"/>
      <c r="AB333" s="7"/>
      <c r="AC333" s="7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5"/>
      <c r="W334" s="7"/>
      <c r="X334" s="7"/>
      <c r="Y334" s="7"/>
      <c r="Z334" s="5"/>
      <c r="AA334" s="7"/>
      <c r="AB334" s="7"/>
      <c r="AC334" s="7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5"/>
      <c r="W335" s="7"/>
      <c r="X335" s="7"/>
      <c r="Y335" s="7"/>
      <c r="Z335" s="5"/>
      <c r="AA335" s="7"/>
      <c r="AB335" s="7"/>
      <c r="AC335" s="7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5"/>
      <c r="W336" s="7"/>
      <c r="X336" s="7"/>
      <c r="Y336" s="7"/>
      <c r="Z336" s="5"/>
      <c r="AA336" s="7"/>
      <c r="AB336" s="7"/>
      <c r="AC336" s="7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5"/>
      <c r="W337" s="7"/>
      <c r="X337" s="7"/>
      <c r="Y337" s="7"/>
      <c r="Z337" s="5"/>
      <c r="AA337" s="7"/>
      <c r="AB337" s="7"/>
      <c r="AC337" s="7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5"/>
      <c r="W338" s="7"/>
      <c r="X338" s="7"/>
      <c r="Y338" s="7"/>
      <c r="Z338" s="5"/>
      <c r="AA338" s="7"/>
      <c r="AB338" s="7"/>
      <c r="AC338" s="7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5"/>
      <c r="W339" s="7"/>
      <c r="X339" s="7"/>
      <c r="Y339" s="7"/>
      <c r="Z339" s="5"/>
      <c r="AA339" s="7"/>
      <c r="AB339" s="7"/>
      <c r="AC339" s="7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5"/>
      <c r="W340" s="7"/>
      <c r="X340" s="7"/>
      <c r="Y340" s="7"/>
      <c r="Z340" s="5"/>
      <c r="AA340" s="7"/>
      <c r="AB340" s="7"/>
      <c r="AC340" s="7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5"/>
      <c r="W341" s="7"/>
      <c r="X341" s="7"/>
      <c r="Y341" s="7"/>
      <c r="Z341" s="5"/>
      <c r="AA341" s="7"/>
      <c r="AB341" s="7"/>
      <c r="AC341" s="7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5"/>
      <c r="W342" s="7"/>
      <c r="X342" s="7"/>
      <c r="Y342" s="7"/>
      <c r="Z342" s="5"/>
      <c r="AA342" s="7"/>
      <c r="AB342" s="7"/>
      <c r="AC342" s="7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5"/>
      <c r="W343" s="7"/>
      <c r="X343" s="7"/>
      <c r="Y343" s="7"/>
      <c r="Z343" s="5"/>
      <c r="AA343" s="7"/>
      <c r="AB343" s="7"/>
      <c r="AC343" s="7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5"/>
      <c r="W344" s="7"/>
      <c r="X344" s="7"/>
      <c r="Y344" s="7"/>
      <c r="Z344" s="5"/>
      <c r="AA344" s="7"/>
      <c r="AB344" s="7"/>
      <c r="AC344" s="7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5"/>
      <c r="W345" s="7"/>
      <c r="X345" s="7"/>
      <c r="Y345" s="7"/>
      <c r="Z345" s="5"/>
      <c r="AA345" s="7"/>
      <c r="AB345" s="7"/>
      <c r="AC345" s="7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5"/>
      <c r="W346" s="7"/>
      <c r="X346" s="7"/>
      <c r="Y346" s="7"/>
      <c r="Z346" s="5"/>
      <c r="AA346" s="7"/>
      <c r="AB346" s="7"/>
      <c r="AC346" s="7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5"/>
      <c r="W347" s="7"/>
      <c r="X347" s="7"/>
      <c r="Y347" s="7"/>
      <c r="Z347" s="5"/>
      <c r="AA347" s="7"/>
      <c r="AB347" s="7"/>
      <c r="AC347" s="7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5"/>
      <c r="W348" s="7"/>
      <c r="X348" s="7"/>
      <c r="Y348" s="7"/>
      <c r="Z348" s="5"/>
      <c r="AA348" s="7"/>
      <c r="AB348" s="7"/>
      <c r="AC348" s="7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5"/>
      <c r="W349" s="7"/>
      <c r="X349" s="7"/>
      <c r="Y349" s="7"/>
      <c r="Z349" s="5"/>
      <c r="AA349" s="7"/>
      <c r="AB349" s="7"/>
      <c r="AC349" s="7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5"/>
      <c r="W350" s="7"/>
      <c r="X350" s="7"/>
      <c r="Y350" s="7"/>
      <c r="Z350" s="5"/>
      <c r="AA350" s="7"/>
      <c r="AB350" s="7"/>
      <c r="AC350" s="7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5"/>
      <c r="W351" s="7"/>
      <c r="X351" s="7"/>
      <c r="Y351" s="7"/>
      <c r="Z351" s="5"/>
      <c r="AA351" s="7"/>
      <c r="AB351" s="7"/>
      <c r="AC351" s="7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5"/>
      <c r="W352" s="7"/>
      <c r="X352" s="7"/>
      <c r="Y352" s="7"/>
      <c r="Z352" s="5"/>
      <c r="AA352" s="7"/>
      <c r="AB352" s="7"/>
      <c r="AC352" s="7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5"/>
      <c r="W353" s="7"/>
      <c r="X353" s="7"/>
      <c r="Y353" s="7"/>
      <c r="Z353" s="5"/>
      <c r="AA353" s="7"/>
      <c r="AB353" s="7"/>
      <c r="AC353" s="7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5"/>
      <c r="W354" s="7"/>
      <c r="X354" s="7"/>
      <c r="Y354" s="7"/>
      <c r="Z354" s="5"/>
      <c r="AA354" s="7"/>
      <c r="AB354" s="7"/>
      <c r="AC354" s="7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5"/>
      <c r="W355" s="7"/>
      <c r="X355" s="7"/>
      <c r="Y355" s="7"/>
      <c r="Z355" s="5"/>
      <c r="AA355" s="7"/>
      <c r="AB355" s="7"/>
      <c r="AC355" s="7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5"/>
      <c r="W356" s="7"/>
      <c r="X356" s="7"/>
      <c r="Y356" s="7"/>
      <c r="Z356" s="5"/>
      <c r="AA356" s="7"/>
      <c r="AB356" s="7"/>
      <c r="AC356" s="7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5"/>
      <c r="W357" s="7"/>
      <c r="X357" s="7"/>
      <c r="Y357" s="7"/>
      <c r="Z357" s="5"/>
      <c r="AA357" s="7"/>
      <c r="AB357" s="7"/>
      <c r="AC357" s="7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5"/>
      <c r="W358" s="7"/>
      <c r="X358" s="7"/>
      <c r="Y358" s="7"/>
      <c r="Z358" s="5"/>
      <c r="AA358" s="7"/>
      <c r="AB358" s="7"/>
      <c r="AC358" s="7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5"/>
      <c r="W359" s="7"/>
      <c r="X359" s="7"/>
      <c r="Y359" s="7"/>
      <c r="Z359" s="5"/>
      <c r="AA359" s="7"/>
      <c r="AB359" s="7"/>
      <c r="AC359" s="7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5"/>
      <c r="W360" s="7"/>
      <c r="X360" s="7"/>
      <c r="Y360" s="7"/>
      <c r="Z360" s="5"/>
      <c r="AA360" s="7"/>
      <c r="AB360" s="7"/>
      <c r="AC360" s="7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5"/>
      <c r="W361" s="7"/>
      <c r="X361" s="7"/>
      <c r="Y361" s="7"/>
      <c r="Z361" s="5"/>
      <c r="AA361" s="7"/>
      <c r="AB361" s="7"/>
      <c r="AC361" s="7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5"/>
      <c r="W362" s="7"/>
      <c r="X362" s="7"/>
      <c r="Y362" s="7"/>
      <c r="Z362" s="5"/>
      <c r="AA362" s="7"/>
      <c r="AB362" s="7"/>
      <c r="AC362" s="7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5"/>
      <c r="W363" s="7"/>
      <c r="X363" s="7"/>
      <c r="Y363" s="7"/>
      <c r="Z363" s="5"/>
      <c r="AA363" s="7"/>
      <c r="AB363" s="7"/>
      <c r="AC363" s="7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5"/>
      <c r="W364" s="7"/>
      <c r="X364" s="7"/>
      <c r="Y364" s="7"/>
      <c r="Z364" s="5"/>
      <c r="AA364" s="7"/>
      <c r="AB364" s="7"/>
      <c r="AC364" s="7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5"/>
      <c r="W365" s="7"/>
      <c r="X365" s="7"/>
      <c r="Y365" s="7"/>
      <c r="Z365" s="5"/>
      <c r="AA365" s="7"/>
      <c r="AB365" s="7"/>
      <c r="AC365" s="7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5"/>
      <c r="W366" s="7"/>
      <c r="X366" s="7"/>
      <c r="Y366" s="7"/>
      <c r="Z366" s="5"/>
      <c r="AA366" s="7"/>
      <c r="AB366" s="7"/>
      <c r="AC366" s="7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5"/>
      <c r="W367" s="7"/>
      <c r="X367" s="7"/>
      <c r="Y367" s="7"/>
      <c r="Z367" s="5"/>
      <c r="AA367" s="7"/>
      <c r="AB367" s="7"/>
      <c r="AC367" s="7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5"/>
      <c r="W368" s="7"/>
      <c r="X368" s="7"/>
      <c r="Y368" s="7"/>
      <c r="Z368" s="5"/>
      <c r="AA368" s="7"/>
      <c r="AB368" s="7"/>
      <c r="AC368" s="7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5"/>
      <c r="W369" s="7"/>
      <c r="X369" s="7"/>
      <c r="Y369" s="7"/>
      <c r="Z369" s="5"/>
      <c r="AA369" s="7"/>
      <c r="AB369" s="7"/>
      <c r="AC369" s="7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5"/>
      <c r="W370" s="7"/>
      <c r="X370" s="7"/>
      <c r="Y370" s="7"/>
      <c r="Z370" s="5"/>
      <c r="AA370" s="7"/>
      <c r="AB370" s="7"/>
      <c r="AC370" s="7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5"/>
      <c r="W371" s="7"/>
      <c r="X371" s="7"/>
      <c r="Y371" s="7"/>
      <c r="Z371" s="5"/>
      <c r="AA371" s="7"/>
      <c r="AB371" s="7"/>
      <c r="AC371" s="7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5"/>
      <c r="W372" s="7"/>
      <c r="X372" s="7"/>
      <c r="Y372" s="7"/>
      <c r="Z372" s="5"/>
      <c r="AA372" s="7"/>
      <c r="AB372" s="7"/>
      <c r="AC372" s="7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5"/>
      <c r="W373" s="7"/>
      <c r="X373" s="7"/>
      <c r="Y373" s="7"/>
      <c r="Z373" s="5"/>
      <c r="AA373" s="7"/>
      <c r="AB373" s="7"/>
      <c r="AC373" s="7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5"/>
      <c r="W374" s="7"/>
      <c r="X374" s="7"/>
      <c r="Y374" s="7"/>
      <c r="Z374" s="5"/>
      <c r="AA374" s="7"/>
      <c r="AB374" s="7"/>
      <c r="AC374" s="7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5"/>
      <c r="W375" s="7"/>
      <c r="X375" s="7"/>
      <c r="Y375" s="7"/>
      <c r="Z375" s="5"/>
      <c r="AA375" s="7"/>
      <c r="AB375" s="7"/>
      <c r="AC375" s="7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5"/>
      <c r="W376" s="7"/>
      <c r="X376" s="7"/>
      <c r="Y376" s="7"/>
      <c r="Z376" s="5"/>
      <c r="AA376" s="7"/>
      <c r="AB376" s="7"/>
      <c r="AC376" s="7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5"/>
      <c r="W377" s="7"/>
      <c r="X377" s="7"/>
      <c r="Y377" s="7"/>
      <c r="Z377" s="5"/>
      <c r="AA377" s="7"/>
      <c r="AB377" s="7"/>
      <c r="AC377" s="7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5"/>
      <c r="W378" s="7"/>
      <c r="X378" s="7"/>
      <c r="Y378" s="7"/>
      <c r="Z378" s="5"/>
      <c r="AA378" s="7"/>
      <c r="AB378" s="7"/>
      <c r="AC378" s="7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5"/>
      <c r="W379" s="7"/>
      <c r="X379" s="7"/>
      <c r="Y379" s="7"/>
      <c r="Z379" s="5"/>
      <c r="AA379" s="7"/>
      <c r="AB379" s="7"/>
      <c r="AC379" s="7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5"/>
      <c r="W380" s="7"/>
      <c r="X380" s="7"/>
      <c r="Y380" s="7"/>
      <c r="Z380" s="5"/>
      <c r="AA380" s="7"/>
      <c r="AB380" s="7"/>
      <c r="AC380" s="7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5"/>
      <c r="W381" s="7"/>
      <c r="X381" s="7"/>
      <c r="Y381" s="7"/>
      <c r="Z381" s="5"/>
      <c r="AA381" s="7"/>
      <c r="AB381" s="7"/>
      <c r="AC381" s="7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5"/>
      <c r="W382" s="7"/>
      <c r="X382" s="7"/>
      <c r="Y382" s="7"/>
      <c r="Z382" s="5"/>
      <c r="AA382" s="7"/>
      <c r="AB382" s="7"/>
      <c r="AC382" s="7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5"/>
      <c r="W383" s="7"/>
      <c r="X383" s="7"/>
      <c r="Y383" s="7"/>
      <c r="Z383" s="5"/>
      <c r="AA383" s="7"/>
      <c r="AB383" s="7"/>
      <c r="AC383" s="7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5"/>
      <c r="W384" s="7"/>
      <c r="X384" s="7"/>
      <c r="Y384" s="7"/>
      <c r="Z384" s="5"/>
      <c r="AA384" s="7"/>
      <c r="AB384" s="7"/>
      <c r="AC384" s="7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5"/>
      <c r="W385" s="7"/>
      <c r="X385" s="7"/>
      <c r="Y385" s="7"/>
      <c r="Z385" s="5"/>
      <c r="AA385" s="7"/>
      <c r="AB385" s="7"/>
      <c r="AC385" s="7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5"/>
      <c r="W386" s="7"/>
      <c r="X386" s="7"/>
      <c r="Y386" s="7"/>
      <c r="Z386" s="5"/>
      <c r="AA386" s="7"/>
      <c r="AB386" s="7"/>
      <c r="AC386" s="7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5"/>
      <c r="W387" s="7"/>
      <c r="X387" s="7"/>
      <c r="Y387" s="7"/>
      <c r="Z387" s="5"/>
      <c r="AA387" s="7"/>
      <c r="AB387" s="7"/>
      <c r="AC387" s="7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5"/>
      <c r="W388" s="7"/>
      <c r="X388" s="7"/>
      <c r="Y388" s="7"/>
      <c r="Z388" s="5"/>
      <c r="AA388" s="7"/>
      <c r="AB388" s="7"/>
      <c r="AC388" s="7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5"/>
      <c r="W389" s="7"/>
      <c r="X389" s="7"/>
      <c r="Y389" s="7"/>
      <c r="Z389" s="5"/>
      <c r="AA389" s="7"/>
      <c r="AB389" s="7"/>
      <c r="AC389" s="7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5"/>
      <c r="W390" s="7"/>
      <c r="X390" s="7"/>
      <c r="Y390" s="7"/>
      <c r="Z390" s="5"/>
      <c r="AA390" s="7"/>
      <c r="AB390" s="7"/>
      <c r="AC390" s="7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5"/>
      <c r="W391" s="7"/>
      <c r="X391" s="7"/>
      <c r="Y391" s="7"/>
      <c r="Z391" s="5"/>
      <c r="AA391" s="7"/>
      <c r="AB391" s="7"/>
      <c r="AC391" s="7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5"/>
      <c r="W392" s="7"/>
      <c r="X392" s="7"/>
      <c r="Y392" s="7"/>
      <c r="Z392" s="5"/>
      <c r="AA392" s="7"/>
      <c r="AB392" s="7"/>
      <c r="AC392" s="7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5"/>
      <c r="W393" s="7"/>
      <c r="X393" s="7"/>
      <c r="Y393" s="7"/>
      <c r="Z393" s="5"/>
      <c r="AA393" s="7"/>
      <c r="AB393" s="7"/>
      <c r="AC393" s="7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5"/>
      <c r="W394" s="7"/>
      <c r="X394" s="7"/>
      <c r="Y394" s="7"/>
      <c r="Z394" s="5"/>
      <c r="AA394" s="7"/>
      <c r="AB394" s="7"/>
      <c r="AC394" s="7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5"/>
      <c r="W395" s="7"/>
      <c r="X395" s="7"/>
      <c r="Y395" s="7"/>
      <c r="Z395" s="5"/>
      <c r="AA395" s="7"/>
      <c r="AB395" s="7"/>
      <c r="AC395" s="7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5"/>
      <c r="W396" s="7"/>
      <c r="X396" s="7"/>
      <c r="Y396" s="7"/>
      <c r="Z396" s="5"/>
      <c r="AA396" s="7"/>
      <c r="AB396" s="7"/>
      <c r="AC396" s="7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5"/>
      <c r="W397" s="7"/>
      <c r="X397" s="7"/>
      <c r="Y397" s="7"/>
      <c r="Z397" s="5"/>
      <c r="AA397" s="7"/>
      <c r="AB397" s="7"/>
      <c r="AC397" s="7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5"/>
      <c r="W398" s="7"/>
      <c r="X398" s="7"/>
      <c r="Y398" s="7"/>
      <c r="Z398" s="5"/>
      <c r="AA398" s="7"/>
      <c r="AB398" s="7"/>
      <c r="AC398" s="7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5"/>
      <c r="W399" s="7"/>
      <c r="X399" s="7"/>
      <c r="Y399" s="7"/>
      <c r="Z399" s="5"/>
      <c r="AA399" s="7"/>
      <c r="AB399" s="7"/>
      <c r="AC399" s="7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5"/>
      <c r="W400" s="7"/>
      <c r="X400" s="7"/>
      <c r="Y400" s="7"/>
      <c r="Z400" s="5"/>
      <c r="AA400" s="7"/>
      <c r="AB400" s="7"/>
      <c r="AC400" s="7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5"/>
      <c r="W401" s="7"/>
      <c r="X401" s="7"/>
      <c r="Y401" s="7"/>
      <c r="Z401" s="5"/>
      <c r="AA401" s="7"/>
      <c r="AB401" s="7"/>
      <c r="AC401" s="7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5"/>
      <c r="W402" s="7"/>
      <c r="X402" s="7"/>
      <c r="Y402" s="7"/>
      <c r="Z402" s="5"/>
      <c r="AA402" s="7"/>
      <c r="AB402" s="7"/>
      <c r="AC402" s="7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5"/>
      <c r="W403" s="7"/>
      <c r="X403" s="7"/>
      <c r="Y403" s="7"/>
      <c r="Z403" s="5"/>
      <c r="AA403" s="7"/>
      <c r="AB403" s="7"/>
      <c r="AC403" s="7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5"/>
      <c r="W404" s="7"/>
      <c r="X404" s="7"/>
      <c r="Y404" s="7"/>
      <c r="Z404" s="5"/>
      <c r="AA404" s="7"/>
      <c r="AB404" s="7"/>
      <c r="AC404" s="7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5"/>
      <c r="W405" s="7"/>
      <c r="X405" s="7"/>
      <c r="Y405" s="7"/>
      <c r="Z405" s="5"/>
      <c r="AA405" s="7"/>
      <c r="AB405" s="7"/>
      <c r="AC405" s="7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5"/>
      <c r="W406" s="7"/>
      <c r="X406" s="7"/>
      <c r="Y406" s="7"/>
      <c r="Z406" s="5"/>
      <c r="AA406" s="7"/>
      <c r="AB406" s="7"/>
      <c r="AC406" s="7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5"/>
      <c r="W407" s="7"/>
      <c r="X407" s="7"/>
      <c r="Y407" s="7"/>
      <c r="Z407" s="5"/>
      <c r="AA407" s="7"/>
      <c r="AB407" s="7"/>
      <c r="AC407" s="7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5"/>
      <c r="W408" s="7"/>
      <c r="X408" s="7"/>
      <c r="Y408" s="7"/>
      <c r="Z408" s="5"/>
      <c r="AA408" s="7"/>
      <c r="AB408" s="7"/>
      <c r="AC408" s="7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5"/>
      <c r="W409" s="7"/>
      <c r="X409" s="7"/>
      <c r="Y409" s="7"/>
      <c r="Z409" s="5"/>
      <c r="AA409" s="7"/>
      <c r="AB409" s="7"/>
      <c r="AC409" s="7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5"/>
      <c r="W410" s="7"/>
      <c r="X410" s="7"/>
      <c r="Y410" s="7"/>
      <c r="Z410" s="5"/>
      <c r="AA410" s="7"/>
      <c r="AB410" s="7"/>
      <c r="AC410" s="7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5"/>
      <c r="W411" s="7"/>
      <c r="X411" s="7"/>
      <c r="Y411" s="7"/>
      <c r="Z411" s="5"/>
      <c r="AA411" s="7"/>
      <c r="AB411" s="7"/>
      <c r="AC411" s="7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5"/>
      <c r="W412" s="7"/>
      <c r="X412" s="7"/>
      <c r="Y412" s="7"/>
      <c r="Z412" s="5"/>
      <c r="AA412" s="7"/>
      <c r="AB412" s="7"/>
      <c r="AC412" s="7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5"/>
      <c r="W413" s="7"/>
      <c r="X413" s="7"/>
      <c r="Y413" s="7"/>
      <c r="Z413" s="5"/>
      <c r="AA413" s="7"/>
      <c r="AB413" s="7"/>
      <c r="AC413" s="7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5"/>
      <c r="W414" s="7"/>
      <c r="X414" s="7"/>
      <c r="Y414" s="7"/>
      <c r="Z414" s="5"/>
      <c r="AA414" s="7"/>
      <c r="AB414" s="7"/>
      <c r="AC414" s="7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5"/>
      <c r="W415" s="7"/>
      <c r="X415" s="7"/>
      <c r="Y415" s="7"/>
      <c r="Z415" s="5"/>
      <c r="AA415" s="7"/>
      <c r="AB415" s="7"/>
      <c r="AC415" s="7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5"/>
      <c r="W416" s="7"/>
      <c r="X416" s="7"/>
      <c r="Y416" s="7"/>
      <c r="Z416" s="5"/>
      <c r="AA416" s="7"/>
      <c r="AB416" s="7"/>
      <c r="AC416" s="7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5"/>
      <c r="W417" s="7"/>
      <c r="X417" s="7"/>
      <c r="Y417" s="7"/>
      <c r="Z417" s="5"/>
      <c r="AA417" s="7"/>
      <c r="AB417" s="7"/>
      <c r="AC417" s="7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5"/>
      <c r="W418" s="7"/>
      <c r="X418" s="7"/>
      <c r="Y418" s="7"/>
      <c r="Z418" s="5"/>
      <c r="AA418" s="7"/>
      <c r="AB418" s="7"/>
      <c r="AC418" s="7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5"/>
      <c r="W419" s="7"/>
      <c r="X419" s="7"/>
      <c r="Y419" s="7"/>
      <c r="Z419" s="5"/>
      <c r="AA419" s="7"/>
      <c r="AB419" s="7"/>
      <c r="AC419" s="7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5"/>
      <c r="W420" s="7"/>
      <c r="X420" s="7"/>
      <c r="Y420" s="7"/>
      <c r="Z420" s="5"/>
      <c r="AA420" s="7"/>
      <c r="AB420" s="7"/>
      <c r="AC420" s="7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5"/>
      <c r="W421" s="7"/>
      <c r="X421" s="7"/>
      <c r="Y421" s="7"/>
      <c r="Z421" s="5"/>
      <c r="AA421" s="7"/>
      <c r="AB421" s="7"/>
      <c r="AC421" s="7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5"/>
      <c r="W422" s="7"/>
      <c r="X422" s="7"/>
      <c r="Y422" s="7"/>
      <c r="Z422" s="5"/>
      <c r="AA422" s="7"/>
      <c r="AB422" s="7"/>
      <c r="AC422" s="7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5"/>
      <c r="W423" s="7"/>
      <c r="X423" s="7"/>
      <c r="Y423" s="7"/>
      <c r="Z423" s="5"/>
      <c r="AA423" s="7"/>
      <c r="AB423" s="7"/>
      <c r="AC423" s="7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5"/>
      <c r="W424" s="7"/>
      <c r="X424" s="7"/>
      <c r="Y424" s="7"/>
      <c r="Z424" s="5"/>
      <c r="AA424" s="7"/>
      <c r="AB424" s="7"/>
      <c r="AC424" s="7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5"/>
      <c r="W425" s="7"/>
      <c r="X425" s="7"/>
      <c r="Y425" s="7"/>
      <c r="Z425" s="5"/>
      <c r="AA425" s="7"/>
      <c r="AB425" s="7"/>
      <c r="AC425" s="7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5"/>
      <c r="W426" s="7"/>
      <c r="X426" s="7"/>
      <c r="Y426" s="7"/>
      <c r="Z426" s="5"/>
      <c r="AA426" s="7"/>
      <c r="AB426" s="7"/>
      <c r="AC426" s="7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5"/>
      <c r="W427" s="7"/>
      <c r="X427" s="7"/>
      <c r="Y427" s="7"/>
      <c r="Z427" s="5"/>
      <c r="AA427" s="7"/>
      <c r="AB427" s="7"/>
      <c r="AC427" s="7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5"/>
      <c r="W428" s="7"/>
      <c r="X428" s="7"/>
      <c r="Y428" s="7"/>
      <c r="Z428" s="5"/>
      <c r="AA428" s="7"/>
      <c r="AB428" s="7"/>
      <c r="AC428" s="7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5"/>
      <c r="W429" s="7"/>
      <c r="X429" s="7"/>
      <c r="Y429" s="7"/>
      <c r="Z429" s="5"/>
      <c r="AA429" s="7"/>
      <c r="AB429" s="7"/>
      <c r="AC429" s="7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5"/>
      <c r="W430" s="7"/>
      <c r="X430" s="7"/>
      <c r="Y430" s="7"/>
      <c r="Z430" s="5"/>
      <c r="AA430" s="7"/>
      <c r="AB430" s="7"/>
      <c r="AC430" s="7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5"/>
      <c r="W431" s="7"/>
      <c r="X431" s="7"/>
      <c r="Y431" s="7"/>
      <c r="Z431" s="5"/>
      <c r="AA431" s="7"/>
      <c r="AB431" s="7"/>
      <c r="AC431" s="7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5"/>
      <c r="W432" s="7"/>
      <c r="X432" s="7"/>
      <c r="Y432" s="7"/>
      <c r="Z432" s="5"/>
      <c r="AA432" s="7"/>
      <c r="AB432" s="7"/>
      <c r="AC432" s="7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5"/>
      <c r="W433" s="7"/>
      <c r="X433" s="7"/>
      <c r="Y433" s="7"/>
      <c r="Z433" s="5"/>
      <c r="AA433" s="7"/>
      <c r="AB433" s="7"/>
      <c r="AC433" s="7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5"/>
      <c r="W434" s="7"/>
      <c r="X434" s="7"/>
      <c r="Y434" s="7"/>
      <c r="Z434" s="5"/>
      <c r="AA434" s="7"/>
      <c r="AB434" s="7"/>
      <c r="AC434" s="7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5"/>
      <c r="W435" s="7"/>
      <c r="X435" s="7"/>
      <c r="Y435" s="7"/>
      <c r="Z435" s="5"/>
      <c r="AA435" s="7"/>
      <c r="AB435" s="7"/>
      <c r="AC435" s="7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5"/>
      <c r="W436" s="7"/>
      <c r="X436" s="7"/>
      <c r="Y436" s="7"/>
      <c r="Z436" s="5"/>
      <c r="AA436" s="7"/>
      <c r="AB436" s="7"/>
      <c r="AC436" s="7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5"/>
      <c r="W437" s="7"/>
      <c r="X437" s="7"/>
      <c r="Y437" s="7"/>
      <c r="Z437" s="5"/>
      <c r="AA437" s="7"/>
      <c r="AB437" s="7"/>
      <c r="AC437" s="7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5"/>
      <c r="W438" s="7"/>
      <c r="X438" s="7"/>
      <c r="Y438" s="7"/>
      <c r="Z438" s="5"/>
      <c r="AA438" s="7"/>
      <c r="AB438" s="7"/>
      <c r="AC438" s="7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5"/>
      <c r="W439" s="7"/>
      <c r="X439" s="7"/>
      <c r="Y439" s="7"/>
      <c r="Z439" s="5"/>
      <c r="AA439" s="7"/>
      <c r="AB439" s="7"/>
      <c r="AC439" s="7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5"/>
      <c r="W440" s="7"/>
      <c r="X440" s="7"/>
      <c r="Y440" s="7"/>
      <c r="Z440" s="5"/>
      <c r="AA440" s="7"/>
      <c r="AB440" s="7"/>
      <c r="AC440" s="7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5"/>
      <c r="W441" s="7"/>
      <c r="X441" s="7"/>
      <c r="Y441" s="7"/>
      <c r="Z441" s="5"/>
      <c r="AA441" s="7"/>
      <c r="AB441" s="7"/>
      <c r="AC441" s="7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5"/>
      <c r="W442" s="7"/>
      <c r="X442" s="7"/>
      <c r="Y442" s="7"/>
      <c r="Z442" s="5"/>
      <c r="AA442" s="7"/>
      <c r="AB442" s="7"/>
      <c r="AC442" s="7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5"/>
      <c r="W443" s="7"/>
      <c r="X443" s="7"/>
      <c r="Y443" s="7"/>
      <c r="Z443" s="5"/>
      <c r="AA443" s="7"/>
      <c r="AB443" s="7"/>
      <c r="AC443" s="7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5"/>
      <c r="W444" s="7"/>
      <c r="X444" s="7"/>
      <c r="Y444" s="7"/>
      <c r="Z444" s="5"/>
      <c r="AA444" s="7"/>
      <c r="AB444" s="7"/>
      <c r="AC444" s="7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5"/>
      <c r="W445" s="7"/>
      <c r="X445" s="7"/>
      <c r="Y445" s="7"/>
      <c r="Z445" s="5"/>
      <c r="AA445" s="7"/>
      <c r="AB445" s="7"/>
      <c r="AC445" s="7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5"/>
      <c r="W446" s="7"/>
      <c r="X446" s="7"/>
      <c r="Y446" s="7"/>
      <c r="Z446" s="5"/>
      <c r="AA446" s="7"/>
      <c r="AB446" s="7"/>
      <c r="AC446" s="7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5"/>
      <c r="W447" s="7"/>
      <c r="X447" s="7"/>
      <c r="Y447" s="7"/>
      <c r="Z447" s="5"/>
      <c r="AA447" s="7"/>
      <c r="AB447" s="7"/>
      <c r="AC447" s="7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5"/>
      <c r="W448" s="7"/>
      <c r="X448" s="7"/>
      <c r="Y448" s="7"/>
      <c r="Z448" s="5"/>
      <c r="AA448" s="7"/>
      <c r="AB448" s="7"/>
      <c r="AC448" s="7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5"/>
      <c r="W449" s="7"/>
      <c r="X449" s="7"/>
      <c r="Y449" s="7"/>
      <c r="Z449" s="5"/>
      <c r="AA449" s="7"/>
      <c r="AB449" s="7"/>
      <c r="AC449" s="7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5"/>
      <c r="W450" s="7"/>
      <c r="X450" s="7"/>
      <c r="Y450" s="7"/>
      <c r="Z450" s="5"/>
      <c r="AA450" s="7"/>
      <c r="AB450" s="7"/>
      <c r="AC450" s="7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5"/>
      <c r="W451" s="7"/>
      <c r="X451" s="7"/>
      <c r="Y451" s="7"/>
      <c r="Z451" s="5"/>
      <c r="AA451" s="7"/>
      <c r="AB451" s="7"/>
      <c r="AC451" s="7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5"/>
      <c r="W452" s="7"/>
      <c r="X452" s="7"/>
      <c r="Y452" s="7"/>
      <c r="Z452" s="5"/>
      <c r="AA452" s="7"/>
      <c r="AB452" s="7"/>
      <c r="AC452" s="7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5"/>
      <c r="W453" s="7"/>
      <c r="X453" s="7"/>
      <c r="Y453" s="7"/>
      <c r="Z453" s="5"/>
      <c r="AA453" s="7"/>
      <c r="AB453" s="7"/>
      <c r="AC453" s="7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5"/>
      <c r="W454" s="7"/>
      <c r="X454" s="7"/>
      <c r="Y454" s="7"/>
      <c r="Z454" s="5"/>
      <c r="AA454" s="7"/>
      <c r="AB454" s="7"/>
      <c r="AC454" s="7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5"/>
      <c r="W455" s="7"/>
      <c r="X455" s="7"/>
      <c r="Y455" s="7"/>
      <c r="Z455" s="5"/>
      <c r="AA455" s="7"/>
      <c r="AB455" s="7"/>
      <c r="AC455" s="7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5"/>
      <c r="W456" s="7"/>
      <c r="X456" s="7"/>
      <c r="Y456" s="7"/>
      <c r="Z456" s="5"/>
      <c r="AA456" s="7"/>
      <c r="AB456" s="7"/>
      <c r="AC456" s="7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5"/>
      <c r="W457" s="7"/>
      <c r="X457" s="7"/>
      <c r="Y457" s="7"/>
      <c r="Z457" s="5"/>
      <c r="AA457" s="7"/>
      <c r="AB457" s="7"/>
      <c r="AC457" s="7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5"/>
      <c r="W458" s="7"/>
      <c r="X458" s="7"/>
      <c r="Y458" s="7"/>
      <c r="Z458" s="5"/>
      <c r="AA458" s="7"/>
      <c r="AB458" s="7"/>
      <c r="AC458" s="7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5"/>
      <c r="W459" s="7"/>
      <c r="X459" s="7"/>
      <c r="Y459" s="7"/>
      <c r="Z459" s="5"/>
      <c r="AA459" s="7"/>
      <c r="AB459" s="7"/>
      <c r="AC459" s="7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5"/>
      <c r="W460" s="7"/>
      <c r="X460" s="7"/>
      <c r="Y460" s="7"/>
      <c r="Z460" s="5"/>
      <c r="AA460" s="7"/>
      <c r="AB460" s="7"/>
      <c r="AC460" s="7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5"/>
      <c r="W461" s="7"/>
      <c r="X461" s="7"/>
      <c r="Y461" s="7"/>
      <c r="Z461" s="5"/>
      <c r="AA461" s="7"/>
      <c r="AB461" s="7"/>
      <c r="AC461" s="7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5"/>
      <c r="W462" s="7"/>
      <c r="X462" s="7"/>
      <c r="Y462" s="7"/>
      <c r="Z462" s="5"/>
      <c r="AA462" s="7"/>
      <c r="AB462" s="7"/>
      <c r="AC462" s="7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5"/>
      <c r="W463" s="7"/>
      <c r="X463" s="7"/>
      <c r="Y463" s="7"/>
      <c r="Z463" s="5"/>
      <c r="AA463" s="7"/>
      <c r="AB463" s="7"/>
      <c r="AC463" s="7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5"/>
      <c r="W464" s="7"/>
      <c r="X464" s="7"/>
      <c r="Y464" s="7"/>
      <c r="Z464" s="5"/>
      <c r="AA464" s="7"/>
      <c r="AB464" s="7"/>
      <c r="AC464" s="7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5"/>
      <c r="W465" s="7"/>
      <c r="X465" s="7"/>
      <c r="Y465" s="7"/>
      <c r="Z465" s="5"/>
      <c r="AA465" s="7"/>
      <c r="AB465" s="7"/>
      <c r="AC465" s="7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5"/>
      <c r="W466" s="7"/>
      <c r="X466" s="7"/>
      <c r="Y466" s="7"/>
      <c r="Z466" s="5"/>
      <c r="AA466" s="7"/>
      <c r="AB466" s="7"/>
      <c r="AC466" s="7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5"/>
      <c r="W467" s="7"/>
      <c r="X467" s="7"/>
      <c r="Y467" s="7"/>
      <c r="Z467" s="5"/>
      <c r="AA467" s="7"/>
      <c r="AB467" s="7"/>
      <c r="AC467" s="7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5"/>
      <c r="W468" s="7"/>
      <c r="X468" s="7"/>
      <c r="Y468" s="7"/>
      <c r="Z468" s="5"/>
      <c r="AA468" s="7"/>
      <c r="AB468" s="7"/>
      <c r="AC468" s="7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5"/>
      <c r="W469" s="7"/>
      <c r="X469" s="7"/>
      <c r="Y469" s="7"/>
      <c r="Z469" s="5"/>
      <c r="AA469" s="7"/>
      <c r="AB469" s="7"/>
      <c r="AC469" s="7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5"/>
      <c r="W470" s="7"/>
      <c r="X470" s="7"/>
      <c r="Y470" s="7"/>
      <c r="Z470" s="5"/>
      <c r="AA470" s="7"/>
      <c r="AB470" s="7"/>
      <c r="AC470" s="7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5"/>
      <c r="W471" s="7"/>
      <c r="X471" s="7"/>
      <c r="Y471" s="7"/>
      <c r="Z471" s="5"/>
      <c r="AA471" s="7"/>
      <c r="AB471" s="7"/>
      <c r="AC471" s="7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5"/>
      <c r="W472" s="7"/>
      <c r="X472" s="7"/>
      <c r="Y472" s="7"/>
      <c r="Z472" s="5"/>
      <c r="AA472" s="7"/>
      <c r="AB472" s="7"/>
      <c r="AC472" s="7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5"/>
      <c r="W473" s="7"/>
      <c r="X473" s="7"/>
      <c r="Y473" s="7"/>
      <c r="Z473" s="5"/>
      <c r="AA473" s="7"/>
      <c r="AB473" s="7"/>
      <c r="AC473" s="7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5"/>
      <c r="W474" s="7"/>
      <c r="X474" s="7"/>
      <c r="Y474" s="7"/>
      <c r="Z474" s="5"/>
      <c r="AA474" s="7"/>
      <c r="AB474" s="7"/>
      <c r="AC474" s="7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5"/>
      <c r="W475" s="7"/>
      <c r="X475" s="7"/>
      <c r="Y475" s="7"/>
      <c r="Z475" s="5"/>
      <c r="AA475" s="7"/>
      <c r="AB475" s="7"/>
      <c r="AC475" s="7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5"/>
      <c r="W476" s="7"/>
      <c r="X476" s="7"/>
      <c r="Y476" s="7"/>
      <c r="Z476" s="5"/>
      <c r="AA476" s="7"/>
      <c r="AB476" s="7"/>
      <c r="AC476" s="7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5"/>
      <c r="W477" s="7"/>
      <c r="X477" s="7"/>
      <c r="Y477" s="7"/>
      <c r="Z477" s="5"/>
      <c r="AA477" s="7"/>
      <c r="AB477" s="7"/>
      <c r="AC477" s="7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5"/>
      <c r="W478" s="7"/>
      <c r="X478" s="7"/>
      <c r="Y478" s="7"/>
      <c r="Z478" s="5"/>
      <c r="AA478" s="7"/>
      <c r="AB478" s="7"/>
      <c r="AC478" s="7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5"/>
      <c r="W479" s="7"/>
      <c r="X479" s="7"/>
      <c r="Y479" s="7"/>
      <c r="Z479" s="5"/>
      <c r="AA479" s="7"/>
      <c r="AB479" s="7"/>
      <c r="AC479" s="7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5"/>
      <c r="W480" s="7"/>
      <c r="X480" s="7"/>
      <c r="Y480" s="7"/>
      <c r="Z480" s="5"/>
      <c r="AA480" s="7"/>
      <c r="AB480" s="7"/>
      <c r="AC480" s="7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5"/>
      <c r="W481" s="7"/>
      <c r="X481" s="7"/>
      <c r="Y481" s="7"/>
      <c r="Z481" s="5"/>
      <c r="AA481" s="7"/>
      <c r="AB481" s="7"/>
      <c r="AC481" s="7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5"/>
      <c r="W482" s="7"/>
      <c r="X482" s="7"/>
      <c r="Y482" s="7"/>
      <c r="Z482" s="5"/>
      <c r="AA482" s="7"/>
      <c r="AB482" s="7"/>
      <c r="AC482" s="7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5"/>
      <c r="W483" s="7"/>
      <c r="X483" s="7"/>
      <c r="Y483" s="7"/>
      <c r="Z483" s="5"/>
      <c r="AA483" s="7"/>
      <c r="AB483" s="7"/>
      <c r="AC483" s="7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5"/>
      <c r="W484" s="7"/>
      <c r="X484" s="7"/>
      <c r="Y484" s="7"/>
      <c r="Z484" s="5"/>
      <c r="AA484" s="7"/>
      <c r="AB484" s="7"/>
      <c r="AC484" s="7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5"/>
      <c r="W485" s="7"/>
      <c r="X485" s="7"/>
      <c r="Y485" s="7"/>
      <c r="Z485" s="5"/>
      <c r="AA485" s="7"/>
      <c r="AB485" s="7"/>
      <c r="AC485" s="7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5"/>
      <c r="W486" s="7"/>
      <c r="X486" s="7"/>
      <c r="Y486" s="7"/>
      <c r="Z486" s="5"/>
      <c r="AA486" s="7"/>
      <c r="AB486" s="7"/>
      <c r="AC486" s="7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5"/>
      <c r="W487" s="7"/>
      <c r="X487" s="7"/>
      <c r="Y487" s="7"/>
      <c r="Z487" s="5"/>
      <c r="AA487" s="7"/>
      <c r="AB487" s="7"/>
      <c r="AC487" s="7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5"/>
      <c r="W488" s="7"/>
      <c r="X488" s="7"/>
      <c r="Y488" s="7"/>
      <c r="Z488" s="5"/>
      <c r="AA488" s="7"/>
      <c r="AB488" s="7"/>
      <c r="AC488" s="7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5"/>
      <c r="W489" s="7"/>
      <c r="X489" s="7"/>
      <c r="Y489" s="7"/>
      <c r="Z489" s="5"/>
      <c r="AA489" s="7"/>
      <c r="AB489" s="7"/>
      <c r="AC489" s="7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5"/>
      <c r="W490" s="7"/>
      <c r="X490" s="7"/>
      <c r="Y490" s="7"/>
      <c r="Z490" s="5"/>
      <c r="AA490" s="7"/>
      <c r="AB490" s="7"/>
      <c r="AC490" s="7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5"/>
      <c r="W491" s="7"/>
      <c r="X491" s="7"/>
      <c r="Y491" s="7"/>
      <c r="Z491" s="5"/>
      <c r="AA491" s="7"/>
      <c r="AB491" s="7"/>
      <c r="AC491" s="7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5"/>
      <c r="W492" s="7"/>
      <c r="X492" s="7"/>
      <c r="Y492" s="7"/>
      <c r="Z492" s="5"/>
      <c r="AA492" s="7"/>
      <c r="AB492" s="7"/>
      <c r="AC492" s="7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5"/>
      <c r="W493" s="7"/>
      <c r="X493" s="7"/>
      <c r="Y493" s="7"/>
      <c r="Z493" s="5"/>
      <c r="AA493" s="7"/>
      <c r="AB493" s="7"/>
      <c r="AC493" s="7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5"/>
      <c r="W494" s="7"/>
      <c r="X494" s="7"/>
      <c r="Y494" s="7"/>
      <c r="Z494" s="5"/>
      <c r="AA494" s="7"/>
      <c r="AB494" s="7"/>
      <c r="AC494" s="7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5"/>
      <c r="W495" s="7"/>
      <c r="X495" s="7"/>
      <c r="Y495" s="7"/>
      <c r="Z495" s="5"/>
      <c r="AA495" s="7"/>
      <c r="AB495" s="7"/>
      <c r="AC495" s="7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5"/>
      <c r="W496" s="7"/>
      <c r="X496" s="7"/>
      <c r="Y496" s="7"/>
      <c r="Z496" s="5"/>
      <c r="AA496" s="7"/>
      <c r="AB496" s="7"/>
      <c r="AC496" s="7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5"/>
      <c r="W497" s="7"/>
      <c r="X497" s="7"/>
      <c r="Y497" s="7"/>
      <c r="Z497" s="5"/>
      <c r="AA497" s="7"/>
      <c r="AB497" s="7"/>
      <c r="AC497" s="7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5"/>
      <c r="W498" s="7"/>
      <c r="X498" s="7"/>
      <c r="Y498" s="7"/>
      <c r="Z498" s="5"/>
      <c r="AA498" s="7"/>
      <c r="AB498" s="7"/>
      <c r="AC498" s="7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5"/>
      <c r="W499" s="7"/>
      <c r="X499" s="7"/>
      <c r="Y499" s="7"/>
      <c r="Z499" s="5"/>
      <c r="AA499" s="7"/>
      <c r="AB499" s="7"/>
      <c r="AC499" s="7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5"/>
      <c r="W500" s="7"/>
      <c r="X500" s="7"/>
      <c r="Y500" s="7"/>
      <c r="Z500" s="5"/>
      <c r="AA500" s="7"/>
      <c r="AB500" s="7"/>
      <c r="AC500" s="7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5"/>
      <c r="W501" s="7"/>
      <c r="X501" s="7"/>
      <c r="Y501" s="7"/>
      <c r="Z501" s="5"/>
      <c r="AA501" s="7"/>
      <c r="AB501" s="7"/>
      <c r="AC501" s="7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5"/>
      <c r="W502" s="7"/>
      <c r="X502" s="7"/>
      <c r="Y502" s="7"/>
      <c r="Z502" s="5"/>
      <c r="AA502" s="7"/>
      <c r="AB502" s="7"/>
      <c r="AC502" s="7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5"/>
      <c r="W503" s="7"/>
      <c r="X503" s="7"/>
      <c r="Y503" s="7"/>
      <c r="Z503" s="5"/>
      <c r="AA503" s="7"/>
      <c r="AB503" s="7"/>
      <c r="AC503" s="7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5"/>
      <c r="W504" s="7"/>
      <c r="X504" s="7"/>
      <c r="Y504" s="7"/>
      <c r="Z504" s="5"/>
      <c r="AA504" s="7"/>
      <c r="AB504" s="7"/>
      <c r="AC504" s="7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5"/>
      <c r="W505" s="7"/>
      <c r="X505" s="7"/>
      <c r="Y505" s="7"/>
      <c r="Z505" s="5"/>
      <c r="AA505" s="7"/>
      <c r="AB505" s="7"/>
      <c r="AC505" s="7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5"/>
      <c r="W506" s="7"/>
      <c r="X506" s="7"/>
      <c r="Y506" s="7"/>
      <c r="Z506" s="5"/>
      <c r="AA506" s="7"/>
      <c r="AB506" s="7"/>
      <c r="AC506" s="7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5"/>
      <c r="W507" s="7"/>
      <c r="X507" s="7"/>
      <c r="Y507" s="7"/>
      <c r="Z507" s="5"/>
      <c r="AA507" s="7"/>
      <c r="AB507" s="7"/>
      <c r="AC507" s="7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5"/>
      <c r="W508" s="7"/>
      <c r="X508" s="7"/>
      <c r="Y508" s="7"/>
      <c r="Z508" s="5"/>
      <c r="AA508" s="7"/>
      <c r="AB508" s="7"/>
      <c r="AC508" s="7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5"/>
      <c r="W509" s="7"/>
      <c r="X509" s="7"/>
      <c r="Y509" s="7"/>
      <c r="Z509" s="5"/>
      <c r="AA509" s="7"/>
      <c r="AB509" s="7"/>
      <c r="AC509" s="7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5"/>
      <c r="W510" s="7"/>
      <c r="X510" s="7"/>
      <c r="Y510" s="7"/>
      <c r="Z510" s="5"/>
      <c r="AA510" s="7"/>
      <c r="AB510" s="7"/>
      <c r="AC510" s="7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5"/>
      <c r="W511" s="7"/>
      <c r="X511" s="7"/>
      <c r="Y511" s="7"/>
      <c r="Z511" s="5"/>
      <c r="AA511" s="7"/>
      <c r="AB511" s="7"/>
      <c r="AC511" s="7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5"/>
      <c r="W512" s="7"/>
      <c r="X512" s="7"/>
      <c r="Y512" s="7"/>
      <c r="Z512" s="5"/>
      <c r="AA512" s="7"/>
      <c r="AB512" s="7"/>
      <c r="AC512" s="7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5"/>
      <c r="W513" s="7"/>
      <c r="X513" s="7"/>
      <c r="Y513" s="7"/>
      <c r="Z513" s="5"/>
      <c r="AA513" s="7"/>
      <c r="AB513" s="7"/>
      <c r="AC513" s="7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5"/>
      <c r="W514" s="7"/>
      <c r="X514" s="7"/>
      <c r="Y514" s="7"/>
      <c r="Z514" s="5"/>
      <c r="AA514" s="7"/>
      <c r="AB514" s="7"/>
      <c r="AC514" s="7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5"/>
      <c r="W515" s="7"/>
      <c r="X515" s="7"/>
      <c r="Y515" s="7"/>
      <c r="Z515" s="5"/>
      <c r="AA515" s="7"/>
      <c r="AB515" s="7"/>
      <c r="AC515" s="7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5"/>
      <c r="W516" s="7"/>
      <c r="X516" s="7"/>
      <c r="Y516" s="7"/>
      <c r="Z516" s="5"/>
      <c r="AA516" s="7"/>
      <c r="AB516" s="7"/>
      <c r="AC516" s="7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5"/>
      <c r="W517" s="7"/>
      <c r="X517" s="7"/>
      <c r="Y517" s="7"/>
      <c r="Z517" s="5"/>
      <c r="AA517" s="7"/>
      <c r="AB517" s="7"/>
      <c r="AC517" s="7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5"/>
      <c r="W518" s="7"/>
      <c r="X518" s="7"/>
      <c r="Y518" s="7"/>
      <c r="Z518" s="5"/>
      <c r="AA518" s="7"/>
      <c r="AB518" s="7"/>
      <c r="AC518" s="7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5"/>
      <c r="W519" s="7"/>
      <c r="X519" s="7"/>
      <c r="Y519" s="7"/>
      <c r="Z519" s="5"/>
      <c r="AA519" s="7"/>
      <c r="AB519" s="7"/>
      <c r="AC519" s="7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5"/>
      <c r="W520" s="7"/>
      <c r="X520" s="7"/>
      <c r="Y520" s="7"/>
      <c r="Z520" s="5"/>
      <c r="AA520" s="7"/>
      <c r="AB520" s="7"/>
      <c r="AC520" s="7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5"/>
      <c r="W521" s="7"/>
      <c r="X521" s="7"/>
      <c r="Y521" s="7"/>
      <c r="Z521" s="5"/>
      <c r="AA521" s="7"/>
      <c r="AB521" s="7"/>
      <c r="AC521" s="7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5"/>
      <c r="W522" s="7"/>
      <c r="X522" s="7"/>
      <c r="Y522" s="7"/>
      <c r="Z522" s="5"/>
      <c r="AA522" s="7"/>
      <c r="AB522" s="7"/>
      <c r="AC522" s="7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5"/>
      <c r="W523" s="7"/>
      <c r="X523" s="7"/>
      <c r="Y523" s="7"/>
      <c r="Z523" s="5"/>
      <c r="AA523" s="7"/>
      <c r="AB523" s="7"/>
      <c r="AC523" s="7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5"/>
      <c r="W524" s="7"/>
      <c r="X524" s="7"/>
      <c r="Y524" s="7"/>
      <c r="Z524" s="5"/>
      <c r="AA524" s="7"/>
      <c r="AB524" s="7"/>
      <c r="AC524" s="7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5"/>
      <c r="W525" s="7"/>
      <c r="X525" s="7"/>
      <c r="Y525" s="7"/>
      <c r="Z525" s="5"/>
      <c r="AA525" s="7"/>
      <c r="AB525" s="7"/>
      <c r="AC525" s="7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5"/>
      <c r="W526" s="7"/>
      <c r="X526" s="7"/>
      <c r="Y526" s="7"/>
      <c r="Z526" s="5"/>
      <c r="AA526" s="7"/>
      <c r="AB526" s="7"/>
      <c r="AC526" s="7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5"/>
      <c r="W527" s="7"/>
      <c r="X527" s="7"/>
      <c r="Y527" s="7"/>
      <c r="Z527" s="5"/>
      <c r="AA527" s="7"/>
      <c r="AB527" s="7"/>
      <c r="AC527" s="7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5"/>
      <c r="W528" s="7"/>
      <c r="X528" s="7"/>
      <c r="Y528" s="7"/>
      <c r="Z528" s="5"/>
      <c r="AA528" s="7"/>
      <c r="AB528" s="7"/>
      <c r="AC528" s="7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5"/>
      <c r="W529" s="7"/>
      <c r="X529" s="7"/>
      <c r="Y529" s="7"/>
      <c r="Z529" s="5"/>
      <c r="AA529" s="7"/>
      <c r="AB529" s="7"/>
      <c r="AC529" s="7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5"/>
      <c r="W530" s="7"/>
      <c r="X530" s="7"/>
      <c r="Y530" s="7"/>
      <c r="Z530" s="5"/>
      <c r="AA530" s="7"/>
      <c r="AB530" s="7"/>
      <c r="AC530" s="7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5"/>
      <c r="W531" s="7"/>
      <c r="X531" s="7"/>
      <c r="Y531" s="7"/>
      <c r="Z531" s="5"/>
      <c r="AA531" s="7"/>
      <c r="AB531" s="7"/>
      <c r="AC531" s="7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5"/>
      <c r="W532" s="7"/>
      <c r="X532" s="7"/>
      <c r="Y532" s="7"/>
      <c r="Z532" s="5"/>
      <c r="AA532" s="7"/>
      <c r="AB532" s="7"/>
      <c r="AC532" s="7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5"/>
      <c r="W533" s="7"/>
      <c r="X533" s="7"/>
      <c r="Y533" s="7"/>
      <c r="Z533" s="5"/>
      <c r="AA533" s="7"/>
      <c r="AB533" s="7"/>
      <c r="AC533" s="7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5"/>
      <c r="W534" s="7"/>
      <c r="X534" s="7"/>
      <c r="Y534" s="7"/>
      <c r="Z534" s="5"/>
      <c r="AA534" s="7"/>
      <c r="AB534" s="7"/>
      <c r="AC534" s="7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5"/>
      <c r="W535" s="7"/>
      <c r="X535" s="7"/>
      <c r="Y535" s="7"/>
      <c r="Z535" s="5"/>
      <c r="AA535" s="7"/>
      <c r="AB535" s="7"/>
      <c r="AC535" s="7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5"/>
      <c r="W536" s="7"/>
      <c r="X536" s="7"/>
      <c r="Y536" s="7"/>
      <c r="Z536" s="5"/>
      <c r="AA536" s="7"/>
      <c r="AB536" s="7"/>
      <c r="AC536" s="7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5"/>
      <c r="W537" s="7"/>
      <c r="X537" s="7"/>
      <c r="Y537" s="7"/>
      <c r="Z537" s="5"/>
      <c r="AA537" s="7"/>
      <c r="AB537" s="7"/>
      <c r="AC537" s="7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5"/>
      <c r="W538" s="7"/>
      <c r="X538" s="7"/>
      <c r="Y538" s="7"/>
      <c r="Z538" s="5"/>
      <c r="AA538" s="7"/>
      <c r="AB538" s="7"/>
      <c r="AC538" s="7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5"/>
      <c r="W539" s="7"/>
      <c r="X539" s="7"/>
      <c r="Y539" s="7"/>
      <c r="Z539" s="5"/>
      <c r="AA539" s="7"/>
      <c r="AB539" s="7"/>
      <c r="AC539" s="7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5"/>
      <c r="W540" s="7"/>
      <c r="X540" s="7"/>
      <c r="Y540" s="7"/>
      <c r="Z540" s="5"/>
      <c r="AA540" s="7"/>
      <c r="AB540" s="7"/>
      <c r="AC540" s="7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5"/>
      <c r="W541" s="7"/>
      <c r="X541" s="7"/>
      <c r="Y541" s="7"/>
      <c r="Z541" s="5"/>
      <c r="AA541" s="7"/>
      <c r="AB541" s="7"/>
      <c r="AC541" s="7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5"/>
      <c r="W542" s="7"/>
      <c r="X542" s="7"/>
      <c r="Y542" s="7"/>
      <c r="Z542" s="5"/>
      <c r="AA542" s="7"/>
      <c r="AB542" s="7"/>
      <c r="AC542" s="7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5"/>
      <c r="W543" s="7"/>
      <c r="X543" s="7"/>
      <c r="Y543" s="7"/>
      <c r="Z543" s="5"/>
      <c r="AA543" s="7"/>
      <c r="AB543" s="7"/>
      <c r="AC543" s="7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5"/>
      <c r="W544" s="7"/>
      <c r="X544" s="7"/>
      <c r="Y544" s="7"/>
      <c r="Z544" s="5"/>
      <c r="AA544" s="7"/>
      <c r="AB544" s="7"/>
      <c r="AC544" s="7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5"/>
      <c r="W545" s="7"/>
      <c r="X545" s="7"/>
      <c r="Y545" s="7"/>
      <c r="Z545" s="5"/>
      <c r="AA545" s="7"/>
      <c r="AB545" s="7"/>
      <c r="AC545" s="7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5"/>
      <c r="W546" s="7"/>
      <c r="X546" s="7"/>
      <c r="Y546" s="7"/>
      <c r="Z546" s="5"/>
      <c r="AA546" s="7"/>
      <c r="AB546" s="7"/>
      <c r="AC546" s="7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5"/>
      <c r="W547" s="7"/>
      <c r="X547" s="7"/>
      <c r="Y547" s="7"/>
      <c r="Z547" s="5"/>
      <c r="AA547" s="7"/>
      <c r="AB547" s="7"/>
      <c r="AC547" s="7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5"/>
      <c r="W548" s="7"/>
      <c r="X548" s="7"/>
      <c r="Y548" s="7"/>
      <c r="Z548" s="5"/>
      <c r="AA548" s="7"/>
      <c r="AB548" s="7"/>
      <c r="AC548" s="7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5"/>
      <c r="W549" s="7"/>
      <c r="X549" s="7"/>
      <c r="Y549" s="7"/>
      <c r="Z549" s="5"/>
      <c r="AA549" s="7"/>
      <c r="AB549" s="7"/>
      <c r="AC549" s="7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5"/>
      <c r="W550" s="7"/>
      <c r="X550" s="7"/>
      <c r="Y550" s="7"/>
      <c r="Z550" s="5"/>
      <c r="AA550" s="7"/>
      <c r="AB550" s="7"/>
      <c r="AC550" s="7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5"/>
      <c r="W551" s="7"/>
      <c r="X551" s="7"/>
      <c r="Y551" s="7"/>
      <c r="Z551" s="5"/>
      <c r="AA551" s="7"/>
      <c r="AB551" s="7"/>
      <c r="AC551" s="7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5"/>
      <c r="W552" s="7"/>
      <c r="X552" s="7"/>
      <c r="Y552" s="7"/>
      <c r="Z552" s="5"/>
      <c r="AA552" s="7"/>
      <c r="AB552" s="7"/>
      <c r="AC552" s="7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5"/>
      <c r="W553" s="7"/>
      <c r="X553" s="7"/>
      <c r="Y553" s="7"/>
      <c r="Z553" s="5"/>
      <c r="AA553" s="7"/>
      <c r="AB553" s="7"/>
      <c r="AC553" s="7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5"/>
      <c r="W554" s="7"/>
      <c r="X554" s="7"/>
      <c r="Y554" s="7"/>
      <c r="Z554" s="5"/>
      <c r="AA554" s="7"/>
      <c r="AB554" s="7"/>
      <c r="AC554" s="7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5"/>
      <c r="W555" s="7"/>
      <c r="X555" s="7"/>
      <c r="Y555" s="7"/>
      <c r="Z555" s="5"/>
      <c r="AA555" s="7"/>
      <c r="AB555" s="7"/>
      <c r="AC555" s="7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5"/>
      <c r="W556" s="7"/>
      <c r="X556" s="7"/>
      <c r="Y556" s="7"/>
      <c r="Z556" s="5"/>
      <c r="AA556" s="7"/>
      <c r="AB556" s="7"/>
      <c r="AC556" s="7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5"/>
      <c r="W557" s="7"/>
      <c r="X557" s="7"/>
      <c r="Y557" s="7"/>
      <c r="Z557" s="5"/>
      <c r="AA557" s="7"/>
      <c r="AB557" s="7"/>
      <c r="AC557" s="7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5"/>
      <c r="W558" s="7"/>
      <c r="X558" s="7"/>
      <c r="Y558" s="7"/>
      <c r="Z558" s="5"/>
      <c r="AA558" s="7"/>
      <c r="AB558" s="7"/>
      <c r="AC558" s="7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5"/>
      <c r="W559" s="7"/>
      <c r="X559" s="7"/>
      <c r="Y559" s="7"/>
      <c r="Z559" s="5"/>
      <c r="AA559" s="7"/>
      <c r="AB559" s="7"/>
      <c r="AC559" s="7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5"/>
      <c r="W560" s="7"/>
      <c r="X560" s="7"/>
      <c r="Y560" s="7"/>
      <c r="Z560" s="5"/>
      <c r="AA560" s="7"/>
      <c r="AB560" s="7"/>
      <c r="AC560" s="7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5"/>
      <c r="W561" s="7"/>
      <c r="X561" s="7"/>
      <c r="Y561" s="7"/>
      <c r="Z561" s="5"/>
      <c r="AA561" s="7"/>
      <c r="AB561" s="7"/>
      <c r="AC561" s="7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5"/>
      <c r="W562" s="7"/>
      <c r="X562" s="7"/>
      <c r="Y562" s="7"/>
      <c r="Z562" s="5"/>
      <c r="AA562" s="7"/>
      <c r="AB562" s="7"/>
      <c r="AC562" s="7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5"/>
      <c r="W563" s="7"/>
      <c r="X563" s="7"/>
      <c r="Y563" s="7"/>
      <c r="Z563" s="5"/>
      <c r="AA563" s="7"/>
      <c r="AB563" s="7"/>
      <c r="AC563" s="7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5"/>
      <c r="W564" s="7"/>
      <c r="X564" s="7"/>
      <c r="Y564" s="7"/>
      <c r="Z564" s="5"/>
      <c r="AA564" s="7"/>
      <c r="AB564" s="7"/>
      <c r="AC564" s="7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5"/>
      <c r="W565" s="7"/>
      <c r="X565" s="7"/>
      <c r="Y565" s="7"/>
      <c r="Z565" s="5"/>
      <c r="AA565" s="7"/>
      <c r="AB565" s="7"/>
      <c r="AC565" s="7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5"/>
      <c r="W566" s="7"/>
      <c r="X566" s="7"/>
      <c r="Y566" s="7"/>
      <c r="Z566" s="5"/>
      <c r="AA566" s="7"/>
      <c r="AB566" s="7"/>
      <c r="AC566" s="7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5"/>
      <c r="W567" s="7"/>
      <c r="X567" s="7"/>
      <c r="Y567" s="7"/>
      <c r="Z567" s="5"/>
      <c r="AA567" s="7"/>
      <c r="AB567" s="7"/>
      <c r="AC567" s="7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5"/>
      <c r="W568" s="7"/>
      <c r="X568" s="7"/>
      <c r="Y568" s="7"/>
      <c r="Z568" s="5"/>
      <c r="AA568" s="7"/>
      <c r="AB568" s="7"/>
      <c r="AC568" s="7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5"/>
      <c r="W569" s="7"/>
      <c r="X569" s="7"/>
      <c r="Y569" s="7"/>
      <c r="Z569" s="5"/>
      <c r="AA569" s="7"/>
      <c r="AB569" s="7"/>
      <c r="AC569" s="7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5"/>
      <c r="W570" s="7"/>
      <c r="X570" s="7"/>
      <c r="Y570" s="7"/>
      <c r="Z570" s="5"/>
      <c r="AA570" s="7"/>
      <c r="AB570" s="7"/>
      <c r="AC570" s="7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5"/>
      <c r="W571" s="7"/>
      <c r="X571" s="7"/>
      <c r="Y571" s="7"/>
      <c r="Z571" s="5"/>
      <c r="AA571" s="7"/>
      <c r="AB571" s="7"/>
      <c r="AC571" s="7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5"/>
      <c r="W572" s="7"/>
      <c r="X572" s="7"/>
      <c r="Y572" s="7"/>
      <c r="Z572" s="5"/>
      <c r="AA572" s="7"/>
      <c r="AB572" s="7"/>
      <c r="AC572" s="7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5"/>
      <c r="W573" s="7"/>
      <c r="X573" s="7"/>
      <c r="Y573" s="7"/>
      <c r="Z573" s="5"/>
      <c r="AA573" s="7"/>
      <c r="AB573" s="7"/>
      <c r="AC573" s="7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5"/>
      <c r="W574" s="7"/>
      <c r="X574" s="7"/>
      <c r="Y574" s="7"/>
      <c r="Z574" s="5"/>
      <c r="AA574" s="7"/>
      <c r="AB574" s="7"/>
      <c r="AC574" s="7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5"/>
      <c r="W575" s="7"/>
      <c r="X575" s="7"/>
      <c r="Y575" s="7"/>
      <c r="Z575" s="5"/>
      <c r="AA575" s="7"/>
      <c r="AB575" s="7"/>
      <c r="AC575" s="7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5"/>
      <c r="W576" s="7"/>
      <c r="X576" s="7"/>
      <c r="Y576" s="7"/>
      <c r="Z576" s="5"/>
      <c r="AA576" s="7"/>
      <c r="AB576" s="7"/>
      <c r="AC576" s="7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5"/>
      <c r="W577" s="7"/>
      <c r="X577" s="7"/>
      <c r="Y577" s="7"/>
      <c r="Z577" s="5"/>
      <c r="AA577" s="7"/>
      <c r="AB577" s="7"/>
      <c r="AC577" s="7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5"/>
      <c r="W578" s="7"/>
      <c r="X578" s="7"/>
      <c r="Y578" s="7"/>
      <c r="Z578" s="5"/>
      <c r="AA578" s="7"/>
      <c r="AB578" s="7"/>
      <c r="AC578" s="7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5"/>
      <c r="W579" s="7"/>
      <c r="X579" s="7"/>
      <c r="Y579" s="7"/>
      <c r="Z579" s="5"/>
      <c r="AA579" s="7"/>
      <c r="AB579" s="7"/>
      <c r="AC579" s="7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5"/>
      <c r="W580" s="7"/>
      <c r="X580" s="7"/>
      <c r="Y580" s="7"/>
      <c r="Z580" s="5"/>
      <c r="AA580" s="7"/>
      <c r="AB580" s="7"/>
      <c r="AC580" s="7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5"/>
      <c r="W581" s="7"/>
      <c r="X581" s="7"/>
      <c r="Y581" s="7"/>
      <c r="Z581" s="5"/>
      <c r="AA581" s="7"/>
      <c r="AB581" s="7"/>
      <c r="AC581" s="7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5"/>
      <c r="W582" s="7"/>
      <c r="X582" s="7"/>
      <c r="Y582" s="7"/>
      <c r="Z582" s="5"/>
      <c r="AA582" s="7"/>
      <c r="AB582" s="7"/>
      <c r="AC582" s="7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5"/>
      <c r="W583" s="7"/>
      <c r="X583" s="7"/>
      <c r="Y583" s="7"/>
      <c r="Z583" s="5"/>
      <c r="AA583" s="7"/>
      <c r="AB583" s="7"/>
      <c r="AC583" s="7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5"/>
      <c r="W584" s="7"/>
      <c r="X584" s="7"/>
      <c r="Y584" s="7"/>
      <c r="Z584" s="5"/>
      <c r="AA584" s="7"/>
      <c r="AB584" s="7"/>
      <c r="AC584" s="7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5"/>
      <c r="W585" s="7"/>
      <c r="X585" s="7"/>
      <c r="Y585" s="7"/>
      <c r="Z585" s="5"/>
      <c r="AA585" s="7"/>
      <c r="AB585" s="7"/>
      <c r="AC585" s="7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5"/>
      <c r="W586" s="7"/>
      <c r="X586" s="7"/>
      <c r="Y586" s="7"/>
      <c r="Z586" s="5"/>
      <c r="AA586" s="7"/>
      <c r="AB586" s="7"/>
      <c r="AC586" s="7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5"/>
      <c r="W587" s="7"/>
      <c r="X587" s="7"/>
      <c r="Y587" s="7"/>
      <c r="Z587" s="5"/>
      <c r="AA587" s="7"/>
      <c r="AB587" s="7"/>
      <c r="AC587" s="7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5"/>
      <c r="W588" s="7"/>
      <c r="X588" s="7"/>
      <c r="Y588" s="7"/>
      <c r="Z588" s="5"/>
      <c r="AA588" s="7"/>
      <c r="AB588" s="7"/>
      <c r="AC588" s="7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5"/>
      <c r="W589" s="7"/>
      <c r="X589" s="7"/>
      <c r="Y589" s="7"/>
      <c r="Z589" s="5"/>
      <c r="AA589" s="7"/>
      <c r="AB589" s="7"/>
      <c r="AC589" s="7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5"/>
      <c r="W590" s="7"/>
      <c r="X590" s="7"/>
      <c r="Y590" s="7"/>
      <c r="Z590" s="5"/>
      <c r="AA590" s="7"/>
      <c r="AB590" s="7"/>
      <c r="AC590" s="7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5"/>
      <c r="W591" s="7"/>
      <c r="X591" s="7"/>
      <c r="Y591" s="7"/>
      <c r="Z591" s="5"/>
      <c r="AA591" s="7"/>
      <c r="AB591" s="7"/>
      <c r="AC591" s="7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5"/>
      <c r="W592" s="7"/>
      <c r="X592" s="7"/>
      <c r="Y592" s="7"/>
      <c r="Z592" s="5"/>
      <c r="AA592" s="7"/>
      <c r="AB592" s="7"/>
      <c r="AC592" s="7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5"/>
      <c r="W593" s="7"/>
      <c r="X593" s="7"/>
      <c r="Y593" s="7"/>
      <c r="Z593" s="5"/>
      <c r="AA593" s="7"/>
      <c r="AB593" s="7"/>
      <c r="AC593" s="7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5"/>
      <c r="W594" s="7"/>
      <c r="X594" s="7"/>
      <c r="Y594" s="7"/>
      <c r="Z594" s="5"/>
      <c r="AA594" s="7"/>
      <c r="AB594" s="7"/>
      <c r="AC594" s="7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5"/>
      <c r="W595" s="7"/>
      <c r="X595" s="7"/>
      <c r="Y595" s="7"/>
      <c r="Z595" s="5"/>
      <c r="AA595" s="7"/>
      <c r="AB595" s="7"/>
      <c r="AC595" s="7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5"/>
      <c r="W596" s="7"/>
      <c r="X596" s="7"/>
      <c r="Y596" s="7"/>
      <c r="Z596" s="5"/>
      <c r="AA596" s="7"/>
      <c r="AB596" s="7"/>
      <c r="AC596" s="7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5"/>
      <c r="W597" s="7"/>
      <c r="X597" s="7"/>
      <c r="Y597" s="7"/>
      <c r="Z597" s="5"/>
      <c r="AA597" s="7"/>
      <c r="AB597" s="7"/>
      <c r="AC597" s="7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5"/>
      <c r="W598" s="7"/>
      <c r="X598" s="7"/>
      <c r="Y598" s="7"/>
      <c r="Z598" s="5"/>
      <c r="AA598" s="7"/>
      <c r="AB598" s="7"/>
      <c r="AC598" s="7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5"/>
      <c r="W599" s="7"/>
      <c r="X599" s="7"/>
      <c r="Y599" s="7"/>
      <c r="Z599" s="5"/>
      <c r="AA599" s="7"/>
      <c r="AB599" s="7"/>
      <c r="AC599" s="7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5"/>
      <c r="W600" s="7"/>
      <c r="X600" s="7"/>
      <c r="Y600" s="7"/>
      <c r="Z600" s="5"/>
      <c r="AA600" s="7"/>
      <c r="AB600" s="7"/>
      <c r="AC600" s="7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5"/>
      <c r="W601" s="7"/>
      <c r="X601" s="7"/>
      <c r="Y601" s="7"/>
      <c r="Z601" s="5"/>
      <c r="AA601" s="7"/>
      <c r="AB601" s="7"/>
      <c r="AC601" s="7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5"/>
      <c r="W602" s="7"/>
      <c r="X602" s="7"/>
      <c r="Y602" s="7"/>
      <c r="Z602" s="5"/>
      <c r="AA602" s="7"/>
      <c r="AB602" s="7"/>
      <c r="AC602" s="7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5"/>
      <c r="W603" s="7"/>
      <c r="X603" s="7"/>
      <c r="Y603" s="7"/>
      <c r="Z603" s="5"/>
      <c r="AA603" s="7"/>
      <c r="AB603" s="7"/>
      <c r="AC603" s="7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5"/>
      <c r="W604" s="7"/>
      <c r="X604" s="7"/>
      <c r="Y604" s="7"/>
      <c r="Z604" s="5"/>
      <c r="AA604" s="7"/>
      <c r="AB604" s="7"/>
      <c r="AC604" s="7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5"/>
      <c r="W605" s="7"/>
      <c r="X605" s="7"/>
      <c r="Y605" s="7"/>
      <c r="Z605" s="5"/>
      <c r="AA605" s="7"/>
      <c r="AB605" s="7"/>
      <c r="AC605" s="7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5"/>
      <c r="W606" s="7"/>
      <c r="X606" s="7"/>
      <c r="Y606" s="7"/>
      <c r="Z606" s="5"/>
      <c r="AA606" s="7"/>
      <c r="AB606" s="7"/>
      <c r="AC606" s="7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5"/>
      <c r="W607" s="7"/>
      <c r="X607" s="7"/>
      <c r="Y607" s="7"/>
      <c r="Z607" s="5"/>
      <c r="AA607" s="7"/>
      <c r="AB607" s="7"/>
      <c r="AC607" s="7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5"/>
      <c r="W608" s="7"/>
      <c r="X608" s="7"/>
      <c r="Y608" s="7"/>
      <c r="Z608" s="5"/>
      <c r="AA608" s="7"/>
      <c r="AB608" s="7"/>
      <c r="AC608" s="7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5"/>
      <c r="W609" s="7"/>
      <c r="X609" s="7"/>
      <c r="Y609" s="7"/>
      <c r="Z609" s="5"/>
      <c r="AA609" s="7"/>
      <c r="AB609" s="7"/>
      <c r="AC609" s="7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5"/>
      <c r="W610" s="7"/>
      <c r="X610" s="7"/>
      <c r="Y610" s="7"/>
      <c r="Z610" s="5"/>
      <c r="AA610" s="7"/>
      <c r="AB610" s="7"/>
      <c r="AC610" s="7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5"/>
      <c r="W611" s="7"/>
      <c r="X611" s="7"/>
      <c r="Y611" s="7"/>
      <c r="Z611" s="5"/>
      <c r="AA611" s="7"/>
      <c r="AB611" s="7"/>
      <c r="AC611" s="7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5"/>
      <c r="W612" s="7"/>
      <c r="X612" s="7"/>
      <c r="Y612" s="7"/>
      <c r="Z612" s="5"/>
      <c r="AA612" s="7"/>
      <c r="AB612" s="7"/>
      <c r="AC612" s="7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5"/>
      <c r="W613" s="7"/>
      <c r="X613" s="7"/>
      <c r="Y613" s="7"/>
      <c r="Z613" s="5"/>
      <c r="AA613" s="7"/>
      <c r="AB613" s="7"/>
      <c r="AC613" s="7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5"/>
      <c r="W614" s="7"/>
      <c r="X614" s="7"/>
      <c r="Y614" s="7"/>
      <c r="Z614" s="5"/>
      <c r="AA614" s="7"/>
      <c r="AB614" s="7"/>
      <c r="AC614" s="7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5"/>
      <c r="W615" s="7"/>
      <c r="X615" s="7"/>
      <c r="Y615" s="7"/>
      <c r="Z615" s="5"/>
      <c r="AA615" s="7"/>
      <c r="AB615" s="7"/>
      <c r="AC615" s="7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5"/>
      <c r="W616" s="7"/>
      <c r="X616" s="7"/>
      <c r="Y616" s="7"/>
      <c r="Z616" s="5"/>
      <c r="AA616" s="7"/>
      <c r="AB616" s="7"/>
      <c r="AC616" s="7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5"/>
      <c r="W617" s="7"/>
      <c r="X617" s="7"/>
      <c r="Y617" s="7"/>
      <c r="Z617" s="5"/>
      <c r="AA617" s="7"/>
      <c r="AB617" s="7"/>
      <c r="AC617" s="7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5"/>
      <c r="W618" s="7"/>
      <c r="X618" s="7"/>
      <c r="Y618" s="7"/>
      <c r="Z618" s="5"/>
      <c r="AA618" s="7"/>
      <c r="AB618" s="7"/>
      <c r="AC618" s="7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5"/>
      <c r="W619" s="7"/>
      <c r="X619" s="7"/>
      <c r="Y619" s="7"/>
      <c r="Z619" s="5"/>
      <c r="AA619" s="7"/>
      <c r="AB619" s="7"/>
      <c r="AC619" s="7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5"/>
      <c r="W620" s="7"/>
      <c r="X620" s="7"/>
      <c r="Y620" s="7"/>
      <c r="Z620" s="5"/>
      <c r="AA620" s="7"/>
      <c r="AB620" s="7"/>
      <c r="AC620" s="7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5"/>
      <c r="W621" s="7"/>
      <c r="X621" s="7"/>
      <c r="Y621" s="7"/>
      <c r="Z621" s="5"/>
      <c r="AA621" s="7"/>
      <c r="AB621" s="7"/>
      <c r="AC621" s="7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5"/>
      <c r="W622" s="7"/>
      <c r="X622" s="7"/>
      <c r="Y622" s="7"/>
      <c r="Z622" s="5"/>
      <c r="AA622" s="7"/>
      <c r="AB622" s="7"/>
      <c r="AC622" s="7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5"/>
      <c r="W623" s="7"/>
      <c r="X623" s="7"/>
      <c r="Y623" s="7"/>
      <c r="Z623" s="5"/>
      <c r="AA623" s="7"/>
      <c r="AB623" s="7"/>
      <c r="AC623" s="7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5"/>
      <c r="W624" s="7"/>
      <c r="X624" s="7"/>
      <c r="Y624" s="7"/>
      <c r="Z624" s="5"/>
      <c r="AA624" s="7"/>
      <c r="AB624" s="7"/>
      <c r="AC624" s="7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5"/>
      <c r="W625" s="7"/>
      <c r="X625" s="7"/>
      <c r="Y625" s="7"/>
      <c r="Z625" s="5"/>
      <c r="AA625" s="7"/>
      <c r="AB625" s="7"/>
      <c r="AC625" s="7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5"/>
      <c r="W626" s="7"/>
      <c r="X626" s="7"/>
      <c r="Y626" s="7"/>
      <c r="Z626" s="5"/>
      <c r="AA626" s="7"/>
      <c r="AB626" s="7"/>
      <c r="AC626" s="7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5"/>
      <c r="W627" s="7"/>
      <c r="X627" s="7"/>
      <c r="Y627" s="7"/>
      <c r="Z627" s="5"/>
      <c r="AA627" s="7"/>
      <c r="AB627" s="7"/>
      <c r="AC627" s="7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5"/>
      <c r="W628" s="7"/>
      <c r="X628" s="7"/>
      <c r="Y628" s="7"/>
      <c r="Z628" s="5"/>
      <c r="AA628" s="7"/>
      <c r="AB628" s="7"/>
      <c r="AC628" s="7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5"/>
      <c r="W629" s="7"/>
      <c r="X629" s="7"/>
      <c r="Y629" s="7"/>
      <c r="Z629" s="5"/>
      <c r="AA629" s="7"/>
      <c r="AB629" s="7"/>
      <c r="AC629" s="7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5"/>
      <c r="W630" s="7"/>
      <c r="X630" s="7"/>
      <c r="Y630" s="7"/>
      <c r="Z630" s="5"/>
      <c r="AA630" s="7"/>
      <c r="AB630" s="7"/>
      <c r="AC630" s="7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5"/>
      <c r="W631" s="7"/>
      <c r="X631" s="7"/>
      <c r="Y631" s="7"/>
      <c r="Z631" s="5"/>
      <c r="AA631" s="7"/>
      <c r="AB631" s="7"/>
      <c r="AC631" s="7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5"/>
      <c r="W632" s="7"/>
      <c r="X632" s="7"/>
      <c r="Y632" s="7"/>
      <c r="Z632" s="5"/>
      <c r="AA632" s="7"/>
      <c r="AB632" s="7"/>
      <c r="AC632" s="7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5"/>
      <c r="W633" s="7"/>
      <c r="X633" s="7"/>
      <c r="Y633" s="7"/>
      <c r="Z633" s="5"/>
      <c r="AA633" s="7"/>
      <c r="AB633" s="7"/>
      <c r="AC633" s="7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5"/>
      <c r="W634" s="7"/>
      <c r="X634" s="7"/>
      <c r="Y634" s="7"/>
      <c r="Z634" s="5"/>
      <c r="AA634" s="7"/>
      <c r="AB634" s="7"/>
      <c r="AC634" s="7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5"/>
      <c r="W635" s="7"/>
      <c r="X635" s="7"/>
      <c r="Y635" s="7"/>
      <c r="Z635" s="5"/>
      <c r="AA635" s="7"/>
      <c r="AB635" s="7"/>
      <c r="AC635" s="7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5"/>
      <c r="W636" s="7"/>
      <c r="X636" s="7"/>
      <c r="Y636" s="7"/>
      <c r="Z636" s="5"/>
      <c r="AA636" s="7"/>
      <c r="AB636" s="7"/>
      <c r="AC636" s="7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5"/>
      <c r="W637" s="7"/>
      <c r="X637" s="7"/>
      <c r="Y637" s="7"/>
      <c r="Z637" s="5"/>
      <c r="AA637" s="7"/>
      <c r="AB637" s="7"/>
      <c r="AC637" s="7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5"/>
      <c r="W638" s="7"/>
      <c r="X638" s="7"/>
      <c r="Y638" s="7"/>
      <c r="Z638" s="5"/>
      <c r="AA638" s="7"/>
      <c r="AB638" s="7"/>
      <c r="AC638" s="7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5"/>
      <c r="W639" s="7"/>
      <c r="X639" s="7"/>
      <c r="Y639" s="7"/>
      <c r="Z639" s="5"/>
      <c r="AA639" s="7"/>
      <c r="AB639" s="7"/>
      <c r="AC639" s="7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5"/>
      <c r="W640" s="7"/>
      <c r="X640" s="7"/>
      <c r="Y640" s="7"/>
      <c r="Z640" s="5"/>
      <c r="AA640" s="7"/>
      <c r="AB640" s="7"/>
      <c r="AC640" s="7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5"/>
      <c r="W641" s="7"/>
      <c r="X641" s="7"/>
      <c r="Y641" s="7"/>
      <c r="Z641" s="5"/>
      <c r="AA641" s="7"/>
      <c r="AB641" s="7"/>
      <c r="AC641" s="7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5"/>
      <c r="W642" s="7"/>
      <c r="X642" s="7"/>
      <c r="Y642" s="7"/>
      <c r="Z642" s="5"/>
      <c r="AA642" s="7"/>
      <c r="AB642" s="7"/>
      <c r="AC642" s="7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5"/>
      <c r="W643" s="7"/>
      <c r="X643" s="7"/>
      <c r="Y643" s="7"/>
      <c r="Z643" s="5"/>
      <c r="AA643" s="7"/>
      <c r="AB643" s="7"/>
      <c r="AC643" s="7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5"/>
      <c r="W644" s="7"/>
      <c r="X644" s="7"/>
      <c r="Y644" s="7"/>
      <c r="Z644" s="5"/>
      <c r="AA644" s="7"/>
      <c r="AB644" s="7"/>
      <c r="AC644" s="7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5"/>
      <c r="W645" s="7"/>
      <c r="X645" s="7"/>
      <c r="Y645" s="7"/>
      <c r="Z645" s="5"/>
      <c r="AA645" s="7"/>
      <c r="AB645" s="7"/>
      <c r="AC645" s="7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5"/>
      <c r="W646" s="7"/>
      <c r="X646" s="7"/>
      <c r="Y646" s="7"/>
      <c r="Z646" s="5"/>
      <c r="AA646" s="7"/>
      <c r="AB646" s="7"/>
      <c r="AC646" s="7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5"/>
      <c r="W647" s="7"/>
      <c r="X647" s="7"/>
      <c r="Y647" s="7"/>
      <c r="Z647" s="5"/>
      <c r="AA647" s="7"/>
      <c r="AB647" s="7"/>
      <c r="AC647" s="7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5"/>
      <c r="W648" s="7"/>
      <c r="X648" s="7"/>
      <c r="Y648" s="7"/>
      <c r="Z648" s="5"/>
      <c r="AA648" s="7"/>
      <c r="AB648" s="7"/>
      <c r="AC648" s="7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5"/>
      <c r="W649" s="7"/>
      <c r="X649" s="7"/>
      <c r="Y649" s="7"/>
      <c r="Z649" s="5"/>
      <c r="AA649" s="7"/>
      <c r="AB649" s="7"/>
      <c r="AC649" s="7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5"/>
      <c r="W650" s="7"/>
      <c r="X650" s="7"/>
      <c r="Y650" s="7"/>
      <c r="Z650" s="5"/>
      <c r="AA650" s="7"/>
      <c r="AB650" s="7"/>
      <c r="AC650" s="7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5"/>
      <c r="W651" s="7"/>
      <c r="X651" s="7"/>
      <c r="Y651" s="7"/>
      <c r="Z651" s="5"/>
      <c r="AA651" s="7"/>
      <c r="AB651" s="7"/>
      <c r="AC651" s="7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5"/>
      <c r="W652" s="7"/>
      <c r="X652" s="7"/>
      <c r="Y652" s="7"/>
      <c r="Z652" s="5"/>
      <c r="AA652" s="7"/>
      <c r="AB652" s="7"/>
      <c r="AC652" s="7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5"/>
      <c r="W653" s="7"/>
      <c r="X653" s="7"/>
      <c r="Y653" s="7"/>
      <c r="Z653" s="5"/>
      <c r="AA653" s="7"/>
      <c r="AB653" s="7"/>
      <c r="AC653" s="7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5"/>
      <c r="W654" s="7"/>
      <c r="X654" s="7"/>
      <c r="Y654" s="7"/>
      <c r="Z654" s="5"/>
      <c r="AA654" s="7"/>
      <c r="AB654" s="7"/>
      <c r="AC654" s="7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5"/>
      <c r="W655" s="7"/>
      <c r="X655" s="7"/>
      <c r="Y655" s="7"/>
      <c r="Z655" s="5"/>
      <c r="AA655" s="7"/>
      <c r="AB655" s="7"/>
      <c r="AC655" s="7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5"/>
      <c r="W656" s="7"/>
      <c r="X656" s="7"/>
      <c r="Y656" s="7"/>
      <c r="Z656" s="5"/>
      <c r="AA656" s="7"/>
      <c r="AB656" s="7"/>
      <c r="AC656" s="7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5"/>
      <c r="W657" s="7"/>
      <c r="X657" s="7"/>
      <c r="Y657" s="7"/>
      <c r="Z657" s="5"/>
      <c r="AA657" s="7"/>
      <c r="AB657" s="7"/>
      <c r="AC657" s="7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5"/>
      <c r="W658" s="7"/>
      <c r="X658" s="7"/>
      <c r="Y658" s="7"/>
      <c r="Z658" s="5"/>
      <c r="AA658" s="7"/>
      <c r="AB658" s="7"/>
      <c r="AC658" s="7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5"/>
      <c r="W659" s="7"/>
      <c r="X659" s="7"/>
      <c r="Y659" s="7"/>
      <c r="Z659" s="5"/>
      <c r="AA659" s="7"/>
      <c r="AB659" s="7"/>
      <c r="AC659" s="7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5"/>
      <c r="W660" s="7"/>
      <c r="X660" s="7"/>
      <c r="Y660" s="7"/>
      <c r="Z660" s="5"/>
      <c r="AA660" s="7"/>
      <c r="AB660" s="7"/>
      <c r="AC660" s="7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5"/>
      <c r="W661" s="7"/>
      <c r="X661" s="7"/>
      <c r="Y661" s="7"/>
      <c r="Z661" s="5"/>
      <c r="AA661" s="7"/>
      <c r="AB661" s="7"/>
      <c r="AC661" s="7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5"/>
      <c r="W662" s="7"/>
      <c r="X662" s="7"/>
      <c r="Y662" s="7"/>
      <c r="Z662" s="5"/>
      <c r="AA662" s="7"/>
      <c r="AB662" s="7"/>
      <c r="AC662" s="7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5"/>
      <c r="W663" s="7"/>
      <c r="X663" s="7"/>
      <c r="Y663" s="7"/>
      <c r="Z663" s="5"/>
      <c r="AA663" s="7"/>
      <c r="AB663" s="7"/>
      <c r="AC663" s="7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5"/>
      <c r="W664" s="7"/>
      <c r="X664" s="7"/>
      <c r="Y664" s="7"/>
      <c r="Z664" s="5"/>
      <c r="AA664" s="7"/>
      <c r="AB664" s="7"/>
      <c r="AC664" s="7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5"/>
      <c r="W665" s="7"/>
      <c r="X665" s="7"/>
      <c r="Y665" s="7"/>
      <c r="Z665" s="5"/>
      <c r="AA665" s="7"/>
      <c r="AB665" s="7"/>
      <c r="AC665" s="7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5"/>
      <c r="W666" s="7"/>
      <c r="X666" s="7"/>
      <c r="Y666" s="7"/>
      <c r="Z666" s="5"/>
      <c r="AA666" s="7"/>
      <c r="AB666" s="7"/>
      <c r="AC666" s="7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5"/>
      <c r="W667" s="7"/>
      <c r="X667" s="7"/>
      <c r="Y667" s="7"/>
      <c r="Z667" s="5"/>
      <c r="AA667" s="7"/>
      <c r="AB667" s="7"/>
      <c r="AC667" s="7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5"/>
      <c r="W668" s="7"/>
      <c r="X668" s="7"/>
      <c r="Y668" s="7"/>
      <c r="Z668" s="5"/>
      <c r="AA668" s="7"/>
      <c r="AB668" s="7"/>
      <c r="AC668" s="7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5"/>
      <c r="W669" s="7"/>
      <c r="X669" s="7"/>
      <c r="Y669" s="7"/>
      <c r="Z669" s="5"/>
      <c r="AA669" s="7"/>
      <c r="AB669" s="7"/>
      <c r="AC669" s="7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5"/>
      <c r="W670" s="7"/>
      <c r="X670" s="7"/>
      <c r="Y670" s="7"/>
      <c r="Z670" s="5"/>
      <c r="AA670" s="7"/>
      <c r="AB670" s="7"/>
      <c r="AC670" s="7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5"/>
      <c r="W671" s="7"/>
      <c r="X671" s="7"/>
      <c r="Y671" s="7"/>
      <c r="Z671" s="5"/>
      <c r="AA671" s="7"/>
      <c r="AB671" s="7"/>
      <c r="AC671" s="7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5"/>
      <c r="W672" s="7"/>
      <c r="X672" s="7"/>
      <c r="Y672" s="7"/>
      <c r="Z672" s="5"/>
      <c r="AA672" s="7"/>
      <c r="AB672" s="7"/>
      <c r="AC672" s="7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5"/>
      <c r="W673" s="7"/>
      <c r="X673" s="7"/>
      <c r="Y673" s="7"/>
      <c r="Z673" s="5"/>
      <c r="AA673" s="7"/>
      <c r="AB673" s="7"/>
      <c r="AC673" s="7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5"/>
      <c r="W674" s="7"/>
      <c r="X674" s="7"/>
      <c r="Y674" s="7"/>
      <c r="Z674" s="5"/>
      <c r="AA674" s="7"/>
      <c r="AB674" s="7"/>
      <c r="AC674" s="7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5"/>
      <c r="W675" s="7"/>
      <c r="X675" s="7"/>
      <c r="Y675" s="7"/>
      <c r="Z675" s="5"/>
      <c r="AA675" s="7"/>
      <c r="AB675" s="7"/>
      <c r="AC675" s="7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5"/>
      <c r="W676" s="7"/>
      <c r="X676" s="7"/>
      <c r="Y676" s="7"/>
      <c r="Z676" s="5"/>
      <c r="AA676" s="7"/>
      <c r="AB676" s="7"/>
      <c r="AC676" s="7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5"/>
      <c r="W677" s="7"/>
      <c r="X677" s="7"/>
      <c r="Y677" s="7"/>
      <c r="Z677" s="5"/>
      <c r="AA677" s="7"/>
      <c r="AB677" s="7"/>
      <c r="AC677" s="7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5"/>
      <c r="W678" s="7"/>
      <c r="X678" s="7"/>
      <c r="Y678" s="7"/>
      <c r="Z678" s="5"/>
      <c r="AA678" s="7"/>
      <c r="AB678" s="7"/>
      <c r="AC678" s="7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5"/>
      <c r="W679" s="7"/>
      <c r="X679" s="7"/>
      <c r="Y679" s="7"/>
      <c r="Z679" s="5"/>
      <c r="AA679" s="7"/>
      <c r="AB679" s="7"/>
      <c r="AC679" s="7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5"/>
      <c r="W680" s="7"/>
      <c r="X680" s="7"/>
      <c r="Y680" s="7"/>
      <c r="Z680" s="5"/>
      <c r="AA680" s="7"/>
      <c r="AB680" s="7"/>
      <c r="AC680" s="7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5"/>
      <c r="W681" s="7"/>
      <c r="X681" s="7"/>
      <c r="Y681" s="7"/>
      <c r="Z681" s="5"/>
      <c r="AA681" s="7"/>
      <c r="AB681" s="7"/>
      <c r="AC681" s="7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5"/>
      <c r="W682" s="7"/>
      <c r="X682" s="7"/>
      <c r="Y682" s="7"/>
      <c r="Z682" s="5"/>
      <c r="AA682" s="7"/>
      <c r="AB682" s="7"/>
      <c r="AC682" s="7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5"/>
      <c r="W683" s="7"/>
      <c r="X683" s="7"/>
      <c r="Y683" s="7"/>
      <c r="Z683" s="5"/>
      <c r="AA683" s="7"/>
      <c r="AB683" s="7"/>
      <c r="AC683" s="7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5"/>
      <c r="W684" s="7"/>
      <c r="X684" s="7"/>
      <c r="Y684" s="7"/>
      <c r="Z684" s="5"/>
      <c r="AA684" s="7"/>
      <c r="AB684" s="7"/>
      <c r="AC684" s="7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5"/>
      <c r="W685" s="7"/>
      <c r="X685" s="7"/>
      <c r="Y685" s="7"/>
      <c r="Z685" s="5"/>
      <c r="AA685" s="7"/>
      <c r="AB685" s="7"/>
      <c r="AC685" s="7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5"/>
      <c r="W686" s="7"/>
      <c r="X686" s="7"/>
      <c r="Y686" s="7"/>
      <c r="Z686" s="5"/>
      <c r="AA686" s="7"/>
      <c r="AB686" s="7"/>
      <c r="AC686" s="7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5"/>
      <c r="W687" s="7"/>
      <c r="X687" s="7"/>
      <c r="Y687" s="7"/>
      <c r="Z687" s="5"/>
      <c r="AA687" s="7"/>
      <c r="AB687" s="7"/>
      <c r="AC687" s="7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5"/>
      <c r="W688" s="7"/>
      <c r="X688" s="7"/>
      <c r="Y688" s="7"/>
      <c r="Z688" s="5"/>
      <c r="AA688" s="7"/>
      <c r="AB688" s="7"/>
      <c r="AC688" s="7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5"/>
      <c r="W689" s="7"/>
      <c r="X689" s="7"/>
      <c r="Y689" s="7"/>
      <c r="Z689" s="5"/>
      <c r="AA689" s="7"/>
      <c r="AB689" s="7"/>
      <c r="AC689" s="7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5"/>
      <c r="W690" s="7"/>
      <c r="X690" s="7"/>
      <c r="Y690" s="7"/>
      <c r="Z690" s="5"/>
      <c r="AA690" s="7"/>
      <c r="AB690" s="7"/>
      <c r="AC690" s="7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5"/>
      <c r="W691" s="7"/>
      <c r="X691" s="7"/>
      <c r="Y691" s="7"/>
      <c r="Z691" s="5"/>
      <c r="AA691" s="7"/>
      <c r="AB691" s="7"/>
      <c r="AC691" s="7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5"/>
      <c r="W692" s="7"/>
      <c r="X692" s="7"/>
      <c r="Y692" s="7"/>
      <c r="Z692" s="5"/>
      <c r="AA692" s="7"/>
      <c r="AB692" s="7"/>
      <c r="AC692" s="7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5"/>
      <c r="W693" s="7"/>
      <c r="X693" s="7"/>
      <c r="Y693" s="7"/>
      <c r="Z693" s="5"/>
      <c r="AA693" s="7"/>
      <c r="AB693" s="7"/>
      <c r="AC693" s="7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5"/>
      <c r="W694" s="7"/>
      <c r="X694" s="7"/>
      <c r="Y694" s="7"/>
      <c r="Z694" s="5"/>
      <c r="AA694" s="7"/>
      <c r="AB694" s="7"/>
      <c r="AC694" s="7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5"/>
      <c r="W695" s="7"/>
      <c r="X695" s="7"/>
      <c r="Y695" s="7"/>
      <c r="Z695" s="5"/>
      <c r="AA695" s="7"/>
      <c r="AB695" s="7"/>
      <c r="AC695" s="7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5"/>
      <c r="W696" s="7"/>
      <c r="X696" s="7"/>
      <c r="Y696" s="7"/>
      <c r="Z696" s="5"/>
      <c r="AA696" s="7"/>
      <c r="AB696" s="7"/>
      <c r="AC696" s="7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5"/>
      <c r="W697" s="7"/>
      <c r="X697" s="7"/>
      <c r="Y697" s="7"/>
      <c r="Z697" s="5"/>
      <c r="AA697" s="7"/>
      <c r="AB697" s="7"/>
      <c r="AC697" s="7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5"/>
      <c r="W698" s="7"/>
      <c r="X698" s="7"/>
      <c r="Y698" s="7"/>
      <c r="Z698" s="5"/>
      <c r="AA698" s="7"/>
      <c r="AB698" s="7"/>
      <c r="AC698" s="7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5"/>
      <c r="W699" s="7"/>
      <c r="X699" s="7"/>
      <c r="Y699" s="7"/>
      <c r="Z699" s="5"/>
      <c r="AA699" s="7"/>
      <c r="AB699" s="7"/>
      <c r="AC699" s="7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5"/>
      <c r="W700" s="7"/>
      <c r="X700" s="7"/>
      <c r="Y700" s="7"/>
      <c r="Z700" s="5"/>
      <c r="AA700" s="7"/>
      <c r="AB700" s="7"/>
      <c r="AC700" s="7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5"/>
      <c r="W701" s="7"/>
      <c r="X701" s="7"/>
      <c r="Y701" s="7"/>
      <c r="Z701" s="5"/>
      <c r="AA701" s="7"/>
      <c r="AB701" s="7"/>
      <c r="AC701" s="7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5"/>
      <c r="W702" s="7"/>
      <c r="X702" s="7"/>
      <c r="Y702" s="7"/>
      <c r="Z702" s="5"/>
      <c r="AA702" s="7"/>
      <c r="AB702" s="7"/>
      <c r="AC702" s="7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5"/>
      <c r="W703" s="7"/>
      <c r="X703" s="7"/>
      <c r="Y703" s="7"/>
      <c r="Z703" s="5"/>
      <c r="AA703" s="7"/>
      <c r="AB703" s="7"/>
      <c r="AC703" s="7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5"/>
      <c r="W704" s="7"/>
      <c r="X704" s="7"/>
      <c r="Y704" s="7"/>
      <c r="Z704" s="5"/>
      <c r="AA704" s="7"/>
      <c r="AB704" s="7"/>
      <c r="AC704" s="7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5"/>
      <c r="W705" s="7"/>
      <c r="X705" s="7"/>
      <c r="Y705" s="7"/>
      <c r="Z705" s="5"/>
      <c r="AA705" s="7"/>
      <c r="AB705" s="7"/>
      <c r="AC705" s="7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5"/>
      <c r="W706" s="7"/>
      <c r="X706" s="7"/>
      <c r="Y706" s="7"/>
      <c r="Z706" s="5"/>
      <c r="AA706" s="7"/>
      <c r="AB706" s="7"/>
      <c r="AC706" s="7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5"/>
      <c r="W707" s="7"/>
      <c r="X707" s="7"/>
      <c r="Y707" s="7"/>
      <c r="Z707" s="5"/>
      <c r="AA707" s="7"/>
      <c r="AB707" s="7"/>
      <c r="AC707" s="7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5"/>
      <c r="W708" s="7"/>
      <c r="X708" s="7"/>
      <c r="Y708" s="7"/>
      <c r="Z708" s="5"/>
      <c r="AA708" s="7"/>
      <c r="AB708" s="7"/>
      <c r="AC708" s="7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5"/>
      <c r="W709" s="7"/>
      <c r="X709" s="7"/>
      <c r="Y709" s="7"/>
      <c r="Z709" s="5"/>
      <c r="AA709" s="7"/>
      <c r="AB709" s="7"/>
      <c r="AC709" s="7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5"/>
      <c r="W710" s="7"/>
      <c r="X710" s="7"/>
      <c r="Y710" s="7"/>
      <c r="Z710" s="5"/>
      <c r="AA710" s="7"/>
      <c r="AB710" s="7"/>
      <c r="AC710" s="7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5"/>
      <c r="W711" s="7"/>
      <c r="X711" s="7"/>
      <c r="Y711" s="7"/>
      <c r="Z711" s="5"/>
      <c r="AA711" s="7"/>
      <c r="AB711" s="7"/>
      <c r="AC711" s="7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5"/>
      <c r="W712" s="7"/>
      <c r="X712" s="7"/>
      <c r="Y712" s="7"/>
      <c r="Z712" s="5"/>
      <c r="AA712" s="7"/>
      <c r="AB712" s="7"/>
      <c r="AC712" s="7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5"/>
      <c r="W713" s="7"/>
      <c r="X713" s="7"/>
      <c r="Y713" s="7"/>
      <c r="Z713" s="5"/>
      <c r="AA713" s="7"/>
      <c r="AB713" s="7"/>
      <c r="AC713" s="7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5"/>
      <c r="W714" s="7"/>
      <c r="X714" s="7"/>
      <c r="Y714" s="7"/>
      <c r="Z714" s="5"/>
      <c r="AA714" s="7"/>
      <c r="AB714" s="7"/>
      <c r="AC714" s="7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5"/>
      <c r="W715" s="7"/>
      <c r="X715" s="7"/>
      <c r="Y715" s="7"/>
      <c r="Z715" s="5"/>
      <c r="AA715" s="7"/>
      <c r="AB715" s="7"/>
      <c r="AC715" s="7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5"/>
      <c r="W716" s="7"/>
      <c r="X716" s="7"/>
      <c r="Y716" s="7"/>
      <c r="Z716" s="5"/>
      <c r="AA716" s="7"/>
      <c r="AB716" s="7"/>
      <c r="AC716" s="7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5"/>
      <c r="W717" s="7"/>
      <c r="X717" s="7"/>
      <c r="Y717" s="7"/>
      <c r="Z717" s="5"/>
      <c r="AA717" s="7"/>
      <c r="AB717" s="7"/>
      <c r="AC717" s="7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5"/>
      <c r="W718" s="7"/>
      <c r="X718" s="7"/>
      <c r="Y718" s="7"/>
      <c r="Z718" s="5"/>
      <c r="AA718" s="7"/>
      <c r="AB718" s="7"/>
      <c r="AC718" s="7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5"/>
      <c r="W719" s="7"/>
      <c r="X719" s="7"/>
      <c r="Y719" s="7"/>
      <c r="Z719" s="5"/>
      <c r="AA719" s="7"/>
      <c r="AB719" s="7"/>
      <c r="AC719" s="7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5"/>
      <c r="W720" s="7"/>
      <c r="X720" s="7"/>
      <c r="Y720" s="7"/>
      <c r="Z720" s="5"/>
      <c r="AA720" s="7"/>
      <c r="AB720" s="7"/>
      <c r="AC720" s="7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5"/>
      <c r="W721" s="7"/>
      <c r="X721" s="7"/>
      <c r="Y721" s="7"/>
      <c r="Z721" s="5"/>
      <c r="AA721" s="7"/>
      <c r="AB721" s="7"/>
      <c r="AC721" s="7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5"/>
      <c r="W722" s="7"/>
      <c r="X722" s="7"/>
      <c r="Y722" s="7"/>
      <c r="Z722" s="5"/>
      <c r="AA722" s="7"/>
      <c r="AB722" s="7"/>
      <c r="AC722" s="7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5"/>
      <c r="W723" s="7"/>
      <c r="X723" s="7"/>
      <c r="Y723" s="7"/>
      <c r="Z723" s="5"/>
      <c r="AA723" s="7"/>
      <c r="AB723" s="7"/>
      <c r="AC723" s="7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5"/>
      <c r="W724" s="7"/>
      <c r="X724" s="7"/>
      <c r="Y724" s="7"/>
      <c r="Z724" s="5"/>
      <c r="AA724" s="7"/>
      <c r="AB724" s="7"/>
      <c r="AC724" s="7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5"/>
      <c r="W725" s="7"/>
      <c r="X725" s="7"/>
      <c r="Y725" s="7"/>
      <c r="Z725" s="5"/>
      <c r="AA725" s="7"/>
      <c r="AB725" s="7"/>
      <c r="AC725" s="7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5"/>
      <c r="W726" s="7"/>
      <c r="X726" s="7"/>
      <c r="Y726" s="7"/>
      <c r="Z726" s="5"/>
      <c r="AA726" s="7"/>
      <c r="AB726" s="7"/>
      <c r="AC726" s="7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5"/>
      <c r="W727" s="7"/>
      <c r="X727" s="7"/>
      <c r="Y727" s="7"/>
      <c r="Z727" s="5"/>
      <c r="AA727" s="7"/>
      <c r="AB727" s="7"/>
      <c r="AC727" s="7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5"/>
      <c r="W728" s="7"/>
      <c r="X728" s="7"/>
      <c r="Y728" s="7"/>
      <c r="Z728" s="5"/>
      <c r="AA728" s="7"/>
      <c r="AB728" s="7"/>
      <c r="AC728" s="7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5"/>
      <c r="W729" s="7"/>
      <c r="X729" s="7"/>
      <c r="Y729" s="7"/>
      <c r="Z729" s="5"/>
      <c r="AA729" s="7"/>
      <c r="AB729" s="7"/>
      <c r="AC729" s="7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5"/>
      <c r="W730" s="7"/>
      <c r="X730" s="7"/>
      <c r="Y730" s="7"/>
      <c r="Z730" s="5"/>
      <c r="AA730" s="7"/>
      <c r="AB730" s="7"/>
      <c r="AC730" s="7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5"/>
      <c r="W731" s="7"/>
      <c r="X731" s="7"/>
      <c r="Y731" s="7"/>
      <c r="Z731" s="5"/>
      <c r="AA731" s="7"/>
      <c r="AB731" s="7"/>
      <c r="AC731" s="7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5"/>
      <c r="W732" s="7"/>
      <c r="X732" s="7"/>
      <c r="Y732" s="7"/>
      <c r="Z732" s="5"/>
      <c r="AA732" s="7"/>
      <c r="AB732" s="7"/>
      <c r="AC732" s="7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5"/>
      <c r="W733" s="7"/>
      <c r="X733" s="7"/>
      <c r="Y733" s="7"/>
      <c r="Z733" s="5"/>
      <c r="AA733" s="7"/>
      <c r="AB733" s="7"/>
      <c r="AC733" s="7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5"/>
      <c r="W734" s="7"/>
      <c r="X734" s="7"/>
      <c r="Y734" s="7"/>
      <c r="Z734" s="5"/>
      <c r="AA734" s="7"/>
      <c r="AB734" s="7"/>
      <c r="AC734" s="7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5"/>
      <c r="W735" s="7"/>
      <c r="X735" s="7"/>
      <c r="Y735" s="7"/>
      <c r="Z735" s="5"/>
      <c r="AA735" s="7"/>
      <c r="AB735" s="7"/>
      <c r="AC735" s="7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5"/>
      <c r="W736" s="7"/>
      <c r="X736" s="7"/>
      <c r="Y736" s="7"/>
      <c r="Z736" s="5"/>
      <c r="AA736" s="7"/>
      <c r="AB736" s="7"/>
      <c r="AC736" s="7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5"/>
      <c r="W737" s="7"/>
      <c r="X737" s="7"/>
      <c r="Y737" s="7"/>
      <c r="Z737" s="5"/>
      <c r="AA737" s="7"/>
      <c r="AB737" s="7"/>
      <c r="AC737" s="7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5"/>
      <c r="W738" s="7"/>
      <c r="X738" s="7"/>
      <c r="Y738" s="7"/>
      <c r="Z738" s="5"/>
      <c r="AA738" s="7"/>
      <c r="AB738" s="7"/>
      <c r="AC738" s="7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5"/>
      <c r="W739" s="7"/>
      <c r="X739" s="7"/>
      <c r="Y739" s="7"/>
      <c r="Z739" s="5"/>
      <c r="AA739" s="7"/>
      <c r="AB739" s="7"/>
      <c r="AC739" s="7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5"/>
      <c r="W740" s="7"/>
      <c r="X740" s="7"/>
      <c r="Y740" s="7"/>
      <c r="Z740" s="5"/>
      <c r="AA740" s="7"/>
      <c r="AB740" s="7"/>
      <c r="AC740" s="7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5"/>
      <c r="W741" s="7"/>
      <c r="X741" s="7"/>
      <c r="Y741" s="7"/>
      <c r="Z741" s="5"/>
      <c r="AA741" s="7"/>
      <c r="AB741" s="7"/>
      <c r="AC741" s="7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5"/>
      <c r="W742" s="7"/>
      <c r="X742" s="7"/>
      <c r="Y742" s="7"/>
      <c r="Z742" s="5"/>
      <c r="AA742" s="7"/>
      <c r="AB742" s="7"/>
      <c r="AC742" s="7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5"/>
      <c r="W743" s="7"/>
      <c r="X743" s="7"/>
      <c r="Y743" s="7"/>
      <c r="Z743" s="5"/>
      <c r="AA743" s="7"/>
      <c r="AB743" s="7"/>
      <c r="AC743" s="7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5"/>
      <c r="W744" s="7"/>
      <c r="X744" s="7"/>
      <c r="Y744" s="7"/>
      <c r="Z744" s="5"/>
      <c r="AA744" s="7"/>
      <c r="AB744" s="7"/>
      <c r="AC744" s="7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5"/>
      <c r="W745" s="7"/>
      <c r="X745" s="7"/>
      <c r="Y745" s="7"/>
      <c r="Z745" s="5"/>
      <c r="AA745" s="7"/>
      <c r="AB745" s="7"/>
      <c r="AC745" s="7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5"/>
      <c r="W746" s="7"/>
      <c r="X746" s="7"/>
      <c r="Y746" s="7"/>
      <c r="Z746" s="5"/>
      <c r="AA746" s="7"/>
      <c r="AB746" s="7"/>
      <c r="AC746" s="7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5"/>
      <c r="W747" s="7"/>
      <c r="X747" s="7"/>
      <c r="Y747" s="7"/>
      <c r="Z747" s="5"/>
      <c r="AA747" s="7"/>
      <c r="AB747" s="7"/>
      <c r="AC747" s="7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5"/>
      <c r="W748" s="7"/>
      <c r="X748" s="7"/>
      <c r="Y748" s="7"/>
      <c r="Z748" s="5"/>
      <c r="AA748" s="7"/>
      <c r="AB748" s="7"/>
      <c r="AC748" s="7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5"/>
      <c r="W749" s="7"/>
      <c r="X749" s="7"/>
      <c r="Y749" s="7"/>
      <c r="Z749" s="5"/>
      <c r="AA749" s="7"/>
      <c r="AB749" s="7"/>
      <c r="AC749" s="7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5"/>
      <c r="W750" s="7"/>
      <c r="X750" s="7"/>
      <c r="Y750" s="7"/>
      <c r="Z750" s="5"/>
      <c r="AA750" s="7"/>
      <c r="AB750" s="7"/>
      <c r="AC750" s="7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5"/>
      <c r="W751" s="7"/>
      <c r="X751" s="7"/>
      <c r="Y751" s="7"/>
      <c r="Z751" s="5"/>
      <c r="AA751" s="7"/>
      <c r="AB751" s="7"/>
      <c r="AC751" s="7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5"/>
      <c r="W752" s="7"/>
      <c r="X752" s="7"/>
      <c r="Y752" s="7"/>
      <c r="Z752" s="5"/>
      <c r="AA752" s="7"/>
      <c r="AB752" s="7"/>
      <c r="AC752" s="7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5"/>
      <c r="W753" s="7"/>
      <c r="X753" s="7"/>
      <c r="Y753" s="7"/>
      <c r="Z753" s="5"/>
      <c r="AA753" s="7"/>
      <c r="AB753" s="7"/>
      <c r="AC753" s="7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5"/>
      <c r="W754" s="7"/>
      <c r="X754" s="7"/>
      <c r="Y754" s="7"/>
      <c r="Z754" s="5"/>
      <c r="AA754" s="7"/>
      <c r="AB754" s="7"/>
      <c r="AC754" s="7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5"/>
      <c r="W755" s="7"/>
      <c r="X755" s="7"/>
      <c r="Y755" s="7"/>
      <c r="Z755" s="5"/>
      <c r="AA755" s="7"/>
      <c r="AB755" s="7"/>
      <c r="AC755" s="7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5"/>
      <c r="W756" s="7"/>
      <c r="X756" s="7"/>
      <c r="Y756" s="7"/>
      <c r="Z756" s="5"/>
      <c r="AA756" s="7"/>
      <c r="AB756" s="7"/>
      <c r="AC756" s="7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5"/>
      <c r="W757" s="7"/>
      <c r="X757" s="7"/>
      <c r="Y757" s="7"/>
      <c r="Z757" s="5"/>
      <c r="AA757" s="7"/>
      <c r="AB757" s="7"/>
      <c r="AC757" s="7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5"/>
      <c r="W758" s="7"/>
      <c r="X758" s="7"/>
      <c r="Y758" s="7"/>
      <c r="Z758" s="5"/>
      <c r="AA758" s="7"/>
      <c r="AB758" s="7"/>
      <c r="AC758" s="7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5"/>
      <c r="W759" s="7"/>
      <c r="X759" s="7"/>
      <c r="Y759" s="7"/>
      <c r="Z759" s="5"/>
      <c r="AA759" s="7"/>
      <c r="AB759" s="7"/>
      <c r="AC759" s="7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5"/>
      <c r="W760" s="7"/>
      <c r="X760" s="7"/>
      <c r="Y760" s="7"/>
      <c r="Z760" s="5"/>
      <c r="AA760" s="7"/>
      <c r="AB760" s="7"/>
      <c r="AC760" s="7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5"/>
      <c r="W761" s="7"/>
      <c r="X761" s="7"/>
      <c r="Y761" s="7"/>
      <c r="Z761" s="5"/>
      <c r="AA761" s="7"/>
      <c r="AB761" s="7"/>
      <c r="AC761" s="7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5"/>
      <c r="W762" s="7"/>
      <c r="X762" s="7"/>
      <c r="Y762" s="7"/>
      <c r="Z762" s="5"/>
      <c r="AA762" s="7"/>
      <c r="AB762" s="7"/>
      <c r="AC762" s="7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5"/>
      <c r="W763" s="7"/>
      <c r="X763" s="7"/>
      <c r="Y763" s="7"/>
      <c r="Z763" s="5"/>
      <c r="AA763" s="7"/>
      <c r="AB763" s="7"/>
      <c r="AC763" s="7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5"/>
      <c r="W764" s="7"/>
      <c r="X764" s="7"/>
      <c r="Y764" s="7"/>
      <c r="Z764" s="5"/>
      <c r="AA764" s="7"/>
      <c r="AB764" s="7"/>
      <c r="AC764" s="7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5"/>
      <c r="W765" s="7"/>
      <c r="X765" s="7"/>
      <c r="Y765" s="7"/>
      <c r="Z765" s="5"/>
      <c r="AA765" s="7"/>
      <c r="AB765" s="7"/>
      <c r="AC765" s="7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5"/>
      <c r="W766" s="7"/>
      <c r="X766" s="7"/>
      <c r="Y766" s="7"/>
      <c r="Z766" s="5"/>
      <c r="AA766" s="7"/>
      <c r="AB766" s="7"/>
      <c r="AC766" s="7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5"/>
      <c r="W767" s="7"/>
      <c r="X767" s="7"/>
      <c r="Y767" s="7"/>
      <c r="Z767" s="5"/>
      <c r="AA767" s="7"/>
      <c r="AB767" s="7"/>
      <c r="AC767" s="7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5"/>
      <c r="W768" s="7"/>
      <c r="X768" s="7"/>
      <c r="Y768" s="7"/>
      <c r="Z768" s="5"/>
      <c r="AA768" s="7"/>
      <c r="AB768" s="7"/>
      <c r="AC768" s="7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5"/>
      <c r="W769" s="7"/>
      <c r="X769" s="7"/>
      <c r="Y769" s="7"/>
      <c r="Z769" s="5"/>
      <c r="AA769" s="7"/>
      <c r="AB769" s="7"/>
      <c r="AC769" s="7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5"/>
      <c r="W770" s="7"/>
      <c r="X770" s="7"/>
      <c r="Y770" s="7"/>
      <c r="Z770" s="5"/>
      <c r="AA770" s="7"/>
      <c r="AB770" s="7"/>
      <c r="AC770" s="7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5"/>
      <c r="W771" s="7"/>
      <c r="X771" s="7"/>
      <c r="Y771" s="7"/>
      <c r="Z771" s="5"/>
      <c r="AA771" s="7"/>
      <c r="AB771" s="7"/>
      <c r="AC771" s="7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5"/>
      <c r="W772" s="7"/>
      <c r="X772" s="7"/>
      <c r="Y772" s="7"/>
      <c r="Z772" s="5"/>
      <c r="AA772" s="7"/>
      <c r="AB772" s="7"/>
      <c r="AC772" s="7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5"/>
      <c r="W773" s="7"/>
      <c r="X773" s="7"/>
      <c r="Y773" s="7"/>
      <c r="Z773" s="5"/>
      <c r="AA773" s="7"/>
      <c r="AB773" s="7"/>
      <c r="AC773" s="7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5"/>
      <c r="W774" s="7"/>
      <c r="X774" s="7"/>
      <c r="Y774" s="7"/>
      <c r="Z774" s="5"/>
      <c r="AA774" s="7"/>
      <c r="AB774" s="7"/>
      <c r="AC774" s="7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5"/>
      <c r="W775" s="7"/>
      <c r="X775" s="7"/>
      <c r="Y775" s="7"/>
      <c r="Z775" s="5"/>
      <c r="AA775" s="7"/>
      <c r="AB775" s="7"/>
      <c r="AC775" s="7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5"/>
      <c r="W776" s="7"/>
      <c r="X776" s="7"/>
      <c r="Y776" s="7"/>
      <c r="Z776" s="5"/>
      <c r="AA776" s="7"/>
      <c r="AB776" s="7"/>
      <c r="AC776" s="7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5"/>
      <c r="W777" s="7"/>
      <c r="X777" s="7"/>
      <c r="Y777" s="7"/>
      <c r="Z777" s="5"/>
      <c r="AA777" s="7"/>
      <c r="AB777" s="7"/>
      <c r="AC777" s="7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5"/>
      <c r="W778" s="7"/>
      <c r="X778" s="7"/>
      <c r="Y778" s="7"/>
      <c r="Z778" s="5"/>
      <c r="AA778" s="7"/>
      <c r="AB778" s="7"/>
      <c r="AC778" s="7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5"/>
      <c r="W779" s="7"/>
      <c r="X779" s="7"/>
      <c r="Y779" s="7"/>
      <c r="Z779" s="5"/>
      <c r="AA779" s="7"/>
      <c r="AB779" s="7"/>
      <c r="AC779" s="7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5"/>
      <c r="W780" s="7"/>
      <c r="X780" s="7"/>
      <c r="Y780" s="7"/>
      <c r="Z780" s="5"/>
      <c r="AA780" s="7"/>
      <c r="AB780" s="7"/>
      <c r="AC780" s="7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5"/>
      <c r="W781" s="7"/>
      <c r="X781" s="7"/>
      <c r="Y781" s="7"/>
      <c r="Z781" s="5"/>
      <c r="AA781" s="7"/>
      <c r="AB781" s="7"/>
      <c r="AC781" s="7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5"/>
      <c r="W782" s="7"/>
      <c r="X782" s="7"/>
      <c r="Y782" s="7"/>
      <c r="Z782" s="5"/>
      <c r="AA782" s="7"/>
      <c r="AB782" s="7"/>
      <c r="AC782" s="7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5"/>
      <c r="W783" s="7"/>
      <c r="X783" s="7"/>
      <c r="Y783" s="7"/>
      <c r="Z783" s="5"/>
      <c r="AA783" s="7"/>
      <c r="AB783" s="7"/>
      <c r="AC783" s="7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5"/>
      <c r="W784" s="7"/>
      <c r="X784" s="7"/>
      <c r="Y784" s="7"/>
      <c r="Z784" s="5"/>
      <c r="AA784" s="7"/>
      <c r="AB784" s="7"/>
      <c r="AC784" s="7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5"/>
      <c r="W785" s="7"/>
      <c r="X785" s="7"/>
      <c r="Y785" s="7"/>
      <c r="Z785" s="5"/>
      <c r="AA785" s="7"/>
      <c r="AB785" s="7"/>
      <c r="AC785" s="7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5"/>
      <c r="W786" s="7"/>
      <c r="X786" s="7"/>
      <c r="Y786" s="7"/>
      <c r="Z786" s="5"/>
      <c r="AA786" s="7"/>
      <c r="AB786" s="7"/>
      <c r="AC786" s="7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5"/>
      <c r="W787" s="7"/>
      <c r="X787" s="7"/>
      <c r="Y787" s="7"/>
      <c r="Z787" s="5"/>
      <c r="AA787" s="7"/>
      <c r="AB787" s="7"/>
      <c r="AC787" s="7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5"/>
      <c r="W788" s="7"/>
      <c r="X788" s="7"/>
      <c r="Y788" s="7"/>
      <c r="Z788" s="5"/>
      <c r="AA788" s="7"/>
      <c r="AB788" s="7"/>
      <c r="AC788" s="7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5"/>
      <c r="W789" s="7"/>
      <c r="X789" s="7"/>
      <c r="Y789" s="7"/>
      <c r="Z789" s="5"/>
      <c r="AA789" s="7"/>
      <c r="AB789" s="7"/>
      <c r="AC789" s="7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5"/>
      <c r="W790" s="7"/>
      <c r="X790" s="7"/>
      <c r="Y790" s="7"/>
      <c r="Z790" s="5"/>
      <c r="AA790" s="7"/>
      <c r="AB790" s="7"/>
      <c r="AC790" s="7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5"/>
      <c r="W791" s="7"/>
      <c r="X791" s="7"/>
      <c r="Y791" s="7"/>
      <c r="Z791" s="5"/>
      <c r="AA791" s="7"/>
      <c r="AB791" s="7"/>
      <c r="AC791" s="7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5"/>
      <c r="W792" s="7"/>
      <c r="X792" s="7"/>
      <c r="Y792" s="7"/>
      <c r="Z792" s="5"/>
      <c r="AA792" s="7"/>
      <c r="AB792" s="7"/>
      <c r="AC792" s="7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5"/>
      <c r="W793" s="7"/>
      <c r="X793" s="7"/>
      <c r="Y793" s="7"/>
      <c r="Z793" s="5"/>
      <c r="AA793" s="7"/>
      <c r="AB793" s="7"/>
      <c r="AC793" s="7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5"/>
      <c r="W794" s="7"/>
      <c r="X794" s="7"/>
      <c r="Y794" s="7"/>
      <c r="Z794" s="5"/>
      <c r="AA794" s="7"/>
      <c r="AB794" s="7"/>
      <c r="AC794" s="7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5"/>
      <c r="W795" s="7"/>
      <c r="X795" s="7"/>
      <c r="Y795" s="7"/>
      <c r="Z795" s="5"/>
      <c r="AA795" s="7"/>
      <c r="AB795" s="7"/>
      <c r="AC795" s="7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5"/>
      <c r="W796" s="7"/>
      <c r="X796" s="7"/>
      <c r="Y796" s="7"/>
      <c r="Z796" s="5"/>
      <c r="AA796" s="7"/>
      <c r="AB796" s="7"/>
      <c r="AC796" s="7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5"/>
      <c r="W797" s="7"/>
      <c r="X797" s="7"/>
      <c r="Y797" s="7"/>
      <c r="Z797" s="5"/>
      <c r="AA797" s="7"/>
      <c r="AB797" s="7"/>
      <c r="AC797" s="7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5"/>
      <c r="W798" s="7"/>
      <c r="X798" s="7"/>
      <c r="Y798" s="7"/>
      <c r="Z798" s="5"/>
      <c r="AA798" s="7"/>
      <c r="AB798" s="7"/>
      <c r="AC798" s="7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5"/>
      <c r="W799" s="7"/>
      <c r="X799" s="7"/>
      <c r="Y799" s="7"/>
      <c r="Z799" s="5"/>
      <c r="AA799" s="7"/>
      <c r="AB799" s="7"/>
      <c r="AC799" s="7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5"/>
      <c r="W800" s="7"/>
      <c r="X800" s="7"/>
      <c r="Y800" s="7"/>
      <c r="Z800" s="5"/>
      <c r="AA800" s="7"/>
      <c r="AB800" s="7"/>
      <c r="AC800" s="7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5"/>
      <c r="W801" s="7"/>
      <c r="X801" s="7"/>
      <c r="Y801" s="7"/>
      <c r="Z801" s="5"/>
      <c r="AA801" s="7"/>
      <c r="AB801" s="7"/>
      <c r="AC801" s="7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5"/>
      <c r="W802" s="7"/>
      <c r="X802" s="7"/>
      <c r="Y802" s="7"/>
      <c r="Z802" s="5"/>
      <c r="AA802" s="7"/>
      <c r="AB802" s="7"/>
      <c r="AC802" s="7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5"/>
      <c r="W803" s="7"/>
      <c r="X803" s="7"/>
      <c r="Y803" s="7"/>
      <c r="Z803" s="5"/>
      <c r="AA803" s="7"/>
      <c r="AB803" s="7"/>
      <c r="AC803" s="7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5"/>
      <c r="W804" s="7"/>
      <c r="X804" s="7"/>
      <c r="Y804" s="7"/>
      <c r="Z804" s="5"/>
      <c r="AA804" s="7"/>
      <c r="AB804" s="7"/>
      <c r="AC804" s="7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5"/>
      <c r="W805" s="7"/>
      <c r="X805" s="7"/>
      <c r="Y805" s="7"/>
      <c r="Z805" s="5"/>
      <c r="AA805" s="7"/>
      <c r="AB805" s="7"/>
      <c r="AC805" s="7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5"/>
      <c r="W806" s="7"/>
      <c r="X806" s="7"/>
      <c r="Y806" s="7"/>
      <c r="Z806" s="5"/>
      <c r="AA806" s="7"/>
      <c r="AB806" s="7"/>
      <c r="AC806" s="7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5"/>
      <c r="W807" s="7"/>
      <c r="X807" s="7"/>
      <c r="Y807" s="7"/>
      <c r="Z807" s="5"/>
      <c r="AA807" s="7"/>
      <c r="AB807" s="7"/>
      <c r="AC807" s="7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5"/>
      <c r="W808" s="7"/>
      <c r="X808" s="7"/>
      <c r="Y808" s="7"/>
      <c r="Z808" s="5"/>
      <c r="AA808" s="7"/>
      <c r="AB808" s="7"/>
      <c r="AC808" s="7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5"/>
      <c r="W809" s="7"/>
      <c r="X809" s="7"/>
      <c r="Y809" s="7"/>
      <c r="Z809" s="5"/>
      <c r="AA809" s="7"/>
      <c r="AB809" s="7"/>
      <c r="AC809" s="7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5"/>
      <c r="W810" s="7"/>
      <c r="X810" s="7"/>
      <c r="Y810" s="7"/>
      <c r="Z810" s="5"/>
      <c r="AA810" s="7"/>
      <c r="AB810" s="7"/>
      <c r="AC810" s="7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5"/>
      <c r="W811" s="7"/>
      <c r="X811" s="7"/>
      <c r="Y811" s="7"/>
      <c r="Z811" s="5"/>
      <c r="AA811" s="7"/>
      <c r="AB811" s="7"/>
      <c r="AC811" s="7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5"/>
      <c r="W812" s="7"/>
      <c r="X812" s="7"/>
      <c r="Y812" s="7"/>
      <c r="Z812" s="5"/>
      <c r="AA812" s="7"/>
      <c r="AB812" s="7"/>
      <c r="AC812" s="7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5"/>
      <c r="W813" s="7"/>
      <c r="X813" s="7"/>
      <c r="Y813" s="7"/>
      <c r="Z813" s="5"/>
      <c r="AA813" s="7"/>
      <c r="AB813" s="7"/>
      <c r="AC813" s="7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5"/>
      <c r="W814" s="7"/>
      <c r="X814" s="7"/>
      <c r="Y814" s="7"/>
      <c r="Z814" s="5"/>
      <c r="AA814" s="7"/>
      <c r="AB814" s="7"/>
      <c r="AC814" s="7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5"/>
      <c r="W815" s="7"/>
      <c r="X815" s="7"/>
      <c r="Y815" s="7"/>
      <c r="Z815" s="5"/>
      <c r="AA815" s="7"/>
      <c r="AB815" s="7"/>
      <c r="AC815" s="7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5"/>
      <c r="W816" s="7"/>
      <c r="X816" s="7"/>
      <c r="Y816" s="7"/>
      <c r="Z816" s="5"/>
      <c r="AA816" s="7"/>
      <c r="AB816" s="7"/>
      <c r="AC816" s="7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5"/>
      <c r="W817" s="7"/>
      <c r="X817" s="7"/>
      <c r="Y817" s="7"/>
      <c r="Z817" s="5"/>
      <c r="AA817" s="7"/>
      <c r="AB817" s="7"/>
      <c r="AC817" s="7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5"/>
      <c r="W818" s="7"/>
      <c r="X818" s="7"/>
      <c r="Y818" s="7"/>
      <c r="Z818" s="5"/>
      <c r="AA818" s="7"/>
      <c r="AB818" s="7"/>
      <c r="AC818" s="7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5"/>
      <c r="W819" s="7"/>
      <c r="X819" s="7"/>
      <c r="Y819" s="7"/>
      <c r="Z819" s="5"/>
      <c r="AA819" s="7"/>
      <c r="AB819" s="7"/>
      <c r="AC819" s="7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5"/>
      <c r="W820" s="7"/>
      <c r="X820" s="7"/>
      <c r="Y820" s="7"/>
      <c r="Z820" s="5"/>
      <c r="AA820" s="7"/>
      <c r="AB820" s="7"/>
      <c r="AC820" s="7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5"/>
      <c r="W821" s="7"/>
      <c r="X821" s="7"/>
      <c r="Y821" s="7"/>
      <c r="Z821" s="5"/>
      <c r="AA821" s="7"/>
      <c r="AB821" s="7"/>
      <c r="AC821" s="7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5"/>
      <c r="W822" s="7"/>
      <c r="X822" s="7"/>
      <c r="Y822" s="7"/>
      <c r="Z822" s="5"/>
      <c r="AA822" s="7"/>
      <c r="AB822" s="7"/>
      <c r="AC822" s="7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5"/>
      <c r="W823" s="7"/>
      <c r="X823" s="7"/>
      <c r="Y823" s="7"/>
      <c r="Z823" s="5"/>
      <c r="AA823" s="7"/>
      <c r="AB823" s="7"/>
      <c r="AC823" s="7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5"/>
      <c r="W824" s="7"/>
      <c r="X824" s="7"/>
      <c r="Y824" s="7"/>
      <c r="Z824" s="5"/>
      <c r="AA824" s="7"/>
      <c r="AB824" s="7"/>
      <c r="AC824" s="7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5"/>
      <c r="W825" s="7"/>
      <c r="X825" s="7"/>
      <c r="Y825" s="7"/>
      <c r="Z825" s="5"/>
      <c r="AA825" s="7"/>
      <c r="AB825" s="7"/>
      <c r="AC825" s="7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5"/>
      <c r="W826" s="7"/>
      <c r="X826" s="7"/>
      <c r="Y826" s="7"/>
      <c r="Z826" s="5"/>
      <c r="AA826" s="7"/>
      <c r="AB826" s="7"/>
      <c r="AC826" s="7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5"/>
      <c r="W827" s="7"/>
      <c r="X827" s="7"/>
      <c r="Y827" s="7"/>
      <c r="Z827" s="5"/>
      <c r="AA827" s="7"/>
      <c r="AB827" s="7"/>
      <c r="AC827" s="7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5"/>
      <c r="W828" s="7"/>
      <c r="X828" s="7"/>
      <c r="Y828" s="7"/>
      <c r="Z828" s="5"/>
      <c r="AA828" s="7"/>
      <c r="AB828" s="7"/>
      <c r="AC828" s="7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5"/>
      <c r="W829" s="7"/>
      <c r="X829" s="7"/>
      <c r="Y829" s="7"/>
      <c r="Z829" s="5"/>
      <c r="AA829" s="7"/>
      <c r="AB829" s="7"/>
      <c r="AC829" s="7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5"/>
      <c r="W830" s="7"/>
      <c r="X830" s="7"/>
      <c r="Y830" s="7"/>
      <c r="Z830" s="5"/>
      <c r="AA830" s="7"/>
      <c r="AB830" s="7"/>
      <c r="AC830" s="7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5"/>
      <c r="W831" s="7"/>
      <c r="X831" s="7"/>
      <c r="Y831" s="7"/>
      <c r="Z831" s="5"/>
      <c r="AA831" s="7"/>
      <c r="AB831" s="7"/>
      <c r="AC831" s="7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5"/>
      <c r="W832" s="7"/>
      <c r="X832" s="7"/>
      <c r="Y832" s="7"/>
      <c r="Z832" s="5"/>
      <c r="AA832" s="7"/>
      <c r="AB832" s="7"/>
      <c r="AC832" s="7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5"/>
      <c r="W833" s="7"/>
      <c r="X833" s="7"/>
      <c r="Y833" s="7"/>
      <c r="Z833" s="5"/>
      <c r="AA833" s="7"/>
      <c r="AB833" s="7"/>
      <c r="AC833" s="7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5"/>
      <c r="W834" s="7"/>
      <c r="X834" s="7"/>
      <c r="Y834" s="7"/>
      <c r="Z834" s="5"/>
      <c r="AA834" s="7"/>
      <c r="AB834" s="7"/>
      <c r="AC834" s="7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5"/>
      <c r="W835" s="7"/>
      <c r="X835" s="7"/>
      <c r="Y835" s="7"/>
      <c r="Z835" s="5"/>
      <c r="AA835" s="7"/>
      <c r="AB835" s="7"/>
      <c r="AC835" s="7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5"/>
      <c r="W836" s="7"/>
      <c r="X836" s="7"/>
      <c r="Y836" s="7"/>
      <c r="Z836" s="5"/>
      <c r="AA836" s="7"/>
      <c r="AB836" s="7"/>
      <c r="AC836" s="7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5"/>
      <c r="W837" s="7"/>
      <c r="X837" s="7"/>
      <c r="Y837" s="7"/>
      <c r="Z837" s="5"/>
      <c r="AA837" s="7"/>
      <c r="AB837" s="7"/>
      <c r="AC837" s="7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5"/>
      <c r="W838" s="7"/>
      <c r="X838" s="7"/>
      <c r="Y838" s="7"/>
      <c r="Z838" s="5"/>
      <c r="AA838" s="7"/>
      <c r="AB838" s="7"/>
      <c r="AC838" s="7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5"/>
      <c r="W839" s="7"/>
      <c r="X839" s="7"/>
      <c r="Y839" s="7"/>
      <c r="Z839" s="5"/>
      <c r="AA839" s="7"/>
      <c r="AB839" s="7"/>
      <c r="AC839" s="7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5"/>
      <c r="W840" s="7"/>
      <c r="X840" s="7"/>
      <c r="Y840" s="7"/>
      <c r="Z840" s="5"/>
      <c r="AA840" s="7"/>
      <c r="AB840" s="7"/>
      <c r="AC840" s="7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5"/>
      <c r="W841" s="7"/>
      <c r="X841" s="7"/>
      <c r="Y841" s="7"/>
      <c r="Z841" s="5"/>
      <c r="AA841" s="7"/>
      <c r="AB841" s="7"/>
      <c r="AC841" s="7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5"/>
      <c r="W842" s="7"/>
      <c r="X842" s="7"/>
      <c r="Y842" s="7"/>
      <c r="Z842" s="5"/>
      <c r="AA842" s="7"/>
      <c r="AB842" s="7"/>
      <c r="AC842" s="7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5"/>
      <c r="W843" s="7"/>
      <c r="X843" s="7"/>
      <c r="Y843" s="7"/>
      <c r="Z843" s="5"/>
      <c r="AA843" s="7"/>
      <c r="AB843" s="7"/>
      <c r="AC843" s="7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5"/>
      <c r="W844" s="7"/>
      <c r="X844" s="7"/>
      <c r="Y844" s="7"/>
      <c r="Z844" s="5"/>
      <c r="AA844" s="7"/>
      <c r="AB844" s="7"/>
      <c r="AC844" s="7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5"/>
      <c r="W845" s="7"/>
      <c r="X845" s="7"/>
      <c r="Y845" s="7"/>
      <c r="Z845" s="5"/>
      <c r="AA845" s="7"/>
      <c r="AB845" s="7"/>
      <c r="AC845" s="7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5"/>
      <c r="W846" s="7"/>
      <c r="X846" s="7"/>
      <c r="Y846" s="7"/>
      <c r="Z846" s="5"/>
      <c r="AA846" s="7"/>
      <c r="AB846" s="7"/>
      <c r="AC846" s="7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5"/>
      <c r="W847" s="7"/>
      <c r="X847" s="7"/>
      <c r="Y847" s="7"/>
      <c r="Z847" s="5"/>
      <c r="AA847" s="7"/>
      <c r="AB847" s="7"/>
      <c r="AC847" s="7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5"/>
      <c r="W848" s="7"/>
      <c r="X848" s="7"/>
      <c r="Y848" s="7"/>
      <c r="Z848" s="5"/>
      <c r="AA848" s="7"/>
      <c r="AB848" s="7"/>
      <c r="AC848" s="7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5"/>
      <c r="W849" s="7"/>
      <c r="X849" s="7"/>
      <c r="Y849" s="7"/>
      <c r="Z849" s="5"/>
      <c r="AA849" s="7"/>
      <c r="AB849" s="7"/>
      <c r="AC849" s="7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5"/>
      <c r="W850" s="7"/>
      <c r="X850" s="7"/>
      <c r="Y850" s="7"/>
      <c r="Z850" s="5"/>
      <c r="AA850" s="7"/>
      <c r="AB850" s="7"/>
      <c r="AC850" s="7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5"/>
      <c r="W851" s="7"/>
      <c r="X851" s="7"/>
      <c r="Y851" s="7"/>
      <c r="Z851" s="5"/>
      <c r="AA851" s="7"/>
      <c r="AB851" s="7"/>
      <c r="AC851" s="7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5"/>
      <c r="W852" s="7"/>
      <c r="X852" s="7"/>
      <c r="Y852" s="7"/>
      <c r="Z852" s="5"/>
      <c r="AA852" s="7"/>
      <c r="AB852" s="7"/>
      <c r="AC852" s="7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5"/>
      <c r="W853" s="7"/>
      <c r="X853" s="7"/>
      <c r="Y853" s="7"/>
      <c r="Z853" s="5"/>
      <c r="AA853" s="7"/>
      <c r="AB853" s="7"/>
      <c r="AC853" s="7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5"/>
      <c r="W854" s="7"/>
      <c r="X854" s="7"/>
      <c r="Y854" s="7"/>
      <c r="Z854" s="5"/>
      <c r="AA854" s="7"/>
      <c r="AB854" s="7"/>
      <c r="AC854" s="7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5"/>
      <c r="W855" s="7"/>
      <c r="X855" s="7"/>
      <c r="Y855" s="7"/>
      <c r="Z855" s="5"/>
      <c r="AA855" s="7"/>
      <c r="AB855" s="7"/>
      <c r="AC855" s="7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5"/>
      <c r="W856" s="7"/>
      <c r="X856" s="7"/>
      <c r="Y856" s="7"/>
      <c r="Z856" s="5"/>
      <c r="AA856" s="7"/>
      <c r="AB856" s="7"/>
      <c r="AC856" s="7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5"/>
      <c r="W857" s="7"/>
      <c r="X857" s="7"/>
      <c r="Y857" s="7"/>
      <c r="Z857" s="5"/>
      <c r="AA857" s="7"/>
      <c r="AB857" s="7"/>
      <c r="AC857" s="7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5"/>
      <c r="W858" s="7"/>
      <c r="X858" s="7"/>
      <c r="Y858" s="7"/>
      <c r="Z858" s="5"/>
      <c r="AA858" s="7"/>
      <c r="AB858" s="7"/>
      <c r="AC858" s="7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5"/>
      <c r="W859" s="7"/>
      <c r="X859" s="7"/>
      <c r="Y859" s="7"/>
      <c r="Z859" s="5"/>
      <c r="AA859" s="7"/>
      <c r="AB859" s="7"/>
      <c r="AC859" s="7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5"/>
      <c r="W860" s="7"/>
      <c r="X860" s="7"/>
      <c r="Y860" s="7"/>
      <c r="Z860" s="5"/>
      <c r="AA860" s="7"/>
      <c r="AB860" s="7"/>
      <c r="AC860" s="7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5"/>
      <c r="W861" s="7"/>
      <c r="X861" s="7"/>
      <c r="Y861" s="7"/>
      <c r="Z861" s="5"/>
      <c r="AA861" s="7"/>
      <c r="AB861" s="7"/>
      <c r="AC861" s="7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5"/>
      <c r="W862" s="7"/>
      <c r="X862" s="7"/>
      <c r="Y862" s="7"/>
      <c r="Z862" s="5"/>
      <c r="AA862" s="7"/>
      <c r="AB862" s="7"/>
      <c r="AC862" s="7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5"/>
      <c r="W863" s="7"/>
      <c r="X863" s="7"/>
      <c r="Y863" s="7"/>
      <c r="Z863" s="5"/>
      <c r="AA863" s="7"/>
      <c r="AB863" s="7"/>
      <c r="AC863" s="7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5"/>
      <c r="W864" s="7"/>
      <c r="X864" s="7"/>
      <c r="Y864" s="7"/>
      <c r="Z864" s="5"/>
      <c r="AA864" s="7"/>
      <c r="AB864" s="7"/>
      <c r="AC864" s="7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5"/>
      <c r="W865" s="7"/>
      <c r="X865" s="7"/>
      <c r="Y865" s="7"/>
      <c r="Z865" s="5"/>
      <c r="AA865" s="7"/>
      <c r="AB865" s="7"/>
      <c r="AC865" s="7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5"/>
      <c r="W866" s="7"/>
      <c r="X866" s="7"/>
      <c r="Y866" s="7"/>
      <c r="Z866" s="5"/>
      <c r="AA866" s="7"/>
      <c r="AB866" s="7"/>
      <c r="AC866" s="7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5"/>
      <c r="W867" s="7"/>
      <c r="X867" s="7"/>
      <c r="Y867" s="7"/>
      <c r="Z867" s="5"/>
      <c r="AA867" s="7"/>
      <c r="AB867" s="7"/>
      <c r="AC867" s="7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5"/>
      <c r="W868" s="7"/>
      <c r="X868" s="7"/>
      <c r="Y868" s="7"/>
      <c r="Z868" s="5"/>
      <c r="AA868" s="7"/>
      <c r="AB868" s="7"/>
      <c r="AC868" s="7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5"/>
      <c r="W869" s="7"/>
      <c r="X869" s="7"/>
      <c r="Y869" s="7"/>
      <c r="Z869" s="5"/>
      <c r="AA869" s="7"/>
      <c r="AB869" s="7"/>
      <c r="AC869" s="7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5"/>
      <c r="W870" s="7"/>
      <c r="X870" s="7"/>
      <c r="Y870" s="7"/>
      <c r="Z870" s="5"/>
      <c r="AA870" s="7"/>
      <c r="AB870" s="7"/>
      <c r="AC870" s="7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5"/>
      <c r="W871" s="7"/>
      <c r="X871" s="7"/>
      <c r="Y871" s="7"/>
      <c r="Z871" s="5"/>
      <c r="AA871" s="7"/>
      <c r="AB871" s="7"/>
      <c r="AC871" s="7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5"/>
      <c r="W872" s="7"/>
      <c r="X872" s="7"/>
      <c r="Y872" s="7"/>
      <c r="Z872" s="5"/>
      <c r="AA872" s="7"/>
      <c r="AB872" s="7"/>
      <c r="AC872" s="7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5"/>
      <c r="W873" s="7"/>
      <c r="X873" s="7"/>
      <c r="Y873" s="7"/>
      <c r="Z873" s="5"/>
      <c r="AA873" s="7"/>
      <c r="AB873" s="7"/>
      <c r="AC873" s="7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5"/>
      <c r="W874" s="7"/>
      <c r="X874" s="7"/>
      <c r="Y874" s="7"/>
      <c r="Z874" s="5"/>
      <c r="AA874" s="7"/>
      <c r="AB874" s="7"/>
      <c r="AC874" s="7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5"/>
      <c r="W875" s="7"/>
      <c r="X875" s="7"/>
      <c r="Y875" s="7"/>
      <c r="Z875" s="5"/>
      <c r="AA875" s="7"/>
      <c r="AB875" s="7"/>
      <c r="AC875" s="7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5"/>
      <c r="W876" s="7"/>
      <c r="X876" s="7"/>
      <c r="Y876" s="7"/>
      <c r="Z876" s="5"/>
      <c r="AA876" s="7"/>
      <c r="AB876" s="7"/>
      <c r="AC876" s="7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5"/>
      <c r="W877" s="7"/>
      <c r="X877" s="7"/>
      <c r="Y877" s="7"/>
      <c r="Z877" s="5"/>
      <c r="AA877" s="7"/>
      <c r="AB877" s="7"/>
      <c r="AC877" s="7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5"/>
      <c r="W878" s="7"/>
      <c r="X878" s="7"/>
      <c r="Y878" s="7"/>
      <c r="Z878" s="5"/>
      <c r="AA878" s="7"/>
      <c r="AB878" s="7"/>
      <c r="AC878" s="7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5"/>
      <c r="W879" s="7"/>
      <c r="X879" s="7"/>
      <c r="Y879" s="7"/>
      <c r="Z879" s="5"/>
      <c r="AA879" s="7"/>
      <c r="AB879" s="7"/>
      <c r="AC879" s="7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5"/>
      <c r="W880" s="7"/>
      <c r="X880" s="7"/>
      <c r="Y880" s="7"/>
      <c r="Z880" s="5"/>
      <c r="AA880" s="7"/>
      <c r="AB880" s="7"/>
      <c r="AC880" s="7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5"/>
      <c r="W881" s="7"/>
      <c r="X881" s="7"/>
      <c r="Y881" s="7"/>
      <c r="Z881" s="5"/>
      <c r="AA881" s="7"/>
      <c r="AB881" s="7"/>
      <c r="AC881" s="7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5"/>
      <c r="W882" s="7"/>
      <c r="X882" s="7"/>
      <c r="Y882" s="7"/>
      <c r="Z882" s="5"/>
      <c r="AA882" s="7"/>
      <c r="AB882" s="7"/>
      <c r="AC882" s="7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5"/>
      <c r="W883" s="7"/>
      <c r="X883" s="7"/>
      <c r="Y883" s="7"/>
      <c r="Z883" s="5"/>
      <c r="AA883" s="7"/>
      <c r="AB883" s="7"/>
      <c r="AC883" s="7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5"/>
      <c r="W884" s="7"/>
      <c r="X884" s="7"/>
      <c r="Y884" s="7"/>
      <c r="Z884" s="5"/>
      <c r="AA884" s="7"/>
      <c r="AB884" s="7"/>
      <c r="AC884" s="7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5"/>
      <c r="W885" s="7"/>
      <c r="X885" s="7"/>
      <c r="Y885" s="7"/>
      <c r="Z885" s="5"/>
      <c r="AA885" s="7"/>
      <c r="AB885" s="7"/>
      <c r="AC885" s="7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5"/>
      <c r="W886" s="7"/>
      <c r="X886" s="7"/>
      <c r="Y886" s="7"/>
      <c r="Z886" s="5"/>
      <c r="AA886" s="7"/>
      <c r="AB886" s="7"/>
      <c r="AC886" s="7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5"/>
      <c r="W887" s="7"/>
      <c r="X887" s="7"/>
      <c r="Y887" s="7"/>
      <c r="Z887" s="5"/>
      <c r="AA887" s="7"/>
      <c r="AB887" s="7"/>
      <c r="AC887" s="7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5"/>
      <c r="W888" s="7"/>
      <c r="X888" s="7"/>
      <c r="Y888" s="7"/>
      <c r="Z888" s="5"/>
      <c r="AA888" s="7"/>
      <c r="AB888" s="7"/>
      <c r="AC888" s="7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5"/>
      <c r="W889" s="7"/>
      <c r="X889" s="7"/>
      <c r="Y889" s="7"/>
      <c r="Z889" s="5"/>
      <c r="AA889" s="7"/>
      <c r="AB889" s="7"/>
      <c r="AC889" s="7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5"/>
      <c r="W890" s="7"/>
      <c r="X890" s="7"/>
      <c r="Y890" s="7"/>
      <c r="Z890" s="5"/>
      <c r="AA890" s="7"/>
      <c r="AB890" s="7"/>
      <c r="AC890" s="7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5"/>
      <c r="W891" s="7"/>
      <c r="X891" s="7"/>
      <c r="Y891" s="7"/>
      <c r="Z891" s="5"/>
      <c r="AA891" s="7"/>
      <c r="AB891" s="7"/>
      <c r="AC891" s="7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5"/>
      <c r="W892" s="7"/>
      <c r="X892" s="7"/>
      <c r="Y892" s="7"/>
      <c r="Z892" s="5"/>
      <c r="AA892" s="7"/>
      <c r="AB892" s="7"/>
      <c r="AC892" s="7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5"/>
      <c r="W893" s="7"/>
      <c r="X893" s="7"/>
      <c r="Y893" s="7"/>
      <c r="Z893" s="5"/>
      <c r="AA893" s="7"/>
      <c r="AB893" s="7"/>
      <c r="AC893" s="7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5"/>
      <c r="W894" s="7"/>
      <c r="X894" s="7"/>
      <c r="Y894" s="7"/>
      <c r="Z894" s="5"/>
      <c r="AA894" s="7"/>
      <c r="AB894" s="7"/>
      <c r="AC894" s="7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5"/>
      <c r="W895" s="7"/>
      <c r="X895" s="7"/>
      <c r="Y895" s="7"/>
      <c r="Z895" s="5"/>
      <c r="AA895" s="7"/>
      <c r="AB895" s="7"/>
      <c r="AC895" s="7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5"/>
      <c r="W896" s="7"/>
      <c r="X896" s="7"/>
      <c r="Y896" s="7"/>
      <c r="Z896" s="5"/>
      <c r="AA896" s="7"/>
      <c r="AB896" s="7"/>
      <c r="AC896" s="7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5"/>
      <c r="W897" s="7"/>
      <c r="X897" s="7"/>
      <c r="Y897" s="7"/>
      <c r="Z897" s="5"/>
      <c r="AA897" s="7"/>
      <c r="AB897" s="7"/>
      <c r="AC897" s="7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5"/>
      <c r="W898" s="7"/>
      <c r="X898" s="7"/>
      <c r="Y898" s="7"/>
      <c r="Z898" s="5"/>
      <c r="AA898" s="7"/>
      <c r="AB898" s="7"/>
      <c r="AC898" s="7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5"/>
      <c r="W899" s="7"/>
      <c r="X899" s="7"/>
      <c r="Y899" s="7"/>
      <c r="Z899" s="5"/>
      <c r="AA899" s="7"/>
      <c r="AB899" s="7"/>
      <c r="AC899" s="7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5"/>
      <c r="W900" s="7"/>
      <c r="X900" s="7"/>
      <c r="Y900" s="7"/>
      <c r="Z900" s="5"/>
      <c r="AA900" s="7"/>
      <c r="AB900" s="7"/>
      <c r="AC900" s="7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5"/>
      <c r="W901" s="7"/>
      <c r="X901" s="7"/>
      <c r="Y901" s="7"/>
      <c r="Z901" s="5"/>
      <c r="AA901" s="7"/>
      <c r="AB901" s="7"/>
      <c r="AC901" s="7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5"/>
      <c r="W902" s="7"/>
      <c r="X902" s="7"/>
      <c r="Y902" s="7"/>
      <c r="Z902" s="5"/>
      <c r="AA902" s="7"/>
      <c r="AB902" s="7"/>
      <c r="AC902" s="7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5"/>
      <c r="W903" s="7"/>
      <c r="X903" s="7"/>
      <c r="Y903" s="7"/>
      <c r="Z903" s="5"/>
      <c r="AA903" s="7"/>
      <c r="AB903" s="7"/>
      <c r="AC903" s="7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5"/>
      <c r="W904" s="7"/>
      <c r="X904" s="7"/>
      <c r="Y904" s="7"/>
      <c r="Z904" s="5"/>
      <c r="AA904" s="7"/>
      <c r="AB904" s="7"/>
      <c r="AC904" s="7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5"/>
      <c r="W905" s="7"/>
      <c r="X905" s="7"/>
      <c r="Y905" s="7"/>
      <c r="Z905" s="5"/>
      <c r="AA905" s="7"/>
      <c r="AB905" s="7"/>
      <c r="AC905" s="7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5"/>
      <c r="W906" s="7"/>
      <c r="X906" s="7"/>
      <c r="Y906" s="7"/>
      <c r="Z906" s="5"/>
      <c r="AA906" s="7"/>
      <c r="AB906" s="7"/>
      <c r="AC906" s="7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5"/>
      <c r="W907" s="7"/>
      <c r="X907" s="7"/>
      <c r="Y907" s="7"/>
      <c r="Z907" s="5"/>
      <c r="AA907" s="7"/>
      <c r="AB907" s="7"/>
      <c r="AC907" s="7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5"/>
      <c r="W908" s="7"/>
      <c r="X908" s="7"/>
      <c r="Y908" s="7"/>
      <c r="Z908" s="5"/>
      <c r="AA908" s="7"/>
      <c r="AB908" s="7"/>
      <c r="AC908" s="7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5"/>
      <c r="W909" s="7"/>
      <c r="X909" s="7"/>
      <c r="Y909" s="7"/>
      <c r="Z909" s="5"/>
      <c r="AA909" s="7"/>
      <c r="AB909" s="7"/>
      <c r="AC909" s="7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5"/>
      <c r="W910" s="7"/>
      <c r="X910" s="7"/>
      <c r="Y910" s="7"/>
      <c r="Z910" s="5"/>
      <c r="AA910" s="7"/>
      <c r="AB910" s="7"/>
      <c r="AC910" s="7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5"/>
      <c r="W911" s="7"/>
      <c r="X911" s="7"/>
      <c r="Y911" s="7"/>
      <c r="Z911" s="5"/>
      <c r="AA911" s="7"/>
      <c r="AB911" s="7"/>
      <c r="AC911" s="7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5"/>
      <c r="W912" s="7"/>
      <c r="X912" s="7"/>
      <c r="Y912" s="7"/>
      <c r="Z912" s="5"/>
      <c r="AA912" s="7"/>
      <c r="AB912" s="7"/>
      <c r="AC912" s="7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5"/>
      <c r="W913" s="7"/>
      <c r="X913" s="7"/>
      <c r="Y913" s="7"/>
      <c r="Z913" s="5"/>
      <c r="AA913" s="7"/>
      <c r="AB913" s="7"/>
      <c r="AC913" s="7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5"/>
      <c r="W914" s="7"/>
      <c r="X914" s="7"/>
      <c r="Y914" s="7"/>
      <c r="Z914" s="5"/>
      <c r="AA914" s="7"/>
      <c r="AB914" s="7"/>
      <c r="AC914" s="7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5"/>
      <c r="W915" s="7"/>
      <c r="X915" s="7"/>
      <c r="Y915" s="7"/>
      <c r="Z915" s="5"/>
      <c r="AA915" s="7"/>
      <c r="AB915" s="7"/>
      <c r="AC915" s="7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5"/>
      <c r="W916" s="7"/>
      <c r="X916" s="7"/>
      <c r="Y916" s="7"/>
      <c r="Z916" s="5"/>
      <c r="AA916" s="7"/>
      <c r="AB916" s="7"/>
      <c r="AC916" s="7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5"/>
      <c r="W917" s="7"/>
      <c r="X917" s="7"/>
      <c r="Y917" s="7"/>
      <c r="Z917" s="5"/>
      <c r="AA917" s="7"/>
      <c r="AB917" s="7"/>
      <c r="AC917" s="7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5"/>
      <c r="W918" s="7"/>
      <c r="X918" s="7"/>
      <c r="Y918" s="7"/>
      <c r="Z918" s="5"/>
      <c r="AA918" s="7"/>
      <c r="AB918" s="7"/>
      <c r="AC918" s="7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5"/>
      <c r="W919" s="7"/>
      <c r="X919" s="7"/>
      <c r="Y919" s="7"/>
      <c r="Z919" s="5"/>
      <c r="AA919" s="7"/>
      <c r="AB919" s="7"/>
      <c r="AC919" s="7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5"/>
      <c r="W920" s="7"/>
      <c r="X920" s="7"/>
      <c r="Y920" s="7"/>
      <c r="Z920" s="5"/>
      <c r="AA920" s="7"/>
      <c r="AB920" s="7"/>
      <c r="AC920" s="7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5"/>
      <c r="W921" s="7"/>
      <c r="X921" s="7"/>
      <c r="Y921" s="7"/>
      <c r="Z921" s="5"/>
      <c r="AA921" s="7"/>
      <c r="AB921" s="7"/>
      <c r="AC921" s="7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5"/>
      <c r="W922" s="7"/>
      <c r="X922" s="7"/>
      <c r="Y922" s="7"/>
      <c r="Z922" s="5"/>
      <c r="AA922" s="7"/>
      <c r="AB922" s="7"/>
      <c r="AC922" s="7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5"/>
      <c r="W923" s="7"/>
      <c r="X923" s="7"/>
      <c r="Y923" s="7"/>
      <c r="Z923" s="5"/>
      <c r="AA923" s="7"/>
      <c r="AB923" s="7"/>
      <c r="AC923" s="7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5"/>
      <c r="W924" s="7"/>
      <c r="X924" s="7"/>
      <c r="Y924" s="7"/>
      <c r="Z924" s="5"/>
      <c r="AA924" s="7"/>
      <c r="AB924" s="7"/>
      <c r="AC924" s="7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5"/>
      <c r="W925" s="7"/>
      <c r="X925" s="7"/>
      <c r="Y925" s="7"/>
      <c r="Z925" s="5"/>
      <c r="AA925" s="7"/>
      <c r="AB925" s="7"/>
      <c r="AC925" s="7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5"/>
      <c r="W926" s="7"/>
      <c r="X926" s="7"/>
      <c r="Y926" s="7"/>
      <c r="Z926" s="5"/>
      <c r="AA926" s="7"/>
      <c r="AB926" s="7"/>
      <c r="AC926" s="7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5"/>
      <c r="W927" s="7"/>
      <c r="X927" s="7"/>
      <c r="Y927" s="7"/>
      <c r="Z927" s="5"/>
      <c r="AA927" s="7"/>
      <c r="AB927" s="7"/>
      <c r="AC927" s="7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5"/>
      <c r="W928" s="7"/>
      <c r="X928" s="7"/>
      <c r="Y928" s="7"/>
      <c r="Z928" s="5"/>
      <c r="AA928" s="7"/>
      <c r="AB928" s="7"/>
      <c r="AC928" s="7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5"/>
      <c r="W929" s="7"/>
      <c r="X929" s="7"/>
      <c r="Y929" s="7"/>
      <c r="Z929" s="5"/>
      <c r="AA929" s="7"/>
      <c r="AB929" s="7"/>
      <c r="AC929" s="7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5"/>
      <c r="W930" s="7"/>
      <c r="X930" s="7"/>
      <c r="Y930" s="7"/>
      <c r="Z930" s="5"/>
      <c r="AA930" s="7"/>
      <c r="AB930" s="7"/>
      <c r="AC930" s="7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5"/>
      <c r="W931" s="7"/>
      <c r="X931" s="7"/>
      <c r="Y931" s="7"/>
      <c r="Z931" s="5"/>
      <c r="AA931" s="7"/>
      <c r="AB931" s="7"/>
      <c r="AC931" s="7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5"/>
      <c r="W932" s="7"/>
      <c r="X932" s="7"/>
      <c r="Y932" s="7"/>
      <c r="Z932" s="5"/>
      <c r="AA932" s="7"/>
      <c r="AB932" s="7"/>
      <c r="AC932" s="7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5"/>
      <c r="W933" s="7"/>
      <c r="X933" s="7"/>
      <c r="Y933" s="7"/>
      <c r="Z933" s="5"/>
      <c r="AA933" s="7"/>
      <c r="AB933" s="7"/>
      <c r="AC933" s="7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5"/>
      <c r="W934" s="7"/>
      <c r="X934" s="7"/>
      <c r="Y934" s="7"/>
      <c r="Z934" s="5"/>
      <c r="AA934" s="7"/>
      <c r="AB934" s="7"/>
      <c r="AC934" s="7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5"/>
      <c r="W935" s="7"/>
      <c r="X935" s="7"/>
      <c r="Y935" s="7"/>
      <c r="Z935" s="5"/>
      <c r="AA935" s="7"/>
      <c r="AB935" s="7"/>
      <c r="AC935" s="7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5"/>
      <c r="W936" s="7"/>
      <c r="X936" s="7"/>
      <c r="Y936" s="7"/>
      <c r="Z936" s="5"/>
      <c r="AA936" s="7"/>
      <c r="AB936" s="7"/>
      <c r="AC936" s="7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5"/>
      <c r="W937" s="7"/>
      <c r="X937" s="7"/>
      <c r="Y937" s="7"/>
      <c r="Z937" s="5"/>
      <c r="AA937" s="7"/>
      <c r="AB937" s="7"/>
      <c r="AC937" s="7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5"/>
      <c r="W938" s="7"/>
      <c r="X938" s="7"/>
      <c r="Y938" s="7"/>
      <c r="Z938" s="5"/>
      <c r="AA938" s="7"/>
      <c r="AB938" s="7"/>
      <c r="AC938" s="7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5"/>
      <c r="W939" s="7"/>
      <c r="X939" s="7"/>
      <c r="Y939" s="7"/>
      <c r="Z939" s="5"/>
      <c r="AA939" s="7"/>
      <c r="AB939" s="7"/>
      <c r="AC939" s="7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5"/>
      <c r="W940" s="7"/>
      <c r="X940" s="7"/>
      <c r="Y940" s="7"/>
      <c r="Z940" s="5"/>
      <c r="AA940" s="7"/>
      <c r="AB940" s="7"/>
      <c r="AC940" s="7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5"/>
      <c r="W941" s="7"/>
      <c r="X941" s="7"/>
      <c r="Y941" s="7"/>
      <c r="Z941" s="5"/>
      <c r="AA941" s="7"/>
      <c r="AB941" s="7"/>
      <c r="AC941" s="7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5"/>
      <c r="W942" s="7"/>
      <c r="X942" s="7"/>
      <c r="Y942" s="7"/>
      <c r="Z942" s="5"/>
      <c r="AA942" s="7"/>
      <c r="AB942" s="7"/>
      <c r="AC942" s="7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5"/>
      <c r="W943" s="7"/>
      <c r="X943" s="7"/>
      <c r="Y943" s="7"/>
      <c r="Z943" s="5"/>
      <c r="AA943" s="7"/>
      <c r="AB943" s="7"/>
      <c r="AC943" s="7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5"/>
      <c r="W944" s="7"/>
      <c r="X944" s="7"/>
      <c r="Y944" s="7"/>
      <c r="Z944" s="5"/>
      <c r="AA944" s="7"/>
      <c r="AB944" s="7"/>
      <c r="AC944" s="7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5"/>
      <c r="W945" s="7"/>
      <c r="X945" s="7"/>
      <c r="Y945" s="7"/>
      <c r="Z945" s="5"/>
      <c r="AA945" s="7"/>
      <c r="AB945" s="7"/>
      <c r="AC945" s="7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5"/>
      <c r="W946" s="7"/>
      <c r="X946" s="7"/>
      <c r="Y946" s="7"/>
      <c r="Z946" s="5"/>
      <c r="AA946" s="7"/>
      <c r="AB946" s="7"/>
      <c r="AC946" s="7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5"/>
      <c r="W947" s="7"/>
      <c r="X947" s="7"/>
      <c r="Y947" s="7"/>
      <c r="Z947" s="5"/>
      <c r="AA947" s="7"/>
      <c r="AB947" s="7"/>
      <c r="AC947" s="7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5"/>
      <c r="W948" s="7"/>
      <c r="X948" s="7"/>
      <c r="Y948" s="7"/>
      <c r="Z948" s="5"/>
      <c r="AA948" s="7"/>
      <c r="AB948" s="7"/>
      <c r="AC948" s="7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5"/>
      <c r="W949" s="7"/>
      <c r="X949" s="7"/>
      <c r="Y949" s="7"/>
      <c r="Z949" s="5"/>
      <c r="AA949" s="7"/>
      <c r="AB949" s="7"/>
      <c r="AC949" s="7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5"/>
      <c r="W950" s="7"/>
      <c r="X950" s="7"/>
      <c r="Y950" s="7"/>
      <c r="Z950" s="5"/>
      <c r="AA950" s="7"/>
      <c r="AB950" s="7"/>
      <c r="AC950" s="7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5"/>
      <c r="W951" s="7"/>
      <c r="X951" s="7"/>
      <c r="Y951" s="7"/>
      <c r="Z951" s="5"/>
      <c r="AA951" s="7"/>
      <c r="AB951" s="7"/>
      <c r="AC951" s="7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5"/>
      <c r="W952" s="7"/>
      <c r="X952" s="7"/>
      <c r="Y952" s="7"/>
      <c r="Z952" s="5"/>
      <c r="AA952" s="7"/>
      <c r="AB952" s="7"/>
      <c r="AC952" s="7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5"/>
      <c r="W953" s="7"/>
      <c r="X953" s="7"/>
      <c r="Y953" s="7"/>
      <c r="Z953" s="5"/>
      <c r="AA953" s="7"/>
      <c r="AB953" s="7"/>
      <c r="AC953" s="7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5"/>
      <c r="W954" s="7"/>
      <c r="X954" s="7"/>
      <c r="Y954" s="7"/>
      <c r="Z954" s="5"/>
      <c r="AA954" s="7"/>
      <c r="AB954" s="7"/>
      <c r="AC954" s="7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5"/>
      <c r="W955" s="7"/>
      <c r="X955" s="7"/>
      <c r="Y955" s="7"/>
      <c r="Z955" s="5"/>
      <c r="AA955" s="7"/>
      <c r="AB955" s="7"/>
      <c r="AC955" s="7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5"/>
      <c r="W956" s="7"/>
      <c r="X956" s="7"/>
      <c r="Y956" s="7"/>
      <c r="Z956" s="5"/>
      <c r="AA956" s="7"/>
      <c r="AB956" s="7"/>
      <c r="AC956" s="7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5"/>
      <c r="W957" s="7"/>
      <c r="X957" s="7"/>
      <c r="Y957" s="7"/>
      <c r="Z957" s="5"/>
      <c r="AA957" s="7"/>
      <c r="AB957" s="7"/>
      <c r="AC957" s="7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5"/>
      <c r="W958" s="7"/>
      <c r="X958" s="7"/>
      <c r="Y958" s="7"/>
      <c r="Z958" s="5"/>
      <c r="AA958" s="7"/>
      <c r="AB958" s="7"/>
      <c r="AC958" s="7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5"/>
      <c r="W959" s="7"/>
      <c r="X959" s="7"/>
      <c r="Y959" s="7"/>
      <c r="Z959" s="5"/>
      <c r="AA959" s="7"/>
      <c r="AB959" s="7"/>
      <c r="AC959" s="7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5"/>
      <c r="W960" s="7"/>
      <c r="X960" s="7"/>
      <c r="Y960" s="7"/>
      <c r="Z960" s="5"/>
      <c r="AA960" s="7"/>
      <c r="AB960" s="7"/>
      <c r="AC960" s="7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5"/>
      <c r="W961" s="7"/>
      <c r="X961" s="7"/>
      <c r="Y961" s="7"/>
      <c r="Z961" s="5"/>
      <c r="AA961" s="7"/>
      <c r="AB961" s="7"/>
      <c r="AC961" s="7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5"/>
      <c r="W962" s="7"/>
      <c r="X962" s="7"/>
      <c r="Y962" s="7"/>
      <c r="Z962" s="5"/>
      <c r="AA962" s="7"/>
      <c r="AB962" s="7"/>
      <c r="AC962" s="7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5"/>
      <c r="W963" s="7"/>
      <c r="X963" s="7"/>
      <c r="Y963" s="7"/>
      <c r="Z963" s="5"/>
      <c r="AA963" s="7"/>
      <c r="AB963" s="7"/>
      <c r="AC963" s="7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5"/>
      <c r="W964" s="7"/>
      <c r="X964" s="7"/>
      <c r="Y964" s="7"/>
      <c r="Z964" s="5"/>
      <c r="AA964" s="7"/>
      <c r="AB964" s="7"/>
      <c r="AC964" s="7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5"/>
      <c r="W965" s="7"/>
      <c r="X965" s="7"/>
      <c r="Y965" s="7"/>
      <c r="Z965" s="5"/>
      <c r="AA965" s="7"/>
      <c r="AB965" s="7"/>
      <c r="AC965" s="7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5"/>
      <c r="W966" s="7"/>
      <c r="X966" s="7"/>
      <c r="Y966" s="7"/>
      <c r="Z966" s="5"/>
      <c r="AA966" s="7"/>
      <c r="AB966" s="7"/>
      <c r="AC966" s="7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5"/>
      <c r="W967" s="7"/>
      <c r="X967" s="7"/>
      <c r="Y967" s="7"/>
      <c r="Z967" s="5"/>
      <c r="AA967" s="7"/>
      <c r="AB967" s="7"/>
      <c r="AC967" s="7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5"/>
      <c r="W968" s="7"/>
      <c r="X968" s="7"/>
      <c r="Y968" s="7"/>
      <c r="Z968" s="5"/>
      <c r="AA968" s="7"/>
      <c r="AB968" s="7"/>
      <c r="AC968" s="7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5"/>
      <c r="W969" s="7"/>
      <c r="X969" s="7"/>
      <c r="Y969" s="7"/>
      <c r="Z969" s="5"/>
      <c r="AA969" s="7"/>
      <c r="AB969" s="7"/>
      <c r="AC969" s="7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5"/>
      <c r="W970" s="7"/>
      <c r="X970" s="7"/>
      <c r="Y970" s="7"/>
      <c r="Z970" s="5"/>
      <c r="AA970" s="7"/>
      <c r="AB970" s="7"/>
      <c r="AC970" s="7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5"/>
      <c r="W971" s="7"/>
      <c r="X971" s="7"/>
      <c r="Y971" s="7"/>
      <c r="Z971" s="5"/>
      <c r="AA971" s="7"/>
      <c r="AB971" s="7"/>
      <c r="AC971" s="7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5"/>
      <c r="W972" s="7"/>
      <c r="X972" s="7"/>
      <c r="Y972" s="7"/>
      <c r="Z972" s="5"/>
      <c r="AA972" s="7"/>
      <c r="AB972" s="7"/>
      <c r="AC972" s="7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5"/>
      <c r="W973" s="7"/>
      <c r="X973" s="7"/>
      <c r="Y973" s="7"/>
      <c r="Z973" s="5"/>
      <c r="AA973" s="7"/>
      <c r="AB973" s="7"/>
      <c r="AC973" s="7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5"/>
      <c r="W974" s="7"/>
      <c r="X974" s="7"/>
      <c r="Y974" s="7"/>
      <c r="Z974" s="5"/>
      <c r="AA974" s="7"/>
      <c r="AB974" s="7"/>
      <c r="AC974" s="7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5"/>
      <c r="W975" s="7"/>
      <c r="X975" s="7"/>
      <c r="Y975" s="7"/>
      <c r="Z975" s="5"/>
      <c r="AA975" s="7"/>
      <c r="AB975" s="7"/>
      <c r="AC975" s="7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5"/>
      <c r="W976" s="7"/>
      <c r="X976" s="7"/>
      <c r="Y976" s="7"/>
      <c r="Z976" s="5"/>
      <c r="AA976" s="7"/>
      <c r="AB976" s="7"/>
      <c r="AC976" s="7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5"/>
      <c r="W977" s="7"/>
      <c r="X977" s="7"/>
      <c r="Y977" s="7"/>
      <c r="Z977" s="5"/>
      <c r="AA977" s="7"/>
      <c r="AB977" s="7"/>
      <c r="AC977" s="7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5"/>
      <c r="W978" s="7"/>
      <c r="X978" s="7"/>
      <c r="Y978" s="7"/>
      <c r="Z978" s="5"/>
      <c r="AA978" s="7"/>
      <c r="AB978" s="7"/>
      <c r="AC978" s="7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5"/>
      <c r="W979" s="7"/>
      <c r="X979" s="7"/>
      <c r="Y979" s="7"/>
      <c r="Z979" s="5"/>
      <c r="AA979" s="7"/>
      <c r="AB979" s="7"/>
      <c r="AC979" s="7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5"/>
      <c r="W980" s="7"/>
      <c r="X980" s="7"/>
      <c r="Y980" s="7"/>
      <c r="Z980" s="5"/>
      <c r="AA980" s="7"/>
      <c r="AB980" s="7"/>
      <c r="AC980" s="7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5"/>
      <c r="W981" s="7"/>
      <c r="X981" s="7"/>
      <c r="Y981" s="7"/>
      <c r="Z981" s="5"/>
      <c r="AA981" s="7"/>
      <c r="AB981" s="7"/>
      <c r="AC981" s="7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5"/>
      <c r="W982" s="7"/>
      <c r="X982" s="7"/>
      <c r="Y982" s="7"/>
      <c r="Z982" s="5"/>
      <c r="AA982" s="7"/>
      <c r="AB982" s="7"/>
      <c r="AC982" s="7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5"/>
      <c r="W983" s="7"/>
      <c r="X983" s="7"/>
      <c r="Y983" s="7"/>
      <c r="Z983" s="5"/>
      <c r="AA983" s="7"/>
      <c r="AB983" s="7"/>
      <c r="AC983" s="7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5"/>
      <c r="W984" s="7"/>
      <c r="X984" s="7"/>
      <c r="Y984" s="7"/>
      <c r="Z984" s="5"/>
      <c r="AA984" s="7"/>
      <c r="AB984" s="7"/>
      <c r="AC984" s="7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5"/>
      <c r="W985" s="7"/>
      <c r="X985" s="7"/>
      <c r="Y985" s="7"/>
      <c r="Z985" s="5"/>
      <c r="AA985" s="7"/>
      <c r="AB985" s="7"/>
      <c r="AC985" s="7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5"/>
      <c r="W986" s="7"/>
      <c r="X986" s="7"/>
      <c r="Y986" s="7"/>
      <c r="Z986" s="5"/>
      <c r="AA986" s="7"/>
      <c r="AB986" s="7"/>
      <c r="AC986" s="7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5"/>
      <c r="W987" s="7"/>
      <c r="X987" s="7"/>
      <c r="Y987" s="7"/>
      <c r="Z987" s="5"/>
      <c r="AA987" s="7"/>
      <c r="AB987" s="7"/>
      <c r="AC987" s="7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5"/>
      <c r="W988" s="7"/>
      <c r="X988" s="7"/>
      <c r="Y988" s="7"/>
      <c r="Z988" s="5"/>
      <c r="AA988" s="7"/>
      <c r="AB988" s="7"/>
      <c r="AC988" s="7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5"/>
      <c r="W989" s="7"/>
      <c r="X989" s="7"/>
      <c r="Y989" s="7"/>
      <c r="Z989" s="5"/>
      <c r="AA989" s="7"/>
      <c r="AB989" s="7"/>
      <c r="AC989" s="7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5"/>
      <c r="W990" s="7"/>
      <c r="X990" s="7"/>
      <c r="Y990" s="7"/>
      <c r="Z990" s="5"/>
      <c r="AA990" s="7"/>
      <c r="AB990" s="7"/>
      <c r="AC990" s="7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5"/>
      <c r="W991" s="7"/>
      <c r="X991" s="7"/>
      <c r="Y991" s="7"/>
      <c r="Z991" s="5"/>
      <c r="AA991" s="7"/>
      <c r="AB991" s="7"/>
      <c r="AC991" s="7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5"/>
      <c r="W992" s="7"/>
      <c r="X992" s="7"/>
      <c r="Y992" s="7"/>
      <c r="Z992" s="5"/>
      <c r="AA992" s="7"/>
      <c r="AB992" s="7"/>
      <c r="AC992" s="7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5"/>
      <c r="W993" s="7"/>
      <c r="X993" s="7"/>
      <c r="Y993" s="7"/>
      <c r="Z993" s="5"/>
      <c r="AA993" s="7"/>
      <c r="AB993" s="7"/>
      <c r="AC993" s="7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5"/>
      <c r="W994" s="7"/>
      <c r="X994" s="7"/>
      <c r="Y994" s="7"/>
      <c r="Z994" s="5"/>
      <c r="AA994" s="7"/>
      <c r="AB994" s="7"/>
      <c r="AC994" s="7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5"/>
      <c r="W995" s="7"/>
      <c r="X995" s="7"/>
      <c r="Y995" s="7"/>
      <c r="Z995" s="5"/>
      <c r="AA995" s="7"/>
      <c r="AB995" s="7"/>
      <c r="AC995" s="7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5"/>
      <c r="W996" s="7"/>
      <c r="X996" s="7"/>
      <c r="Y996" s="7"/>
      <c r="Z996" s="5"/>
      <c r="AA996" s="7"/>
      <c r="AB996" s="7"/>
      <c r="AC996" s="7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5"/>
      <c r="W997" s="7"/>
      <c r="X997" s="7"/>
      <c r="Y997" s="7"/>
      <c r="Z997" s="5"/>
      <c r="AA997" s="7"/>
      <c r="AB997" s="7"/>
      <c r="AC997" s="7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5"/>
      <c r="W998" s="7"/>
      <c r="X998" s="7"/>
      <c r="Y998" s="7"/>
      <c r="Z998" s="5"/>
      <c r="AA998" s="7"/>
      <c r="AB998" s="7"/>
      <c r="AC998" s="7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5"/>
      <c r="W999" s="7"/>
      <c r="X999" s="7"/>
      <c r="Y999" s="7"/>
      <c r="Z999" s="5"/>
      <c r="AA999" s="7"/>
      <c r="AB999" s="7"/>
      <c r="AC999" s="7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5"/>
      <c r="W1000" s="7"/>
      <c r="X1000" s="7"/>
      <c r="Y1000" s="7"/>
      <c r="Z1000" s="5"/>
      <c r="AA1000" s="7"/>
      <c r="AB1000" s="7"/>
      <c r="AC1000" s="7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5"/>
      <c r="W1001" s="7"/>
      <c r="X1001" s="7"/>
      <c r="Y1001" s="7"/>
      <c r="Z1001" s="5"/>
      <c r="AA1001" s="7"/>
      <c r="AB1001" s="7"/>
      <c r="AC1001" s="7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5"/>
      <c r="W1002" s="7"/>
      <c r="X1002" s="7"/>
      <c r="Y1002" s="7"/>
      <c r="Z1002" s="5"/>
      <c r="AA1002" s="7"/>
      <c r="AB1002" s="7"/>
      <c r="AC1002" s="7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5"/>
      <c r="W1003" s="7"/>
      <c r="X1003" s="7"/>
      <c r="Y1003" s="7"/>
      <c r="Z1003" s="5"/>
      <c r="AA1003" s="7"/>
      <c r="AB1003" s="7"/>
      <c r="AC1003" s="7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5"/>
      <c r="W1004" s="7"/>
      <c r="X1004" s="7"/>
      <c r="Y1004" s="7"/>
      <c r="Z1004" s="5"/>
      <c r="AA1004" s="7"/>
      <c r="AB1004" s="7"/>
      <c r="AC1004" s="7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5"/>
      <c r="W1005" s="7"/>
      <c r="X1005" s="7"/>
      <c r="Y1005" s="7"/>
      <c r="Z1005" s="5"/>
      <c r="AA1005" s="7"/>
      <c r="AB1005" s="7"/>
      <c r="AC1005" s="7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5"/>
      <c r="W1006" s="7"/>
      <c r="X1006" s="7"/>
      <c r="Y1006" s="7"/>
      <c r="Z1006" s="5"/>
      <c r="AA1006" s="7"/>
      <c r="AB1006" s="7"/>
      <c r="AC1006" s="7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5"/>
      <c r="W1007" s="7"/>
      <c r="X1007" s="7"/>
      <c r="Y1007" s="7"/>
      <c r="Z1007" s="5"/>
      <c r="AA1007" s="7"/>
      <c r="AB1007" s="7"/>
      <c r="AC1007" s="7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5"/>
      <c r="W1008" s="7"/>
      <c r="X1008" s="7"/>
      <c r="Y1008" s="7"/>
      <c r="Z1008" s="5"/>
      <c r="AA1008" s="7"/>
      <c r="AB1008" s="7"/>
      <c r="AC1008" s="7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5"/>
      <c r="W1009" s="7"/>
      <c r="X1009" s="7"/>
      <c r="Y1009" s="7"/>
      <c r="Z1009" s="5"/>
      <c r="AA1009" s="7"/>
      <c r="AB1009" s="7"/>
      <c r="AC1009" s="7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5"/>
      <c r="W1010" s="7"/>
      <c r="X1010" s="7"/>
      <c r="Y1010" s="7"/>
      <c r="Z1010" s="5"/>
      <c r="AA1010" s="7"/>
      <c r="AB1010" s="7"/>
      <c r="AC1010" s="7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5"/>
      <c r="W1011" s="7"/>
      <c r="X1011" s="7"/>
      <c r="Y1011" s="7"/>
      <c r="Z1011" s="5"/>
      <c r="AA1011" s="7"/>
      <c r="AB1011" s="7"/>
      <c r="AC1011" s="7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5"/>
      <c r="W1012" s="7"/>
      <c r="X1012" s="7"/>
      <c r="Y1012" s="7"/>
      <c r="Z1012" s="5"/>
      <c r="AA1012" s="7"/>
      <c r="AB1012" s="7"/>
      <c r="AC1012" s="7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5"/>
      <c r="W1013" s="7"/>
      <c r="X1013" s="7"/>
      <c r="Y1013" s="7"/>
      <c r="Z1013" s="5"/>
      <c r="AA1013" s="7"/>
      <c r="AB1013" s="7"/>
      <c r="AC1013" s="7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5"/>
      <c r="W1014" s="7"/>
      <c r="X1014" s="7"/>
      <c r="Y1014" s="7"/>
      <c r="Z1014" s="5"/>
      <c r="AA1014" s="7"/>
      <c r="AB1014" s="7"/>
      <c r="AC1014" s="7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5"/>
      <c r="W1015" s="7"/>
      <c r="X1015" s="7"/>
      <c r="Y1015" s="7"/>
      <c r="Z1015" s="5"/>
      <c r="AA1015" s="7"/>
      <c r="AB1015" s="7"/>
      <c r="AC1015" s="7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5"/>
      <c r="W1016" s="7"/>
      <c r="X1016" s="7"/>
      <c r="Y1016" s="7"/>
      <c r="Z1016" s="5"/>
      <c r="AA1016" s="7"/>
      <c r="AB1016" s="7"/>
      <c r="AC1016" s="7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5"/>
      <c r="W1017" s="7"/>
      <c r="X1017" s="7"/>
      <c r="Y1017" s="7"/>
      <c r="Z1017" s="5"/>
      <c r="AA1017" s="7"/>
      <c r="AB1017" s="7"/>
      <c r="AC1017" s="7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5"/>
      <c r="W1018" s="7"/>
      <c r="X1018" s="7"/>
      <c r="Y1018" s="7"/>
      <c r="Z1018" s="5"/>
      <c r="AA1018" s="7"/>
      <c r="AB1018" s="7"/>
      <c r="AC1018" s="7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5"/>
      <c r="W1019" s="7"/>
      <c r="X1019" s="7"/>
      <c r="Y1019" s="7"/>
      <c r="Z1019" s="5"/>
      <c r="AA1019" s="7"/>
      <c r="AB1019" s="7"/>
      <c r="AC1019" s="7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5"/>
      <c r="W1020" s="7"/>
      <c r="X1020" s="7"/>
      <c r="Y1020" s="7"/>
      <c r="Z1020" s="5"/>
      <c r="AA1020" s="7"/>
      <c r="AB1020" s="7"/>
      <c r="AC1020" s="7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5"/>
      <c r="W1021" s="7"/>
      <c r="X1021" s="7"/>
      <c r="Y1021" s="7"/>
      <c r="Z1021" s="5"/>
      <c r="AA1021" s="7"/>
      <c r="AB1021" s="7"/>
      <c r="AC1021" s="7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5"/>
      <c r="W1022" s="7"/>
      <c r="X1022" s="7"/>
      <c r="Y1022" s="7"/>
      <c r="Z1022" s="5"/>
      <c r="AA1022" s="7"/>
      <c r="AB1022" s="7"/>
      <c r="AC1022" s="7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5"/>
      <c r="W1023" s="7"/>
      <c r="X1023" s="7"/>
      <c r="Y1023" s="7"/>
      <c r="Z1023" s="5"/>
      <c r="AA1023" s="7"/>
      <c r="AB1023" s="7"/>
      <c r="AC1023" s="7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5"/>
      <c r="W1024" s="7"/>
      <c r="X1024" s="7"/>
      <c r="Y1024" s="7"/>
      <c r="Z1024" s="5"/>
      <c r="AA1024" s="7"/>
      <c r="AB1024" s="7"/>
      <c r="AC1024" s="7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5"/>
      <c r="W1025" s="7"/>
      <c r="X1025" s="7"/>
      <c r="Y1025" s="7"/>
      <c r="Z1025" s="5"/>
      <c r="AA1025" s="7"/>
      <c r="AB1025" s="7"/>
      <c r="AC1025" s="7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5"/>
      <c r="W1026" s="7"/>
      <c r="X1026" s="7"/>
      <c r="Y1026" s="7"/>
      <c r="Z1026" s="5"/>
      <c r="AA1026" s="7"/>
      <c r="AB1026" s="7"/>
      <c r="AC1026" s="7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5"/>
      <c r="W1027" s="7"/>
      <c r="X1027" s="7"/>
      <c r="Y1027" s="7"/>
      <c r="Z1027" s="5"/>
      <c r="AA1027" s="7"/>
      <c r="AB1027" s="7"/>
      <c r="AC1027" s="7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5"/>
      <c r="W1028" s="7"/>
      <c r="X1028" s="7"/>
      <c r="Y1028" s="7"/>
      <c r="Z1028" s="5"/>
      <c r="AA1028" s="7"/>
      <c r="AB1028" s="7"/>
      <c r="AC1028" s="7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5"/>
      <c r="W1029" s="7"/>
      <c r="X1029" s="7"/>
      <c r="Y1029" s="7"/>
      <c r="Z1029" s="5"/>
      <c r="AA1029" s="7"/>
      <c r="AB1029" s="7"/>
      <c r="AC1029" s="7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5"/>
      <c r="W1030" s="7"/>
      <c r="X1030" s="7"/>
      <c r="Y1030" s="7"/>
      <c r="Z1030" s="5"/>
      <c r="AA1030" s="7"/>
      <c r="AB1030" s="7"/>
      <c r="AC1030" s="7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5"/>
      <c r="W1031" s="7"/>
      <c r="X1031" s="7"/>
      <c r="Y1031" s="7"/>
      <c r="Z1031" s="5"/>
      <c r="AA1031" s="7"/>
      <c r="AB1031" s="7"/>
      <c r="AC1031" s="7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5"/>
      <c r="W1032" s="7"/>
      <c r="X1032" s="7"/>
      <c r="Y1032" s="7"/>
      <c r="Z1032" s="5"/>
      <c r="AA1032" s="7"/>
      <c r="AB1032" s="7"/>
      <c r="AC1032" s="7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5"/>
      <c r="W1033" s="7"/>
      <c r="X1033" s="7"/>
      <c r="Y1033" s="7"/>
      <c r="Z1033" s="5"/>
      <c r="AA1033" s="7"/>
      <c r="AB1033" s="7"/>
      <c r="AC1033" s="7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5"/>
      <c r="W1034" s="7"/>
      <c r="X1034" s="7"/>
      <c r="Y1034" s="7"/>
      <c r="Z1034" s="5"/>
      <c r="AA1034" s="7"/>
      <c r="AB1034" s="7"/>
      <c r="AC1034" s="7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5"/>
      <c r="W1035" s="7"/>
      <c r="X1035" s="7"/>
      <c r="Y1035" s="7"/>
      <c r="Z1035" s="5"/>
      <c r="AA1035" s="7"/>
      <c r="AB1035" s="7"/>
      <c r="AC1035" s="7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5"/>
      <c r="W1036" s="7"/>
      <c r="X1036" s="7"/>
      <c r="Y1036" s="7"/>
      <c r="Z1036" s="5"/>
      <c r="AA1036" s="7"/>
      <c r="AB1036" s="7"/>
      <c r="AC1036" s="7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5"/>
      <c r="W1037" s="7"/>
      <c r="X1037" s="7"/>
      <c r="Y1037" s="7"/>
      <c r="Z1037" s="5"/>
      <c r="AA1037" s="7"/>
      <c r="AB1037" s="7"/>
      <c r="AC1037" s="7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5"/>
      <c r="W1038" s="7"/>
      <c r="X1038" s="7"/>
      <c r="Y1038" s="7"/>
      <c r="Z1038" s="5"/>
      <c r="AA1038" s="7"/>
      <c r="AB1038" s="7"/>
      <c r="AC1038" s="7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5"/>
      <c r="W1039" s="7"/>
      <c r="X1039" s="7"/>
      <c r="Y1039" s="7"/>
      <c r="Z1039" s="5"/>
      <c r="AA1039" s="7"/>
      <c r="AB1039" s="7"/>
      <c r="AC1039" s="7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5"/>
      <c r="W1040" s="7"/>
      <c r="X1040" s="7"/>
      <c r="Y1040" s="7"/>
      <c r="Z1040" s="5"/>
      <c r="AA1040" s="7"/>
      <c r="AB1040" s="7"/>
      <c r="AC1040" s="7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5"/>
      <c r="W1041" s="7"/>
      <c r="X1041" s="7"/>
      <c r="Y1041" s="7"/>
      <c r="Z1041" s="5"/>
      <c r="AA1041" s="7"/>
      <c r="AB1041" s="7"/>
      <c r="AC1041" s="7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5"/>
      <c r="W1042" s="7"/>
      <c r="X1042" s="7"/>
      <c r="Y1042" s="7"/>
      <c r="Z1042" s="5"/>
      <c r="AA1042" s="7"/>
      <c r="AB1042" s="7"/>
      <c r="AC1042" s="7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5"/>
      <c r="W1043" s="7"/>
      <c r="X1043" s="7"/>
      <c r="Y1043" s="7"/>
      <c r="Z1043" s="5"/>
      <c r="AA1043" s="7"/>
      <c r="AB1043" s="7"/>
      <c r="AC1043" s="7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5"/>
      <c r="W1044" s="7"/>
      <c r="X1044" s="7"/>
      <c r="Y1044" s="7"/>
      <c r="Z1044" s="5"/>
      <c r="AA1044" s="7"/>
      <c r="AB1044" s="7"/>
      <c r="AC1044" s="7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5"/>
      <c r="W1045" s="7"/>
      <c r="X1045" s="7"/>
      <c r="Y1045" s="7"/>
      <c r="Z1045" s="5"/>
      <c r="AA1045" s="7"/>
      <c r="AB1045" s="7"/>
      <c r="AC1045" s="7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5"/>
      <c r="W1046" s="7"/>
      <c r="X1046" s="7"/>
      <c r="Y1046" s="7"/>
      <c r="Z1046" s="5"/>
      <c r="AA1046" s="7"/>
      <c r="AB1046" s="7"/>
      <c r="AC1046" s="7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5"/>
      <c r="W1047" s="7"/>
      <c r="X1047" s="7"/>
      <c r="Y1047" s="7"/>
      <c r="Z1047" s="5"/>
      <c r="AA1047" s="7"/>
      <c r="AB1047" s="7"/>
      <c r="AC1047" s="7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5"/>
      <c r="W1048" s="7"/>
      <c r="X1048" s="7"/>
      <c r="Y1048" s="7"/>
      <c r="Z1048" s="5"/>
      <c r="AA1048" s="7"/>
      <c r="AB1048" s="7"/>
      <c r="AC1048" s="7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5"/>
      <c r="W1049" s="7"/>
      <c r="X1049" s="7"/>
      <c r="Y1049" s="7"/>
      <c r="Z1049" s="5"/>
      <c r="AA1049" s="7"/>
      <c r="AB1049" s="7"/>
      <c r="AC1049" s="7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5"/>
      <c r="W1050" s="7"/>
      <c r="X1050" s="7"/>
      <c r="Y1050" s="7"/>
      <c r="Z1050" s="5"/>
      <c r="AA1050" s="7"/>
      <c r="AB1050" s="7"/>
      <c r="AC1050" s="7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5"/>
      <c r="W1051" s="7"/>
      <c r="X1051" s="7"/>
      <c r="Y1051" s="7"/>
      <c r="Z1051" s="5"/>
      <c r="AA1051" s="7"/>
      <c r="AB1051" s="7"/>
      <c r="AC1051" s="7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5"/>
      <c r="W1052" s="7"/>
      <c r="X1052" s="7"/>
      <c r="Y1052" s="7"/>
      <c r="Z1052" s="5"/>
      <c r="AA1052" s="7"/>
      <c r="AB1052" s="7"/>
      <c r="AC1052" s="7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5"/>
      <c r="W1053" s="7"/>
      <c r="X1053" s="7"/>
      <c r="Y1053" s="7"/>
      <c r="Z1053" s="5"/>
      <c r="AA1053" s="7"/>
      <c r="AB1053" s="7"/>
      <c r="AC1053" s="7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5"/>
      <c r="W1054" s="7"/>
      <c r="X1054" s="7"/>
      <c r="Y1054" s="7"/>
      <c r="Z1054" s="5"/>
      <c r="AA1054" s="7"/>
      <c r="AB1054" s="7"/>
      <c r="AC1054" s="7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5"/>
      <c r="W1055" s="7"/>
      <c r="X1055" s="7"/>
      <c r="Y1055" s="7"/>
      <c r="Z1055" s="5"/>
      <c r="AA1055" s="7"/>
      <c r="AB1055" s="7"/>
      <c r="AC1055" s="7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5"/>
      <c r="W1056" s="7"/>
      <c r="X1056" s="7"/>
      <c r="Y1056" s="7"/>
      <c r="Z1056" s="5"/>
      <c r="AA1056" s="7"/>
      <c r="AB1056" s="7"/>
      <c r="AC1056" s="7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5"/>
      <c r="W1057" s="7"/>
      <c r="X1057" s="7"/>
      <c r="Y1057" s="7"/>
      <c r="Z1057" s="5"/>
      <c r="AA1057" s="7"/>
      <c r="AB1057" s="7"/>
      <c r="AC1057" s="7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5"/>
      <c r="W1058" s="7"/>
      <c r="X1058" s="7"/>
      <c r="Y1058" s="7"/>
      <c r="Z1058" s="5"/>
      <c r="AA1058" s="7"/>
      <c r="AB1058" s="7"/>
      <c r="AC1058" s="7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5"/>
      <c r="W1059" s="7"/>
      <c r="X1059" s="7"/>
      <c r="Y1059" s="7"/>
      <c r="Z1059" s="5"/>
      <c r="AA1059" s="7"/>
      <c r="AB1059" s="7"/>
      <c r="AC1059" s="7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5"/>
      <c r="W1060" s="7"/>
      <c r="X1060" s="7"/>
      <c r="Y1060" s="7"/>
      <c r="Z1060" s="5"/>
      <c r="AA1060" s="7"/>
      <c r="AB1060" s="7"/>
      <c r="AC1060" s="7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5"/>
      <c r="W1061" s="7"/>
      <c r="X1061" s="7"/>
      <c r="Y1061" s="7"/>
      <c r="Z1061" s="5"/>
      <c r="AA1061" s="7"/>
      <c r="AB1061" s="7"/>
      <c r="AC1061" s="7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5"/>
      <c r="W1062" s="7"/>
      <c r="X1062" s="7"/>
      <c r="Y1062" s="7"/>
      <c r="Z1062" s="5"/>
      <c r="AA1062" s="7"/>
      <c r="AB1062" s="7"/>
      <c r="AC1062" s="7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5"/>
      <c r="W1063" s="7"/>
      <c r="X1063" s="7"/>
      <c r="Y1063" s="7"/>
      <c r="Z1063" s="5"/>
      <c r="AA1063" s="7"/>
      <c r="AB1063" s="7"/>
      <c r="AC1063" s="7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5"/>
      <c r="W1064" s="7"/>
      <c r="X1064" s="7"/>
      <c r="Y1064" s="7"/>
      <c r="Z1064" s="5"/>
      <c r="AA1064" s="7"/>
      <c r="AB1064" s="7"/>
      <c r="AC1064" s="7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5"/>
      <c r="W1065" s="7"/>
      <c r="X1065" s="7"/>
      <c r="Y1065" s="7"/>
      <c r="Z1065" s="5"/>
      <c r="AA1065" s="7"/>
      <c r="AB1065" s="7"/>
      <c r="AC1065" s="7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5"/>
      <c r="W1066" s="7"/>
      <c r="X1066" s="7"/>
      <c r="Y1066" s="7"/>
      <c r="Z1066" s="5"/>
      <c r="AA1066" s="7"/>
      <c r="AB1066" s="7"/>
      <c r="AC1066" s="7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5"/>
      <c r="W1067" s="7"/>
      <c r="X1067" s="7"/>
      <c r="Y1067" s="7"/>
      <c r="Z1067" s="5"/>
      <c r="AA1067" s="7"/>
      <c r="AB1067" s="7"/>
      <c r="AC1067" s="7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5"/>
      <c r="W1068" s="7"/>
      <c r="X1068" s="7"/>
      <c r="Y1068" s="7"/>
      <c r="Z1068" s="5"/>
      <c r="AA1068" s="7"/>
      <c r="AB1068" s="7"/>
      <c r="AC1068" s="7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5"/>
      <c r="W1069" s="7"/>
      <c r="X1069" s="7"/>
      <c r="Y1069" s="7"/>
      <c r="Z1069" s="5"/>
      <c r="AA1069" s="7"/>
      <c r="AB1069" s="7"/>
      <c r="AC1069" s="7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5"/>
      <c r="W1070" s="7"/>
      <c r="X1070" s="7"/>
      <c r="Y1070" s="7"/>
      <c r="Z1070" s="5"/>
      <c r="AA1070" s="7"/>
      <c r="AB1070" s="7"/>
      <c r="AC1070" s="7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5"/>
      <c r="W1071" s="7"/>
      <c r="X1071" s="7"/>
      <c r="Y1071" s="7"/>
      <c r="Z1071" s="5"/>
      <c r="AA1071" s="7"/>
      <c r="AB1071" s="7"/>
      <c r="AC1071" s="7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</sheetData>
  <mergeCells count="18">
    <mergeCell ref="F3:I3"/>
    <mergeCell ref="U4:U5"/>
    <mergeCell ref="W4:Y4"/>
    <mergeCell ref="H5:H6"/>
    <mergeCell ref="J5:J6"/>
    <mergeCell ref="N5:O5"/>
    <mergeCell ref="AA13:AA15"/>
    <mergeCell ref="D209:G209"/>
    <mergeCell ref="D227:G227"/>
    <mergeCell ref="D245:G245"/>
    <mergeCell ref="D263:G263"/>
    <mergeCell ref="D50:E50"/>
    <mergeCell ref="D78:E78"/>
    <mergeCell ref="D83:E83"/>
    <mergeCell ref="F102:H102"/>
    <mergeCell ref="J102:K102"/>
    <mergeCell ref="J149:K149"/>
    <mergeCell ref="J173:K173"/>
  </mergeCells>
  <dataValidations>
    <dataValidation type="list" allowBlank="1" sqref="J43:U43">
      <formula1>$J$7:$J$9</formula1>
    </dataValidation>
    <dataValidation type="list" allowBlank="1" sqref="J42:U42">
      <formula1>$AO$4:$AO$5</formula1>
    </dataValidation>
    <dataValidation type="list" allowBlank="1" sqref="J44:U44">
      <formula1>$AP$4:$AP$6</formula1>
    </dataValidation>
    <dataValidation type="list" allowBlank="1" sqref="H21:H40">
      <formula1>$AQ$4:$AQ$6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.63"/>
    <col customWidth="1" min="3" max="3" width="1.25"/>
    <col customWidth="1" min="4" max="4" width="19.88"/>
    <col customWidth="1" min="5" max="5" width="1.63"/>
    <col customWidth="1" min="7" max="7" width="1.63"/>
    <col customWidth="1" min="8" max="8" width="14.38"/>
    <col customWidth="1" min="9" max="9" width="1.63"/>
    <col customWidth="1" min="10" max="10" width="10.63"/>
    <col customWidth="1" min="11" max="21" width="9.13"/>
    <col customWidth="1" min="22" max="22" width="3.5"/>
    <col customWidth="1" min="23" max="23" width="13.75"/>
    <col customWidth="1" min="26" max="26" width="1.25"/>
    <col customWidth="1" min="27" max="29" width="11.38"/>
    <col customWidth="1" min="30" max="33" width="3.38"/>
    <col customWidth="1" min="34" max="35" width="1.63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/>
      <c r="W1" s="4"/>
      <c r="X1" s="4"/>
      <c r="Y1" s="4"/>
      <c r="Z1" s="2"/>
      <c r="AA1" s="4"/>
      <c r="AB1" s="4"/>
      <c r="AC1" s="4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5"/>
      <c r="AQ1" s="6" t="s">
        <v>0</v>
      </c>
    </row>
    <row r="2" ht="9.75" customHeight="1">
      <c r="A2" s="2"/>
      <c r="B2" s="5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"/>
      <c r="W2" s="7"/>
      <c r="X2" s="7"/>
      <c r="Y2" s="7"/>
      <c r="Z2" s="5"/>
      <c r="AA2" s="7"/>
      <c r="AB2" s="7"/>
      <c r="AC2" s="7"/>
      <c r="AD2" s="5"/>
      <c r="AE2" s="5"/>
      <c r="AF2" s="5"/>
      <c r="AG2" s="5"/>
      <c r="AH2" s="5"/>
      <c r="AI2" s="5"/>
      <c r="AJ2" s="2"/>
      <c r="AK2" s="2"/>
      <c r="AL2" s="2"/>
      <c r="AM2" s="2"/>
      <c r="AN2" s="2"/>
      <c r="AO2" s="2"/>
      <c r="AP2" s="5"/>
      <c r="AQ2" s="5"/>
    </row>
    <row r="3">
      <c r="A3" s="2"/>
      <c r="B3" s="5"/>
      <c r="C3" s="2"/>
      <c r="D3" s="2"/>
      <c r="E3" s="2"/>
      <c r="F3" s="9" t="s">
        <v>1</v>
      </c>
      <c r="J3" s="4"/>
      <c r="K3" s="11">
        <f>F6+K5+F13</f>
        <v>154</v>
      </c>
      <c r="L3" s="11">
        <f>F6+L5+F13</f>
        <v>149</v>
      </c>
      <c r="M3" s="11">
        <f>F6+M5+F13</f>
        <v>144</v>
      </c>
      <c r="N3" s="4"/>
      <c r="O3" s="4"/>
      <c r="P3" s="4"/>
      <c r="Q3" s="4"/>
      <c r="R3" s="4"/>
      <c r="S3" s="4"/>
      <c r="T3" s="4"/>
      <c r="U3" s="12"/>
      <c r="V3" s="2"/>
      <c r="W3" s="13"/>
      <c r="X3" s="13"/>
      <c r="Y3" s="13"/>
      <c r="Z3" s="2"/>
      <c r="AA3" s="4"/>
      <c r="AB3" s="4"/>
      <c r="AC3" s="4"/>
      <c r="AD3" s="2"/>
      <c r="AE3" s="2"/>
      <c r="AF3" s="2"/>
      <c r="AG3" s="2"/>
      <c r="AH3" s="2"/>
      <c r="AI3" s="5"/>
      <c r="AJ3" s="2"/>
      <c r="AK3" s="2"/>
      <c r="AL3" s="2"/>
      <c r="AM3" s="2"/>
      <c r="AN3" s="2"/>
      <c r="AO3" s="3"/>
      <c r="AP3" s="14"/>
      <c r="AQ3" s="14"/>
    </row>
    <row r="4" ht="14.25" customHeight="1">
      <c r="A4" s="2"/>
      <c r="B4" s="5"/>
      <c r="C4" s="2"/>
      <c r="D4" s="2"/>
      <c r="E4" s="2"/>
      <c r="F4" s="2"/>
      <c r="G4" s="2"/>
      <c r="H4" s="2"/>
      <c r="I4" s="2"/>
      <c r="J4" s="4"/>
      <c r="K4" s="11"/>
      <c r="L4" s="11"/>
      <c r="M4" s="11"/>
      <c r="N4" s="4"/>
      <c r="O4" s="4"/>
      <c r="P4" s="4"/>
      <c r="Q4" s="4"/>
      <c r="R4" s="4"/>
      <c r="S4" s="4"/>
      <c r="T4" s="4"/>
      <c r="U4" s="15" t="s">
        <v>2</v>
      </c>
      <c r="V4" s="2"/>
      <c r="W4" s="16" t="s">
        <v>3</v>
      </c>
      <c r="X4" s="17"/>
      <c r="Y4" s="18"/>
      <c r="Z4" s="2"/>
      <c r="AA4" s="4"/>
      <c r="AB4" s="4"/>
      <c r="AC4" s="4"/>
      <c r="AD4" s="2"/>
      <c r="AE4" s="2"/>
      <c r="AF4" s="2"/>
      <c r="AG4" s="2"/>
      <c r="AH4" s="2"/>
      <c r="AI4" s="5"/>
      <c r="AJ4" s="2"/>
      <c r="AK4" s="2"/>
      <c r="AL4" s="2"/>
      <c r="AM4" s="2"/>
      <c r="AN4" s="2"/>
      <c r="AO4" s="3" t="s">
        <v>4</v>
      </c>
      <c r="AP4" s="14" t="str">
        <f>K6</f>
        <v>Sea</v>
      </c>
      <c r="AQ4" s="14" t="str">
        <f>W5</f>
        <v>SkyRockets</v>
      </c>
    </row>
    <row r="5">
      <c r="A5" s="2"/>
      <c r="B5" s="5"/>
      <c r="C5" s="2"/>
      <c r="D5" s="3"/>
      <c r="E5" s="2"/>
      <c r="F5" s="2"/>
      <c r="G5" s="2"/>
      <c r="H5" s="12" t="s">
        <v>5</v>
      </c>
      <c r="I5" s="2"/>
      <c r="J5" s="12" t="s">
        <v>6</v>
      </c>
      <c r="K5" s="19">
        <v>25.0</v>
      </c>
      <c r="L5" s="19">
        <v>20.0</v>
      </c>
      <c r="M5" s="19">
        <v>15.0</v>
      </c>
      <c r="N5" s="13" t="s">
        <v>7</v>
      </c>
      <c r="P5" s="4"/>
      <c r="Q5" s="4"/>
      <c r="R5" s="4"/>
      <c r="S5" s="4"/>
      <c r="T5" s="4"/>
      <c r="U5" s="22"/>
      <c r="V5" s="2"/>
      <c r="W5" s="23" t="s">
        <v>8</v>
      </c>
      <c r="X5" s="24" t="s">
        <v>9</v>
      </c>
      <c r="Y5" s="25" t="s">
        <v>10</v>
      </c>
      <c r="Z5" s="2"/>
      <c r="AA5" s="4"/>
      <c r="AB5" s="4"/>
      <c r="AC5" s="4"/>
      <c r="AD5" s="2"/>
      <c r="AE5" s="2"/>
      <c r="AF5" s="2"/>
      <c r="AG5" s="2"/>
      <c r="AH5" s="2"/>
      <c r="AI5" s="5"/>
      <c r="AJ5" s="2"/>
      <c r="AK5" s="2"/>
      <c r="AL5" s="2"/>
      <c r="AM5" s="2"/>
      <c r="AN5" s="2"/>
      <c r="AO5" s="3" t="s">
        <v>11</v>
      </c>
      <c r="AP5" s="14" t="str">
        <f>L6</f>
        <v>Air</v>
      </c>
      <c r="AQ5" s="14" t="str">
        <f>X5</f>
        <v>Steady Eddy</v>
      </c>
    </row>
    <row r="6">
      <c r="A6" s="2"/>
      <c r="B6" s="5"/>
      <c r="C6" s="2"/>
      <c r="D6" s="3" t="s">
        <v>13</v>
      </c>
      <c r="E6" s="2"/>
      <c r="F6" s="26">
        <v>120.0</v>
      </c>
      <c r="G6" s="2"/>
      <c r="I6" s="2"/>
      <c r="K6" s="13" t="s">
        <v>14</v>
      </c>
      <c r="L6" s="13" t="s">
        <v>15</v>
      </c>
      <c r="M6" s="13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"/>
      <c r="AA6" s="4"/>
      <c r="AB6" s="4"/>
      <c r="AC6" s="4"/>
      <c r="AD6" s="2"/>
      <c r="AE6" s="2"/>
      <c r="AF6" s="2"/>
      <c r="AG6" s="2"/>
      <c r="AH6" s="2"/>
      <c r="AI6" s="5"/>
      <c r="AJ6" s="2"/>
      <c r="AK6" s="2"/>
      <c r="AL6" s="2"/>
      <c r="AM6" s="2"/>
      <c r="AN6" s="2"/>
      <c r="AO6" s="2"/>
      <c r="AP6" s="14" t="str">
        <f>M6</f>
        <v>Express</v>
      </c>
      <c r="AQ6" s="14" t="str">
        <f>Y5</f>
        <v>Slow Burn</v>
      </c>
    </row>
    <row r="7">
      <c r="A7" s="2"/>
      <c r="B7" s="5"/>
      <c r="C7" s="2"/>
      <c r="D7" s="3" t="s">
        <v>17</v>
      </c>
      <c r="E7" s="2"/>
      <c r="F7" s="28">
        <v>0.6</v>
      </c>
      <c r="G7" s="2"/>
      <c r="H7" s="29">
        <v>2500.0</v>
      </c>
      <c r="I7" s="2"/>
      <c r="J7" s="13" t="s">
        <v>18</v>
      </c>
      <c r="K7" s="29">
        <v>3500.0</v>
      </c>
      <c r="L7" s="29">
        <v>5000.0</v>
      </c>
      <c r="M7" s="29">
        <v>6500.0</v>
      </c>
      <c r="N7" s="4"/>
      <c r="O7" s="4"/>
      <c r="P7" s="4"/>
      <c r="Q7" s="4"/>
      <c r="R7" s="4"/>
      <c r="S7" s="4"/>
      <c r="T7" s="4"/>
      <c r="U7" s="30">
        <v>30.0</v>
      </c>
      <c r="V7" s="2"/>
      <c r="W7" s="31">
        <v>0.4</v>
      </c>
      <c r="X7" s="31">
        <v>0.2</v>
      </c>
      <c r="Y7" s="31">
        <v>0.1</v>
      </c>
      <c r="Z7" s="3" t="s">
        <v>0</v>
      </c>
      <c r="AA7" s="4"/>
      <c r="AB7" s="4"/>
      <c r="AC7" s="4"/>
      <c r="AD7" s="2"/>
      <c r="AE7" s="2"/>
      <c r="AF7" s="2"/>
      <c r="AG7" s="2"/>
      <c r="AH7" s="2"/>
      <c r="AI7" s="5"/>
      <c r="AJ7" s="2"/>
      <c r="AK7" s="2"/>
      <c r="AL7" s="2"/>
      <c r="AM7" s="2"/>
      <c r="AN7" s="2"/>
      <c r="AO7" s="2"/>
      <c r="AP7" s="14"/>
      <c r="AQ7" s="14"/>
    </row>
    <row r="8">
      <c r="A8" s="2"/>
      <c r="B8" s="5"/>
      <c r="C8" s="2"/>
      <c r="D8" s="3" t="s">
        <v>19</v>
      </c>
      <c r="E8" s="2"/>
      <c r="F8" s="28">
        <v>0.06</v>
      </c>
      <c r="G8" s="2"/>
      <c r="H8" s="29">
        <v>4000.0</v>
      </c>
      <c r="I8" s="2"/>
      <c r="J8" s="13" t="s">
        <v>20</v>
      </c>
      <c r="K8" s="29">
        <v>8000.0</v>
      </c>
      <c r="L8" s="29">
        <v>10000.0</v>
      </c>
      <c r="M8" s="29">
        <v>11500.0</v>
      </c>
      <c r="N8" s="4"/>
      <c r="O8" s="4"/>
      <c r="P8" s="4"/>
      <c r="Q8" s="4"/>
      <c r="R8" s="4"/>
      <c r="S8" s="4"/>
      <c r="T8" s="13" t="s">
        <v>0</v>
      </c>
      <c r="U8" s="30">
        <v>60.0</v>
      </c>
      <c r="V8" s="2"/>
      <c r="W8" s="31">
        <v>0.25</v>
      </c>
      <c r="X8" s="31">
        <v>0.3</v>
      </c>
      <c r="Y8" s="31">
        <v>0.3</v>
      </c>
      <c r="Z8" s="2"/>
      <c r="AA8" s="4"/>
      <c r="AB8" s="4"/>
      <c r="AC8" s="4"/>
      <c r="AD8" s="2"/>
      <c r="AE8" s="2"/>
      <c r="AF8" s="2"/>
      <c r="AG8" s="2"/>
      <c r="AH8" s="2"/>
      <c r="AI8" s="5"/>
      <c r="AJ8" s="2"/>
      <c r="AK8" s="2"/>
      <c r="AL8" s="2"/>
      <c r="AM8" s="2"/>
      <c r="AN8" s="2"/>
      <c r="AO8" s="2"/>
      <c r="AP8" s="14"/>
      <c r="AQ8" s="14"/>
    </row>
    <row r="9">
      <c r="A9" s="2"/>
      <c r="B9" s="5"/>
      <c r="C9" s="2"/>
      <c r="D9" s="3" t="s">
        <v>21</v>
      </c>
      <c r="E9" s="2"/>
      <c r="F9" s="28">
        <v>0.1</v>
      </c>
      <c r="G9" s="2"/>
      <c r="H9" s="29">
        <v>6000.0</v>
      </c>
      <c r="I9" s="2"/>
      <c r="J9" s="13" t="s">
        <v>22</v>
      </c>
      <c r="K9" s="29">
        <v>12000.0</v>
      </c>
      <c r="L9" s="29">
        <v>14000.0</v>
      </c>
      <c r="M9" s="29">
        <v>15500.0</v>
      </c>
      <c r="N9" s="4"/>
      <c r="O9" s="4"/>
      <c r="P9" s="4"/>
      <c r="Q9" s="4"/>
      <c r="R9" s="4"/>
      <c r="S9" s="4"/>
      <c r="T9" s="4"/>
      <c r="U9" s="30">
        <v>90.0</v>
      </c>
      <c r="V9" s="2"/>
      <c r="W9" s="31">
        <v>0.2</v>
      </c>
      <c r="X9" s="31">
        <v>0.2</v>
      </c>
      <c r="Y9" s="31">
        <v>0.4</v>
      </c>
      <c r="Z9" s="2"/>
      <c r="AA9" s="4"/>
      <c r="AB9" s="4"/>
      <c r="AC9" s="4"/>
      <c r="AD9" s="2"/>
      <c r="AE9" s="2"/>
      <c r="AF9" s="2"/>
      <c r="AG9" s="2"/>
      <c r="AH9" s="2"/>
      <c r="AI9" s="5"/>
      <c r="AJ9" s="2"/>
      <c r="AK9" s="2"/>
      <c r="AL9" s="2"/>
      <c r="AM9" s="2"/>
      <c r="AN9" s="2"/>
      <c r="AO9" s="2"/>
      <c r="AP9" s="5"/>
      <c r="AQ9" s="5"/>
    </row>
    <row r="10">
      <c r="A10" s="2"/>
      <c r="B10" s="5"/>
      <c r="C10" s="2"/>
      <c r="D10" s="3" t="s">
        <v>23</v>
      </c>
      <c r="E10" s="2"/>
      <c r="F10" s="26">
        <v>91.0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0">
        <v>120.0</v>
      </c>
      <c r="V10" s="2"/>
      <c r="W10" s="31">
        <v>0.15</v>
      </c>
      <c r="X10" s="31">
        <v>0.3</v>
      </c>
      <c r="Y10" s="31">
        <v>0.2</v>
      </c>
      <c r="Z10" s="2"/>
      <c r="AA10" s="4"/>
      <c r="AB10" s="4"/>
      <c r="AC10" s="4"/>
      <c r="AD10" s="2"/>
      <c r="AE10" s="2"/>
      <c r="AF10" s="2"/>
      <c r="AG10" s="2"/>
      <c r="AH10" s="2"/>
      <c r="AI10" s="5"/>
      <c r="AJ10" s="2"/>
      <c r="AK10" s="2"/>
      <c r="AL10" s="2"/>
      <c r="AM10" s="2"/>
      <c r="AN10" s="2"/>
      <c r="AO10" s="2"/>
      <c r="AP10" s="5"/>
      <c r="AQ10" s="5"/>
    </row>
    <row r="11" ht="6.0" customHeight="1">
      <c r="A11" s="2"/>
      <c r="B11" s="5"/>
      <c r="C11" s="2"/>
      <c r="D11" s="2"/>
      <c r="E11" s="2"/>
      <c r="F11" s="2"/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2"/>
      <c r="W11" s="4"/>
      <c r="X11" s="4"/>
      <c r="Y11" s="4"/>
      <c r="Z11" s="2"/>
      <c r="AA11" s="4"/>
      <c r="AB11" s="4"/>
      <c r="AC11" s="4"/>
      <c r="AD11" s="2"/>
      <c r="AE11" s="2"/>
      <c r="AF11" s="2"/>
      <c r="AG11" s="2"/>
      <c r="AH11" s="2"/>
      <c r="AI11" s="5"/>
      <c r="AJ11" s="2"/>
      <c r="AK11" s="2"/>
      <c r="AL11" s="2"/>
      <c r="AM11" s="2"/>
      <c r="AN11" s="2"/>
      <c r="AO11" s="2"/>
      <c r="AP11" s="5"/>
      <c r="AQ11" s="5"/>
    </row>
    <row r="12">
      <c r="A12" s="2"/>
      <c r="B12" s="5"/>
      <c r="C12" s="2"/>
      <c r="D12" s="2"/>
      <c r="E12" s="2"/>
      <c r="F12" s="2"/>
      <c r="G12" s="2"/>
      <c r="H12" s="32" t="s">
        <v>24</v>
      </c>
      <c r="I12" s="33"/>
      <c r="J12" s="34">
        <f t="shared" ref="J12:U12" si="1">J54</f>
        <v>64585.8</v>
      </c>
      <c r="K12" s="34">
        <f t="shared" si="1"/>
        <v>23379.6</v>
      </c>
      <c r="L12" s="34">
        <f t="shared" si="1"/>
        <v>56586.6</v>
      </c>
      <c r="M12" s="34">
        <f t="shared" si="1"/>
        <v>33959.4</v>
      </c>
      <c r="N12" s="34">
        <f t="shared" si="1"/>
        <v>47503.8</v>
      </c>
      <c r="O12" s="34">
        <f t="shared" si="1"/>
        <v>60406.2</v>
      </c>
      <c r="P12" s="34">
        <f t="shared" si="1"/>
        <v>17821.8</v>
      </c>
      <c r="Q12" s="34">
        <f t="shared" si="1"/>
        <v>17206.2</v>
      </c>
      <c r="R12" s="34">
        <f t="shared" si="1"/>
        <v>47119.2</v>
      </c>
      <c r="S12" s="34">
        <f t="shared" si="1"/>
        <v>17749.8</v>
      </c>
      <c r="T12" s="34">
        <f t="shared" si="1"/>
        <v>21619.8</v>
      </c>
      <c r="U12" s="35">
        <f t="shared" si="1"/>
        <v>8024.4</v>
      </c>
      <c r="V12" s="2"/>
      <c r="W12" s="36">
        <f t="shared" ref="W12:Y12" si="2">100%-sum(W7:W10)</f>
        <v>0</v>
      </c>
      <c r="X12" s="36">
        <f t="shared" si="2"/>
        <v>0</v>
      </c>
      <c r="Y12" s="36">
        <f t="shared" si="2"/>
        <v>0</v>
      </c>
      <c r="Z12" s="4"/>
      <c r="AA12" s="4"/>
      <c r="AB12" s="4"/>
      <c r="AC12" s="4"/>
      <c r="AD12" s="2"/>
      <c r="AE12" s="2"/>
      <c r="AF12" s="2"/>
      <c r="AG12" s="2"/>
      <c r="AH12" s="2"/>
      <c r="AI12" s="5"/>
      <c r="AJ12" s="2"/>
      <c r="AK12" s="2"/>
      <c r="AL12" s="2"/>
      <c r="AM12" s="2"/>
      <c r="AN12" s="2"/>
      <c r="AO12" s="2"/>
      <c r="AP12" s="5"/>
      <c r="AQ12" s="5"/>
    </row>
    <row r="13">
      <c r="A13" s="2"/>
      <c r="B13" s="5"/>
      <c r="C13" s="2"/>
      <c r="D13" s="3" t="s">
        <v>25</v>
      </c>
      <c r="E13" s="2"/>
      <c r="F13" s="37">
        <v>9.0</v>
      </c>
      <c r="G13" s="2"/>
      <c r="H13" s="38" t="s">
        <v>26</v>
      </c>
      <c r="I13" s="2"/>
      <c r="J13" s="39">
        <f t="shared" ref="J13:U13" si="3">J75</f>
        <v>0</v>
      </c>
      <c r="K13" s="39">
        <f t="shared" si="3"/>
        <v>0</v>
      </c>
      <c r="L13" s="39">
        <f t="shared" si="3"/>
        <v>0</v>
      </c>
      <c r="M13" s="39">
        <f t="shared" si="3"/>
        <v>44798.62453</v>
      </c>
      <c r="N13" s="39">
        <f t="shared" si="3"/>
        <v>16216.78329</v>
      </c>
      <c r="O13" s="39">
        <f t="shared" si="3"/>
        <v>39250.1424</v>
      </c>
      <c r="P13" s="39">
        <f t="shared" si="3"/>
        <v>23555.24604</v>
      </c>
      <c r="Q13" s="39">
        <f t="shared" si="3"/>
        <v>32950.0432</v>
      </c>
      <c r="R13" s="39">
        <f t="shared" si="3"/>
        <v>41899.53013</v>
      </c>
      <c r="S13" s="39">
        <f t="shared" si="3"/>
        <v>12361.72853</v>
      </c>
      <c r="T13" s="39">
        <f t="shared" si="3"/>
        <v>11934.73013</v>
      </c>
      <c r="U13" s="40">
        <f t="shared" si="3"/>
        <v>32683.27324</v>
      </c>
      <c r="V13" s="2"/>
      <c r="W13" s="16" t="s">
        <v>27</v>
      </c>
      <c r="X13" s="41" t="s">
        <v>27</v>
      </c>
      <c r="Y13" s="41" t="s">
        <v>27</v>
      </c>
      <c r="Z13" s="42"/>
      <c r="AA13" s="43" t="str">
        <f>U4</f>
        <v>Stock Turn Days</v>
      </c>
      <c r="AB13" s="4"/>
      <c r="AC13" s="4"/>
      <c r="AD13" s="2"/>
      <c r="AE13" s="2"/>
      <c r="AF13" s="2"/>
      <c r="AG13" s="2"/>
      <c r="AH13" s="2"/>
      <c r="AI13" s="5"/>
      <c r="AJ13" s="2"/>
      <c r="AK13" s="2"/>
      <c r="AL13" s="2"/>
      <c r="AM13" s="2"/>
      <c r="AN13" s="2"/>
      <c r="AO13" s="2"/>
      <c r="AP13" s="5"/>
      <c r="AQ13" s="5"/>
    </row>
    <row r="14" ht="6.0" customHeight="1">
      <c r="A14" s="2"/>
      <c r="B14" s="5"/>
      <c r="C14" s="2"/>
      <c r="D14" s="2"/>
      <c r="E14" s="2"/>
      <c r="F14" s="2"/>
      <c r="G14" s="2"/>
      <c r="H14" s="44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5"/>
      <c r="V14" s="2"/>
      <c r="W14" s="46"/>
      <c r="X14" s="4"/>
      <c r="Y14" s="4"/>
      <c r="Z14" s="4"/>
      <c r="AA14" s="47"/>
      <c r="AB14" s="4"/>
      <c r="AC14" s="4"/>
      <c r="AD14" s="2"/>
      <c r="AE14" s="2"/>
      <c r="AF14" s="2"/>
      <c r="AG14" s="2"/>
      <c r="AH14" s="2"/>
      <c r="AI14" s="5"/>
      <c r="AJ14" s="2"/>
      <c r="AK14" s="2"/>
      <c r="AL14" s="2"/>
      <c r="AM14" s="2"/>
      <c r="AN14" s="2"/>
      <c r="AO14" s="2"/>
      <c r="AP14" s="5"/>
      <c r="AQ14" s="5"/>
    </row>
    <row r="15" ht="15.0" customHeight="1">
      <c r="A15" s="2"/>
      <c r="B15" s="5"/>
      <c r="C15" s="2"/>
      <c r="D15" s="2"/>
      <c r="E15" s="2"/>
      <c r="F15" s="2"/>
      <c r="G15" s="2"/>
      <c r="H15" s="48" t="s">
        <v>28</v>
      </c>
      <c r="I15" s="49"/>
      <c r="J15" s="50">
        <f t="shared" ref="J15:U15" si="4">sum(J12:J13)</f>
        <v>64585.8</v>
      </c>
      <c r="K15" s="50">
        <f t="shared" si="4"/>
        <v>23379.6</v>
      </c>
      <c r="L15" s="50">
        <f t="shared" si="4"/>
        <v>56586.6</v>
      </c>
      <c r="M15" s="50">
        <f t="shared" si="4"/>
        <v>78758.02453</v>
      </c>
      <c r="N15" s="50">
        <f t="shared" si="4"/>
        <v>63720.58329</v>
      </c>
      <c r="O15" s="50">
        <f t="shared" si="4"/>
        <v>99656.3424</v>
      </c>
      <c r="P15" s="50">
        <f t="shared" si="4"/>
        <v>41377.04604</v>
      </c>
      <c r="Q15" s="50">
        <f t="shared" si="4"/>
        <v>50156.2432</v>
      </c>
      <c r="R15" s="50">
        <f t="shared" si="4"/>
        <v>89018.73013</v>
      </c>
      <c r="S15" s="50">
        <f t="shared" si="4"/>
        <v>30111.52853</v>
      </c>
      <c r="T15" s="50">
        <f t="shared" si="4"/>
        <v>33554.53013</v>
      </c>
      <c r="U15" s="51">
        <f t="shared" si="4"/>
        <v>40707.67324</v>
      </c>
      <c r="V15" s="2"/>
      <c r="W15" s="52">
        <f>U8</f>
        <v>60</v>
      </c>
      <c r="X15" s="53">
        <f>U9</f>
        <v>90</v>
      </c>
      <c r="Y15" s="53">
        <f>U10</f>
        <v>120</v>
      </c>
      <c r="Z15" s="53"/>
      <c r="AA15" s="54"/>
      <c r="AB15" s="4"/>
      <c r="AC15" s="4"/>
      <c r="AD15" s="2"/>
      <c r="AE15" s="2"/>
      <c r="AF15" s="2"/>
      <c r="AG15" s="2"/>
      <c r="AH15" s="2"/>
      <c r="AI15" s="5"/>
      <c r="AJ15" s="2"/>
      <c r="AK15" s="2"/>
      <c r="AL15" s="2"/>
      <c r="AM15" s="2"/>
      <c r="AN15" s="2"/>
      <c r="AO15" s="2"/>
      <c r="AP15" s="5"/>
      <c r="AQ15" s="5"/>
    </row>
    <row r="16" ht="6.75" customHeight="1">
      <c r="A16" s="2"/>
      <c r="B16" s="5"/>
      <c r="C16" s="2"/>
      <c r="D16" s="2"/>
      <c r="E16" s="2"/>
      <c r="F16" s="2"/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"/>
      <c r="W16" s="4"/>
      <c r="X16" s="4"/>
      <c r="Y16" s="4"/>
      <c r="Z16" s="2"/>
      <c r="AA16" s="4"/>
      <c r="AB16" s="4"/>
      <c r="AC16" s="4"/>
      <c r="AD16" s="2"/>
      <c r="AE16" s="2"/>
      <c r="AF16" s="2"/>
      <c r="AG16" s="2"/>
      <c r="AH16" s="2"/>
      <c r="AI16" s="5"/>
      <c r="AJ16" s="2"/>
      <c r="AK16" s="2"/>
      <c r="AL16" s="2"/>
      <c r="AM16" s="2"/>
      <c r="AN16" s="2"/>
      <c r="AO16" s="2"/>
      <c r="AP16" s="5"/>
      <c r="AQ16" s="5"/>
    </row>
    <row r="17">
      <c r="A17" s="2"/>
      <c r="B17" s="5"/>
      <c r="C17" s="2"/>
      <c r="D17" s="55"/>
      <c r="E17" s="2"/>
      <c r="F17" s="55"/>
      <c r="G17" s="56"/>
      <c r="H17" s="57" t="s">
        <v>29</v>
      </c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3"/>
      <c r="W17" s="12"/>
      <c r="X17" s="12"/>
      <c r="Y17" s="12"/>
      <c r="Z17" s="2"/>
      <c r="AA17" s="12"/>
      <c r="AB17" s="12"/>
      <c r="AC17" s="12"/>
      <c r="AD17" s="2"/>
      <c r="AE17" s="2"/>
      <c r="AF17" s="2"/>
      <c r="AG17" s="2"/>
      <c r="AH17" s="2"/>
      <c r="AI17" s="5"/>
      <c r="AJ17" s="2"/>
      <c r="AK17" s="2"/>
      <c r="AL17" s="2"/>
      <c r="AM17" s="2"/>
      <c r="AN17" s="2"/>
      <c r="AO17" s="2"/>
      <c r="AP17" s="5"/>
      <c r="AQ17" s="5"/>
    </row>
    <row r="18" ht="6.0" customHeight="1">
      <c r="A18" s="2"/>
      <c r="B18" s="5"/>
      <c r="C18" s="2"/>
      <c r="D18" s="55"/>
      <c r="E18" s="2"/>
      <c r="F18" s="55"/>
      <c r="G18" s="56"/>
      <c r="H18" s="12"/>
      <c r="I18" s="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3"/>
      <c r="W18" s="12"/>
      <c r="X18" s="12"/>
      <c r="Y18" s="12"/>
      <c r="Z18" s="2"/>
      <c r="AA18" s="12"/>
      <c r="AB18" s="12"/>
      <c r="AC18" s="12"/>
      <c r="AD18" s="2"/>
      <c r="AE18" s="2"/>
      <c r="AF18" s="2"/>
      <c r="AG18" s="2"/>
      <c r="AH18" s="2"/>
      <c r="AI18" s="5"/>
      <c r="AJ18" s="2"/>
      <c r="AK18" s="2"/>
      <c r="AL18" s="2"/>
      <c r="AM18" s="2"/>
      <c r="AN18" s="2"/>
      <c r="AO18" s="2"/>
      <c r="AP18" s="5"/>
      <c r="AQ18" s="5"/>
    </row>
    <row r="19">
      <c r="A19" s="2"/>
      <c r="B19" s="5"/>
      <c r="C19" s="2"/>
      <c r="D19" s="55" t="s">
        <v>30</v>
      </c>
      <c r="E19" s="2"/>
      <c r="F19" s="55" t="s">
        <v>31</v>
      </c>
      <c r="G19" s="56"/>
      <c r="H19" s="12" t="s">
        <v>32</v>
      </c>
      <c r="I19" s="2"/>
      <c r="J19" s="30" t="str">
        <f>'Supplier 1 Inputs'!J19</f>
        <v>Jan</v>
      </c>
      <c r="K19" s="30" t="str">
        <f>'Supplier 1 Inputs'!K19</f>
        <v>Feb</v>
      </c>
      <c r="L19" s="30" t="str">
        <f>'Supplier 1 Inputs'!L19</f>
        <v>Mar</v>
      </c>
      <c r="M19" s="30" t="str">
        <f>'Supplier 1 Inputs'!M19</f>
        <v>Apr</v>
      </c>
      <c r="N19" s="30" t="str">
        <f>'Supplier 1 Inputs'!N19</f>
        <v>May</v>
      </c>
      <c r="O19" s="30" t="str">
        <f>'Supplier 1 Inputs'!O19</f>
        <v>Jun</v>
      </c>
      <c r="P19" s="30" t="str">
        <f>'Supplier 1 Inputs'!P19</f>
        <v>Jul</v>
      </c>
      <c r="Q19" s="30" t="str">
        <f>'Supplier 1 Inputs'!Q19</f>
        <v>Aug</v>
      </c>
      <c r="R19" s="30" t="str">
        <f>'Supplier 1 Inputs'!R19</f>
        <v>Sep</v>
      </c>
      <c r="S19" s="30" t="str">
        <f>'Supplier 1 Inputs'!S19</f>
        <v>Oct</v>
      </c>
      <c r="T19" s="30" t="str">
        <f>'Supplier 1 Inputs'!T19</f>
        <v>Nov</v>
      </c>
      <c r="U19" s="30" t="str">
        <f>'Supplier 1 Inputs'!U19</f>
        <v>Dec</v>
      </c>
      <c r="V19" s="3"/>
      <c r="W19" s="59" t="s">
        <v>45</v>
      </c>
      <c r="X19" s="60" t="s">
        <v>46</v>
      </c>
      <c r="Y19" s="61" t="s">
        <v>47</v>
      </c>
      <c r="Z19" s="2"/>
      <c r="AA19" s="12" t="s">
        <v>48</v>
      </c>
      <c r="AB19" s="12" t="s">
        <v>49</v>
      </c>
      <c r="AC19" s="12" t="s">
        <v>50</v>
      </c>
      <c r="AD19" s="2"/>
      <c r="AE19" s="2"/>
      <c r="AF19" s="2"/>
      <c r="AG19" s="2"/>
      <c r="AH19" s="2"/>
      <c r="AI19" s="5"/>
      <c r="AJ19" s="2"/>
      <c r="AK19" s="2"/>
      <c r="AL19" s="2"/>
      <c r="AM19" s="2"/>
      <c r="AN19" s="2"/>
      <c r="AO19" s="2"/>
      <c r="AP19" s="5"/>
      <c r="AQ19" s="5"/>
    </row>
    <row r="20" ht="6.0" customHeight="1">
      <c r="A20" s="2"/>
      <c r="B20" s="5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"/>
      <c r="W20" s="4"/>
      <c r="X20" s="4"/>
      <c r="Y20" s="4"/>
      <c r="Z20" s="2"/>
      <c r="AA20" s="4"/>
      <c r="AB20" s="4"/>
      <c r="AC20" s="4"/>
      <c r="AD20" s="2"/>
      <c r="AE20" s="2"/>
      <c r="AF20" s="2"/>
      <c r="AG20" s="2"/>
      <c r="AH20" s="2"/>
      <c r="AI20" s="5"/>
      <c r="AJ20" s="2"/>
      <c r="AK20" s="2"/>
      <c r="AL20" s="2"/>
      <c r="AM20" s="2"/>
      <c r="AN20" s="2"/>
      <c r="AO20" s="2"/>
      <c r="AP20" s="5"/>
      <c r="AQ20" s="5"/>
    </row>
    <row r="21">
      <c r="A21" s="2"/>
      <c r="B21" s="5"/>
      <c r="C21" s="2"/>
      <c r="D21" s="26" t="s">
        <v>51</v>
      </c>
      <c r="E21" s="2"/>
      <c r="F21" s="62">
        <v>145.0</v>
      </c>
      <c r="G21" s="2"/>
      <c r="H21" s="26" t="s">
        <v>8</v>
      </c>
      <c r="I21" s="2"/>
      <c r="J21" s="63">
        <v>34.0</v>
      </c>
      <c r="K21" s="63">
        <v>12.0</v>
      </c>
      <c r="L21" s="63">
        <v>35.0</v>
      </c>
      <c r="M21" s="63">
        <v>24.0</v>
      </c>
      <c r="N21" s="63">
        <v>12.0</v>
      </c>
      <c r="O21" s="63">
        <v>46.0</v>
      </c>
      <c r="P21" s="63">
        <v>14.0</v>
      </c>
      <c r="Q21" s="63">
        <v>12.0</v>
      </c>
      <c r="R21" s="63">
        <v>36.0</v>
      </c>
      <c r="S21" s="63">
        <v>4.0</v>
      </c>
      <c r="T21" s="63">
        <v>2.0</v>
      </c>
      <c r="U21" s="63">
        <v>16.0</v>
      </c>
      <c r="V21" s="2"/>
      <c r="W21" s="64">
        <v>1.85</v>
      </c>
      <c r="X21" s="64">
        <v>1.52</v>
      </c>
      <c r="Y21" s="64">
        <v>1.22</v>
      </c>
      <c r="Z21" s="2"/>
      <c r="AA21" s="39">
        <f t="shared" ref="AA21:AA40" si="5">(F21*W21)+F21</f>
        <v>413.25</v>
      </c>
      <c r="AB21" s="39">
        <f t="shared" ref="AB21:AB40" si="6">(F21*X21)+F21</f>
        <v>365.4</v>
      </c>
      <c r="AC21" s="39">
        <f t="shared" ref="AC21:AC40" si="7">(F21*Y21)+F21</f>
        <v>321.9</v>
      </c>
      <c r="AD21" s="2"/>
      <c r="AE21" s="2"/>
      <c r="AF21" s="2"/>
      <c r="AG21" s="2"/>
      <c r="AH21" s="2"/>
      <c r="AI21" s="5"/>
      <c r="AJ21" s="2"/>
      <c r="AK21" s="2"/>
      <c r="AL21" s="2"/>
      <c r="AM21" s="2"/>
      <c r="AN21" s="2"/>
      <c r="AO21" s="2"/>
      <c r="AP21" s="5"/>
      <c r="AQ21" s="5"/>
    </row>
    <row r="22">
      <c r="A22" s="2"/>
      <c r="B22" s="5"/>
      <c r="C22" s="2"/>
      <c r="D22" s="26" t="s">
        <v>52</v>
      </c>
      <c r="E22" s="2"/>
      <c r="F22" s="62">
        <v>146.0</v>
      </c>
      <c r="G22" s="2"/>
      <c r="H22" s="26" t="s">
        <v>9</v>
      </c>
      <c r="I22" s="2"/>
      <c r="J22" s="63">
        <v>33.0</v>
      </c>
      <c r="K22" s="63">
        <v>14.0</v>
      </c>
      <c r="L22" s="63">
        <v>35.0</v>
      </c>
      <c r="M22" s="63">
        <v>23.0</v>
      </c>
      <c r="N22" s="63">
        <v>14.0</v>
      </c>
      <c r="O22" s="63">
        <v>45.0</v>
      </c>
      <c r="P22" s="63">
        <v>13.0</v>
      </c>
      <c r="Q22" s="63"/>
      <c r="R22" s="63">
        <v>25.0</v>
      </c>
      <c r="S22" s="63">
        <v>3.0</v>
      </c>
      <c r="T22" s="63"/>
      <c r="U22" s="63">
        <v>15.0</v>
      </c>
      <c r="V22" s="2"/>
      <c r="W22" s="64">
        <v>1.85</v>
      </c>
      <c r="X22" s="64">
        <v>1.52</v>
      </c>
      <c r="Y22" s="64">
        <v>1.22</v>
      </c>
      <c r="Z22" s="2"/>
      <c r="AA22" s="39">
        <f t="shared" si="5"/>
        <v>416.1</v>
      </c>
      <c r="AB22" s="39">
        <f t="shared" si="6"/>
        <v>367.92</v>
      </c>
      <c r="AC22" s="39">
        <f t="shared" si="7"/>
        <v>324.12</v>
      </c>
      <c r="AD22" s="2"/>
      <c r="AE22" s="2"/>
      <c r="AF22" s="2"/>
      <c r="AG22" s="2"/>
      <c r="AH22" s="2"/>
      <c r="AI22" s="5"/>
      <c r="AJ22" s="2"/>
      <c r="AK22" s="2"/>
      <c r="AL22" s="2"/>
      <c r="AM22" s="2"/>
      <c r="AN22" s="2"/>
      <c r="AO22" s="2"/>
      <c r="AP22" s="5"/>
      <c r="AQ22" s="5"/>
    </row>
    <row r="23">
      <c r="A23" s="2"/>
      <c r="B23" s="5"/>
      <c r="C23" s="2"/>
      <c r="D23" s="26" t="s">
        <v>53</v>
      </c>
      <c r="E23" s="2"/>
      <c r="F23" s="62">
        <v>147.0</v>
      </c>
      <c r="G23" s="2"/>
      <c r="H23" s="26" t="s">
        <v>10</v>
      </c>
      <c r="I23" s="2"/>
      <c r="J23" s="63">
        <v>35.0</v>
      </c>
      <c r="K23" s="63"/>
      <c r="L23" s="63">
        <v>34.0</v>
      </c>
      <c r="M23" s="63"/>
      <c r="N23" s="63">
        <v>16.0</v>
      </c>
      <c r="O23" s="63">
        <v>44.0</v>
      </c>
      <c r="P23" s="63">
        <v>15.0</v>
      </c>
      <c r="Q23" s="63"/>
      <c r="R23" s="63"/>
      <c r="S23" s="63">
        <v>5.0</v>
      </c>
      <c r="T23" s="63"/>
      <c r="U23" s="63"/>
      <c r="V23" s="2"/>
      <c r="W23" s="64">
        <v>1.85</v>
      </c>
      <c r="X23" s="64">
        <v>1.52</v>
      </c>
      <c r="Y23" s="64">
        <v>1.22</v>
      </c>
      <c r="Z23" s="2"/>
      <c r="AA23" s="39">
        <f t="shared" si="5"/>
        <v>418.95</v>
      </c>
      <c r="AB23" s="39">
        <f t="shared" si="6"/>
        <v>370.44</v>
      </c>
      <c r="AC23" s="39">
        <f t="shared" si="7"/>
        <v>326.34</v>
      </c>
      <c r="AD23" s="2"/>
      <c r="AE23" s="2"/>
      <c r="AF23" s="2"/>
      <c r="AG23" s="2"/>
      <c r="AH23" s="2"/>
      <c r="AI23" s="5"/>
      <c r="AJ23" s="2"/>
      <c r="AK23" s="2"/>
      <c r="AL23" s="2"/>
      <c r="AM23" s="2"/>
      <c r="AN23" s="2"/>
      <c r="AO23" s="2"/>
      <c r="AP23" s="5"/>
      <c r="AQ23" s="5"/>
    </row>
    <row r="24">
      <c r="A24" s="2"/>
      <c r="B24" s="5"/>
      <c r="C24" s="2"/>
      <c r="D24" s="26" t="s">
        <v>54</v>
      </c>
      <c r="E24" s="2"/>
      <c r="F24" s="62">
        <v>148.0</v>
      </c>
      <c r="G24" s="2"/>
      <c r="H24" s="26" t="s">
        <v>9</v>
      </c>
      <c r="I24" s="2"/>
      <c r="J24" s="63">
        <v>38.0</v>
      </c>
      <c r="K24" s="63"/>
      <c r="L24" s="63">
        <v>39.0</v>
      </c>
      <c r="M24" s="63"/>
      <c r="N24" s="63">
        <v>18.0</v>
      </c>
      <c r="O24" s="63">
        <v>49.0</v>
      </c>
      <c r="P24" s="63"/>
      <c r="Q24" s="63"/>
      <c r="R24" s="63"/>
      <c r="S24" s="63">
        <v>8.0</v>
      </c>
      <c r="T24" s="63">
        <v>18.0</v>
      </c>
      <c r="U24" s="63"/>
      <c r="V24" s="2"/>
      <c r="W24" s="64">
        <v>1.85</v>
      </c>
      <c r="X24" s="64">
        <v>1.52</v>
      </c>
      <c r="Y24" s="64">
        <v>1.22</v>
      </c>
      <c r="Z24" s="2"/>
      <c r="AA24" s="39">
        <f t="shared" si="5"/>
        <v>421.8</v>
      </c>
      <c r="AB24" s="39">
        <f t="shared" si="6"/>
        <v>372.96</v>
      </c>
      <c r="AC24" s="39">
        <f t="shared" si="7"/>
        <v>328.56</v>
      </c>
      <c r="AD24" s="2"/>
      <c r="AE24" s="2"/>
      <c r="AF24" s="2"/>
      <c r="AG24" s="2"/>
      <c r="AH24" s="2"/>
      <c r="AI24" s="5"/>
      <c r="AJ24" s="2"/>
      <c r="AK24" s="2"/>
      <c r="AL24" s="2"/>
      <c r="AM24" s="2"/>
      <c r="AN24" s="2"/>
      <c r="AO24" s="2"/>
      <c r="AP24" s="5"/>
      <c r="AQ24" s="5"/>
    </row>
    <row r="25">
      <c r="A25" s="2"/>
      <c r="B25" s="5"/>
      <c r="C25" s="2"/>
      <c r="D25" s="26" t="s">
        <v>55</v>
      </c>
      <c r="E25" s="2"/>
      <c r="F25" s="62">
        <v>149.0</v>
      </c>
      <c r="G25" s="2"/>
      <c r="H25" s="26" t="s">
        <v>8</v>
      </c>
      <c r="I25" s="2"/>
      <c r="J25" s="63">
        <v>36.0</v>
      </c>
      <c r="K25" s="63"/>
      <c r="L25" s="63">
        <v>38.0</v>
      </c>
      <c r="M25" s="63">
        <v>26.0</v>
      </c>
      <c r="N25" s="63">
        <v>11.0</v>
      </c>
      <c r="O25" s="63">
        <v>48.0</v>
      </c>
      <c r="P25" s="63"/>
      <c r="Q25" s="63">
        <v>11.0</v>
      </c>
      <c r="R25" s="63">
        <v>28.0</v>
      </c>
      <c r="S25" s="63">
        <v>6.0</v>
      </c>
      <c r="T25" s="63">
        <v>17.0</v>
      </c>
      <c r="U25" s="63"/>
      <c r="V25" s="2"/>
      <c r="W25" s="64">
        <v>1.85</v>
      </c>
      <c r="X25" s="64">
        <v>1.52</v>
      </c>
      <c r="Y25" s="64">
        <v>1.22</v>
      </c>
      <c r="Z25" s="2"/>
      <c r="AA25" s="39">
        <f t="shared" si="5"/>
        <v>424.65</v>
      </c>
      <c r="AB25" s="39">
        <f t="shared" si="6"/>
        <v>375.48</v>
      </c>
      <c r="AC25" s="39">
        <f t="shared" si="7"/>
        <v>330.78</v>
      </c>
      <c r="AD25" s="2"/>
      <c r="AE25" s="2"/>
      <c r="AF25" s="2"/>
      <c r="AG25" s="2"/>
      <c r="AH25" s="2"/>
      <c r="AI25" s="5"/>
      <c r="AJ25" s="2"/>
      <c r="AK25" s="2"/>
      <c r="AL25" s="2"/>
      <c r="AM25" s="2"/>
      <c r="AN25" s="2"/>
      <c r="AO25" s="2"/>
      <c r="AP25" s="5"/>
      <c r="AQ25" s="5"/>
    </row>
    <row r="26">
      <c r="A26" s="2"/>
      <c r="B26" s="5"/>
      <c r="C26" s="2"/>
      <c r="D26" s="26" t="s">
        <v>56</v>
      </c>
      <c r="E26" s="2"/>
      <c r="F26" s="62">
        <v>150.0</v>
      </c>
      <c r="G26" s="2"/>
      <c r="H26" s="26" t="s">
        <v>10</v>
      </c>
      <c r="I26" s="2"/>
      <c r="J26" s="63">
        <v>35.0</v>
      </c>
      <c r="K26" s="63">
        <v>13.0</v>
      </c>
      <c r="L26" s="63"/>
      <c r="M26" s="63">
        <v>25.0</v>
      </c>
      <c r="N26" s="63"/>
      <c r="O26" s="63">
        <v>47.0</v>
      </c>
      <c r="P26" s="63"/>
      <c r="Q26" s="63">
        <v>13.0</v>
      </c>
      <c r="R26" s="63">
        <v>37.0</v>
      </c>
      <c r="S26" s="63"/>
      <c r="T26" s="63">
        <v>13.0</v>
      </c>
      <c r="U26" s="63">
        <v>17.0</v>
      </c>
      <c r="V26" s="2"/>
      <c r="W26" s="64">
        <v>1.85</v>
      </c>
      <c r="X26" s="64">
        <v>1.52</v>
      </c>
      <c r="Y26" s="64">
        <v>1.22</v>
      </c>
      <c r="Z26" s="2"/>
      <c r="AA26" s="39">
        <f t="shared" si="5"/>
        <v>427.5</v>
      </c>
      <c r="AB26" s="39">
        <f t="shared" si="6"/>
        <v>378</v>
      </c>
      <c r="AC26" s="39">
        <f t="shared" si="7"/>
        <v>333</v>
      </c>
      <c r="AD26" s="2"/>
      <c r="AE26" s="2"/>
      <c r="AF26" s="2"/>
      <c r="AG26" s="2"/>
      <c r="AH26" s="2"/>
      <c r="AI26" s="5"/>
      <c r="AJ26" s="2"/>
      <c r="AK26" s="2"/>
      <c r="AL26" s="2"/>
      <c r="AM26" s="2"/>
      <c r="AN26" s="2"/>
      <c r="AO26" s="2"/>
      <c r="AP26" s="5"/>
      <c r="AQ26" s="5"/>
    </row>
    <row r="27">
      <c r="A27" s="2"/>
      <c r="B27" s="5"/>
      <c r="C27" s="2"/>
      <c r="D27" s="26" t="s">
        <v>57</v>
      </c>
      <c r="E27" s="2"/>
      <c r="F27" s="62">
        <v>151.0</v>
      </c>
      <c r="G27" s="2"/>
      <c r="H27" s="26" t="s">
        <v>8</v>
      </c>
      <c r="I27" s="2"/>
      <c r="J27" s="63">
        <v>34.0</v>
      </c>
      <c r="K27" s="63">
        <v>15.0</v>
      </c>
      <c r="L27" s="63"/>
      <c r="M27" s="63">
        <v>24.0</v>
      </c>
      <c r="N27" s="63"/>
      <c r="O27" s="63"/>
      <c r="P27" s="63"/>
      <c r="Q27" s="63">
        <v>15.0</v>
      </c>
      <c r="R27" s="63">
        <v>33.0</v>
      </c>
      <c r="S27" s="63"/>
      <c r="T27" s="63">
        <v>15.0</v>
      </c>
      <c r="U27" s="63">
        <v>3.0</v>
      </c>
      <c r="V27" s="2"/>
      <c r="W27" s="64">
        <v>1.85</v>
      </c>
      <c r="X27" s="64">
        <v>1.52</v>
      </c>
      <c r="Y27" s="64">
        <v>1.22</v>
      </c>
      <c r="Z27" s="2"/>
      <c r="AA27" s="39">
        <f t="shared" si="5"/>
        <v>430.35</v>
      </c>
      <c r="AB27" s="39">
        <f t="shared" si="6"/>
        <v>380.52</v>
      </c>
      <c r="AC27" s="39">
        <f t="shared" si="7"/>
        <v>335.22</v>
      </c>
      <c r="AD27" s="2"/>
      <c r="AE27" s="2"/>
      <c r="AF27" s="2"/>
      <c r="AG27" s="2"/>
      <c r="AH27" s="2"/>
      <c r="AI27" s="5"/>
      <c r="AJ27" s="2"/>
      <c r="AK27" s="2"/>
      <c r="AL27" s="2"/>
      <c r="AM27" s="2"/>
      <c r="AN27" s="2"/>
      <c r="AO27" s="2"/>
      <c r="AP27" s="5"/>
      <c r="AQ27" s="5"/>
    </row>
    <row r="28">
      <c r="A28" s="2"/>
      <c r="B28" s="5"/>
      <c r="C28" s="2"/>
      <c r="D28" s="26" t="s">
        <v>58</v>
      </c>
      <c r="E28" s="2"/>
      <c r="F28" s="62">
        <v>152.0</v>
      </c>
      <c r="G28" s="2"/>
      <c r="H28" s="26" t="s">
        <v>8</v>
      </c>
      <c r="I28" s="2"/>
      <c r="J28" s="63">
        <v>37.0</v>
      </c>
      <c r="K28" s="63">
        <v>17.0</v>
      </c>
      <c r="L28" s="63"/>
      <c r="M28" s="63">
        <v>27.0</v>
      </c>
      <c r="N28" s="63">
        <v>37.0</v>
      </c>
      <c r="O28" s="63"/>
      <c r="P28" s="63"/>
      <c r="Q28" s="63">
        <v>17.0</v>
      </c>
      <c r="R28" s="63"/>
      <c r="S28" s="63">
        <v>27.0</v>
      </c>
      <c r="T28" s="63">
        <v>17.0</v>
      </c>
      <c r="U28" s="63">
        <v>5.0</v>
      </c>
      <c r="V28" s="2"/>
      <c r="W28" s="64">
        <v>1.85</v>
      </c>
      <c r="X28" s="64">
        <v>1.52</v>
      </c>
      <c r="Y28" s="64">
        <v>1.22</v>
      </c>
      <c r="Z28" s="2"/>
      <c r="AA28" s="39">
        <f t="shared" si="5"/>
        <v>433.2</v>
      </c>
      <c r="AB28" s="39">
        <f t="shared" si="6"/>
        <v>383.04</v>
      </c>
      <c r="AC28" s="39">
        <f t="shared" si="7"/>
        <v>337.44</v>
      </c>
      <c r="AD28" s="2"/>
      <c r="AE28" s="2"/>
      <c r="AF28" s="2"/>
      <c r="AG28" s="2"/>
      <c r="AH28" s="2"/>
      <c r="AI28" s="5"/>
      <c r="AJ28" s="2"/>
      <c r="AK28" s="2"/>
      <c r="AL28" s="2"/>
      <c r="AM28" s="2"/>
      <c r="AN28" s="2"/>
      <c r="AO28" s="2"/>
      <c r="AP28" s="5"/>
      <c r="AQ28" s="5"/>
    </row>
    <row r="29">
      <c r="A29" s="2"/>
      <c r="B29" s="5"/>
      <c r="C29" s="2"/>
      <c r="D29" s="26" t="s">
        <v>59</v>
      </c>
      <c r="E29" s="2"/>
      <c r="F29" s="62">
        <v>153.0</v>
      </c>
      <c r="G29" s="2"/>
      <c r="H29" s="26" t="s">
        <v>9</v>
      </c>
      <c r="I29" s="2"/>
      <c r="J29" s="63">
        <v>34.0</v>
      </c>
      <c r="K29" s="63">
        <v>12.0</v>
      </c>
      <c r="L29" s="63">
        <v>37.0</v>
      </c>
      <c r="M29" s="63">
        <v>24.0</v>
      </c>
      <c r="N29" s="63">
        <v>32.0</v>
      </c>
      <c r="O29" s="63"/>
      <c r="P29" s="63"/>
      <c r="Q29" s="63">
        <v>12.0</v>
      </c>
      <c r="R29" s="63"/>
      <c r="S29" s="63">
        <v>24.0</v>
      </c>
      <c r="T29" s="63">
        <v>12.0</v>
      </c>
      <c r="U29" s="63">
        <v>7.0</v>
      </c>
      <c r="V29" s="2"/>
      <c r="W29" s="64">
        <v>1.85</v>
      </c>
      <c r="X29" s="64">
        <v>1.52</v>
      </c>
      <c r="Y29" s="64">
        <v>1.22</v>
      </c>
      <c r="Z29" s="2"/>
      <c r="AA29" s="39">
        <f t="shared" si="5"/>
        <v>436.05</v>
      </c>
      <c r="AB29" s="39">
        <f t="shared" si="6"/>
        <v>385.56</v>
      </c>
      <c r="AC29" s="39">
        <f t="shared" si="7"/>
        <v>339.66</v>
      </c>
      <c r="AD29" s="2"/>
      <c r="AE29" s="2"/>
      <c r="AF29" s="2"/>
      <c r="AG29" s="2"/>
      <c r="AH29" s="2"/>
      <c r="AI29" s="5"/>
      <c r="AJ29" s="2"/>
      <c r="AK29" s="2"/>
      <c r="AL29" s="2"/>
      <c r="AM29" s="2"/>
      <c r="AN29" s="2"/>
      <c r="AO29" s="2"/>
      <c r="AP29" s="5"/>
      <c r="AQ29" s="5"/>
    </row>
    <row r="30">
      <c r="A30" s="2"/>
      <c r="B30" s="5"/>
      <c r="C30" s="2"/>
      <c r="D30" s="26" t="s">
        <v>60</v>
      </c>
      <c r="E30" s="2"/>
      <c r="F30" s="62">
        <v>154.0</v>
      </c>
      <c r="G30" s="2"/>
      <c r="H30" s="26" t="s">
        <v>9</v>
      </c>
      <c r="I30" s="2"/>
      <c r="J30" s="63">
        <v>33.0</v>
      </c>
      <c r="K30" s="63">
        <v>14.0</v>
      </c>
      <c r="L30" s="63">
        <v>31.0</v>
      </c>
      <c r="M30" s="63">
        <v>23.0</v>
      </c>
      <c r="N30" s="63">
        <v>34.0</v>
      </c>
      <c r="O30" s="63">
        <v>31.0</v>
      </c>
      <c r="P30" s="63"/>
      <c r="Q30" s="63">
        <v>14.0</v>
      </c>
      <c r="R30" s="63">
        <v>41.0</v>
      </c>
      <c r="S30" s="63">
        <v>23.0</v>
      </c>
      <c r="T30" s="63"/>
      <c r="U30" s="63">
        <v>1.0</v>
      </c>
      <c r="V30" s="2"/>
      <c r="W30" s="64">
        <v>1.85</v>
      </c>
      <c r="X30" s="64">
        <v>1.52</v>
      </c>
      <c r="Y30" s="64">
        <v>1.22</v>
      </c>
      <c r="Z30" s="2"/>
      <c r="AA30" s="39">
        <f t="shared" si="5"/>
        <v>438.9</v>
      </c>
      <c r="AB30" s="39">
        <f t="shared" si="6"/>
        <v>388.08</v>
      </c>
      <c r="AC30" s="39">
        <f t="shared" si="7"/>
        <v>341.88</v>
      </c>
      <c r="AD30" s="2"/>
      <c r="AE30" s="2"/>
      <c r="AF30" s="2"/>
      <c r="AG30" s="2"/>
      <c r="AH30" s="2"/>
      <c r="AI30" s="5"/>
      <c r="AJ30" s="2"/>
      <c r="AK30" s="2"/>
      <c r="AL30" s="2"/>
      <c r="AM30" s="2"/>
      <c r="AN30" s="2"/>
      <c r="AO30" s="2"/>
      <c r="AP30" s="5"/>
      <c r="AQ30" s="5"/>
    </row>
    <row r="31">
      <c r="A31" s="2"/>
      <c r="B31" s="5"/>
      <c r="C31" s="2"/>
      <c r="D31" s="26" t="s">
        <v>61</v>
      </c>
      <c r="E31" s="2"/>
      <c r="F31" s="62">
        <v>155.0</v>
      </c>
      <c r="G31" s="2"/>
      <c r="H31" s="26" t="s">
        <v>9</v>
      </c>
      <c r="I31" s="2"/>
      <c r="J31" s="63">
        <v>35.0</v>
      </c>
      <c r="K31" s="63">
        <v>16.0</v>
      </c>
      <c r="L31" s="63">
        <v>35.0</v>
      </c>
      <c r="M31" s="63"/>
      <c r="N31" s="63">
        <v>36.0</v>
      </c>
      <c r="O31" s="63">
        <v>35.0</v>
      </c>
      <c r="P31" s="63">
        <v>15.0</v>
      </c>
      <c r="Q31" s="63">
        <v>16.0</v>
      </c>
      <c r="R31" s="63">
        <v>55.0</v>
      </c>
      <c r="S31" s="63">
        <v>25.0</v>
      </c>
      <c r="T31" s="63"/>
      <c r="U31" s="63">
        <v>5.0</v>
      </c>
      <c r="V31" s="2"/>
      <c r="W31" s="64">
        <v>1.85</v>
      </c>
      <c r="X31" s="64">
        <v>1.52</v>
      </c>
      <c r="Y31" s="64">
        <v>1.22</v>
      </c>
      <c r="Z31" s="2"/>
      <c r="AA31" s="39">
        <f t="shared" si="5"/>
        <v>441.75</v>
      </c>
      <c r="AB31" s="39">
        <f t="shared" si="6"/>
        <v>390.6</v>
      </c>
      <c r="AC31" s="39">
        <f t="shared" si="7"/>
        <v>344.1</v>
      </c>
      <c r="AD31" s="2"/>
      <c r="AE31" s="2"/>
      <c r="AF31" s="2"/>
      <c r="AG31" s="2"/>
      <c r="AH31" s="2"/>
      <c r="AI31" s="5"/>
      <c r="AJ31" s="2"/>
      <c r="AK31" s="2"/>
      <c r="AL31" s="2"/>
      <c r="AM31" s="2"/>
      <c r="AN31" s="2"/>
      <c r="AO31" s="2"/>
      <c r="AP31" s="5"/>
      <c r="AQ31" s="5"/>
    </row>
    <row r="32">
      <c r="A32" s="2"/>
      <c r="B32" s="5"/>
      <c r="C32" s="2"/>
      <c r="D32" s="26" t="s">
        <v>62</v>
      </c>
      <c r="E32" s="2"/>
      <c r="F32" s="62">
        <v>156.0</v>
      </c>
      <c r="G32" s="2"/>
      <c r="H32" s="26" t="s">
        <v>9</v>
      </c>
      <c r="I32" s="2"/>
      <c r="J32" s="63">
        <v>38.0</v>
      </c>
      <c r="K32" s="63">
        <v>18.0</v>
      </c>
      <c r="L32" s="63">
        <v>39.0</v>
      </c>
      <c r="M32" s="63"/>
      <c r="N32" s="63">
        <v>38.0</v>
      </c>
      <c r="O32" s="63">
        <v>39.0</v>
      </c>
      <c r="P32" s="63">
        <v>18.0</v>
      </c>
      <c r="Q32" s="63">
        <v>18.0</v>
      </c>
      <c r="R32" s="63">
        <v>69.0</v>
      </c>
      <c r="S32" s="63">
        <v>28.0</v>
      </c>
      <c r="T32" s="63">
        <v>18.0</v>
      </c>
      <c r="U32" s="63"/>
      <c r="V32" s="2"/>
      <c r="W32" s="64">
        <v>1.85</v>
      </c>
      <c r="X32" s="64">
        <v>1.52</v>
      </c>
      <c r="Y32" s="64">
        <v>1.22</v>
      </c>
      <c r="Z32" s="2"/>
      <c r="AA32" s="39">
        <f t="shared" si="5"/>
        <v>444.6</v>
      </c>
      <c r="AB32" s="39">
        <f t="shared" si="6"/>
        <v>393.12</v>
      </c>
      <c r="AC32" s="39">
        <f t="shared" si="7"/>
        <v>346.32</v>
      </c>
      <c r="AD32" s="2"/>
      <c r="AE32" s="2"/>
      <c r="AF32" s="2"/>
      <c r="AG32" s="2"/>
      <c r="AH32" s="2"/>
      <c r="AI32" s="5"/>
      <c r="AJ32" s="2"/>
      <c r="AK32" s="2"/>
      <c r="AL32" s="2"/>
      <c r="AM32" s="2"/>
      <c r="AN32" s="2"/>
      <c r="AO32" s="2"/>
      <c r="AP32" s="5"/>
      <c r="AQ32" s="5"/>
    </row>
    <row r="33">
      <c r="A33" s="2"/>
      <c r="B33" s="5"/>
      <c r="C33" s="2"/>
      <c r="D33" s="26" t="s">
        <v>63</v>
      </c>
      <c r="E33" s="2"/>
      <c r="F33" s="62">
        <v>157.0</v>
      </c>
      <c r="G33" s="2"/>
      <c r="H33" s="26" t="s">
        <v>9</v>
      </c>
      <c r="I33" s="2"/>
      <c r="J33" s="63">
        <v>36.0</v>
      </c>
      <c r="K33" s="63">
        <v>13.0</v>
      </c>
      <c r="L33" s="63">
        <v>38.0</v>
      </c>
      <c r="M33" s="63"/>
      <c r="N33" s="63">
        <v>33.0</v>
      </c>
      <c r="O33" s="63">
        <v>38.0</v>
      </c>
      <c r="P33" s="63">
        <v>16.0</v>
      </c>
      <c r="Q33" s="63">
        <v>13.0</v>
      </c>
      <c r="R33" s="63"/>
      <c r="S33" s="63">
        <v>26.0</v>
      </c>
      <c r="T33" s="63">
        <v>13.0</v>
      </c>
      <c r="U33" s="63"/>
      <c r="V33" s="2"/>
      <c r="W33" s="64">
        <v>1.85</v>
      </c>
      <c r="X33" s="64">
        <v>1.52</v>
      </c>
      <c r="Y33" s="64">
        <v>1.22</v>
      </c>
      <c r="Z33" s="2"/>
      <c r="AA33" s="39">
        <f t="shared" si="5"/>
        <v>447.45</v>
      </c>
      <c r="AB33" s="39">
        <f t="shared" si="6"/>
        <v>395.64</v>
      </c>
      <c r="AC33" s="39">
        <f t="shared" si="7"/>
        <v>348.54</v>
      </c>
      <c r="AD33" s="2"/>
      <c r="AE33" s="2"/>
      <c r="AF33" s="2"/>
      <c r="AG33" s="2"/>
      <c r="AH33" s="2"/>
      <c r="AI33" s="5"/>
      <c r="AJ33" s="2"/>
      <c r="AK33" s="2"/>
      <c r="AL33" s="2"/>
      <c r="AM33" s="2"/>
      <c r="AN33" s="2"/>
      <c r="AO33" s="2"/>
      <c r="AP33" s="5"/>
      <c r="AQ33" s="5"/>
    </row>
    <row r="34">
      <c r="A34" s="2"/>
      <c r="B34" s="5"/>
      <c r="C34" s="2"/>
      <c r="D34" s="26" t="s">
        <v>64</v>
      </c>
      <c r="E34" s="2"/>
      <c r="F34" s="62">
        <v>158.0</v>
      </c>
      <c r="G34" s="2"/>
      <c r="H34" s="26" t="s">
        <v>8</v>
      </c>
      <c r="I34" s="2"/>
      <c r="J34" s="63">
        <v>35.0</v>
      </c>
      <c r="K34" s="63">
        <v>15.0</v>
      </c>
      <c r="L34" s="63">
        <v>35.0</v>
      </c>
      <c r="M34" s="63">
        <v>25.0</v>
      </c>
      <c r="N34" s="63"/>
      <c r="O34" s="63"/>
      <c r="P34" s="63">
        <v>15.0</v>
      </c>
      <c r="Q34" s="63"/>
      <c r="R34" s="63"/>
      <c r="S34" s="63"/>
      <c r="T34" s="63">
        <v>15.0</v>
      </c>
      <c r="U34" s="63"/>
      <c r="V34" s="2"/>
      <c r="W34" s="64">
        <v>1.85</v>
      </c>
      <c r="X34" s="64">
        <v>1.52</v>
      </c>
      <c r="Y34" s="64">
        <v>1.22</v>
      </c>
      <c r="Z34" s="2"/>
      <c r="AA34" s="39">
        <f t="shared" si="5"/>
        <v>450.3</v>
      </c>
      <c r="AB34" s="39">
        <f t="shared" si="6"/>
        <v>398.16</v>
      </c>
      <c r="AC34" s="39">
        <f t="shared" si="7"/>
        <v>350.76</v>
      </c>
      <c r="AD34" s="2"/>
      <c r="AE34" s="2"/>
      <c r="AF34" s="2"/>
      <c r="AG34" s="2"/>
      <c r="AH34" s="2"/>
      <c r="AI34" s="5"/>
      <c r="AJ34" s="2"/>
      <c r="AK34" s="2"/>
      <c r="AL34" s="2"/>
      <c r="AM34" s="2"/>
      <c r="AN34" s="2"/>
      <c r="AO34" s="2"/>
      <c r="AP34" s="5"/>
      <c r="AQ34" s="5"/>
    </row>
    <row r="35">
      <c r="A35" s="2"/>
      <c r="B35" s="5"/>
      <c r="C35" s="2"/>
      <c r="D35" s="26" t="s">
        <v>65</v>
      </c>
      <c r="E35" s="2"/>
      <c r="F35" s="62">
        <v>159.0</v>
      </c>
      <c r="G35" s="2"/>
      <c r="H35" s="26" t="s">
        <v>8</v>
      </c>
      <c r="I35" s="2"/>
      <c r="J35" s="63">
        <v>34.0</v>
      </c>
      <c r="K35" s="63">
        <v>17.0</v>
      </c>
      <c r="L35" s="63">
        <v>32.0</v>
      </c>
      <c r="M35" s="63">
        <v>24.0</v>
      </c>
      <c r="N35" s="63"/>
      <c r="O35" s="63"/>
      <c r="P35" s="63">
        <v>14.0</v>
      </c>
      <c r="Q35" s="63"/>
      <c r="R35" s="63">
        <v>42.0</v>
      </c>
      <c r="S35" s="63"/>
      <c r="T35" s="63">
        <v>17.0</v>
      </c>
      <c r="U35" s="63"/>
      <c r="V35" s="2"/>
      <c r="W35" s="64">
        <v>1.85</v>
      </c>
      <c r="X35" s="64">
        <v>1.52</v>
      </c>
      <c r="Y35" s="64">
        <v>1.22</v>
      </c>
      <c r="Z35" s="2"/>
      <c r="AA35" s="39">
        <f t="shared" si="5"/>
        <v>453.15</v>
      </c>
      <c r="AB35" s="39">
        <f t="shared" si="6"/>
        <v>400.68</v>
      </c>
      <c r="AC35" s="39">
        <f t="shared" si="7"/>
        <v>352.98</v>
      </c>
      <c r="AD35" s="2"/>
      <c r="AE35" s="2"/>
      <c r="AF35" s="2"/>
      <c r="AG35" s="2"/>
      <c r="AH35" s="2"/>
      <c r="AI35" s="5"/>
      <c r="AJ35" s="2"/>
      <c r="AK35" s="2"/>
      <c r="AL35" s="2"/>
      <c r="AM35" s="2"/>
      <c r="AN35" s="2"/>
      <c r="AO35" s="2"/>
      <c r="AP35" s="5"/>
      <c r="AQ35" s="5"/>
    </row>
    <row r="36">
      <c r="A36" s="2"/>
      <c r="B36" s="5"/>
      <c r="C36" s="2"/>
      <c r="D36" s="26" t="s">
        <v>66</v>
      </c>
      <c r="E36" s="2"/>
      <c r="F36" s="62">
        <v>160.0</v>
      </c>
      <c r="G36" s="2"/>
      <c r="H36" s="26" t="s">
        <v>8</v>
      </c>
      <c r="I36" s="2"/>
      <c r="J36" s="63">
        <v>37.0</v>
      </c>
      <c r="K36" s="63">
        <v>19.0</v>
      </c>
      <c r="L36" s="63">
        <v>36.0</v>
      </c>
      <c r="M36" s="63">
        <v>27.0</v>
      </c>
      <c r="N36" s="63">
        <v>49.0</v>
      </c>
      <c r="O36" s="63">
        <v>46.0</v>
      </c>
      <c r="P36" s="63">
        <v>17.0</v>
      </c>
      <c r="Q36" s="63"/>
      <c r="R36" s="63">
        <v>36.0</v>
      </c>
      <c r="S36" s="63"/>
      <c r="T36" s="63">
        <v>19.0</v>
      </c>
      <c r="U36" s="63"/>
      <c r="V36" s="2"/>
      <c r="W36" s="64">
        <v>1.85</v>
      </c>
      <c r="X36" s="64">
        <v>1.52</v>
      </c>
      <c r="Y36" s="64">
        <v>1.22</v>
      </c>
      <c r="Z36" s="2"/>
      <c r="AA36" s="39">
        <f t="shared" si="5"/>
        <v>456</v>
      </c>
      <c r="AB36" s="39">
        <f t="shared" si="6"/>
        <v>403.2</v>
      </c>
      <c r="AC36" s="39">
        <f t="shared" si="7"/>
        <v>355.2</v>
      </c>
      <c r="AD36" s="2"/>
      <c r="AE36" s="2"/>
      <c r="AF36" s="2"/>
      <c r="AG36" s="2"/>
      <c r="AH36" s="2"/>
      <c r="AI36" s="5"/>
      <c r="AJ36" s="2"/>
      <c r="AK36" s="2"/>
      <c r="AL36" s="2"/>
      <c r="AM36" s="2"/>
      <c r="AN36" s="2"/>
      <c r="AO36" s="2"/>
      <c r="AP36" s="5"/>
      <c r="AQ36" s="5"/>
    </row>
    <row r="37">
      <c r="A37" s="2"/>
      <c r="B37" s="5"/>
      <c r="C37" s="2"/>
      <c r="D37" s="26" t="s">
        <v>67</v>
      </c>
      <c r="E37" s="2"/>
      <c r="F37" s="62">
        <v>161.0</v>
      </c>
      <c r="G37" s="2"/>
      <c r="H37" s="26" t="s">
        <v>10</v>
      </c>
      <c r="I37" s="2"/>
      <c r="J37" s="63">
        <v>36.0</v>
      </c>
      <c r="K37" s="63">
        <v>11.0</v>
      </c>
      <c r="L37" s="63">
        <v>35.0</v>
      </c>
      <c r="M37" s="63">
        <v>26.0</v>
      </c>
      <c r="N37" s="63">
        <v>41.0</v>
      </c>
      <c r="O37" s="63">
        <v>45.0</v>
      </c>
      <c r="P37" s="63">
        <v>16.0</v>
      </c>
      <c r="Q37" s="63"/>
      <c r="R37" s="63">
        <v>25.0</v>
      </c>
      <c r="S37" s="63">
        <v>6.0</v>
      </c>
      <c r="T37" s="63">
        <v>11.0</v>
      </c>
      <c r="U37" s="63"/>
      <c r="V37" s="2"/>
      <c r="W37" s="64">
        <v>1.85</v>
      </c>
      <c r="X37" s="64">
        <v>1.52</v>
      </c>
      <c r="Y37" s="64">
        <v>1.22</v>
      </c>
      <c r="Z37" s="2"/>
      <c r="AA37" s="39">
        <f t="shared" si="5"/>
        <v>458.85</v>
      </c>
      <c r="AB37" s="39">
        <f t="shared" si="6"/>
        <v>405.72</v>
      </c>
      <c r="AC37" s="39">
        <f t="shared" si="7"/>
        <v>357.42</v>
      </c>
      <c r="AD37" s="2"/>
      <c r="AE37" s="2"/>
      <c r="AF37" s="2"/>
      <c r="AG37" s="2"/>
      <c r="AH37" s="2"/>
      <c r="AI37" s="5"/>
      <c r="AJ37" s="2"/>
      <c r="AK37" s="2"/>
      <c r="AL37" s="2"/>
      <c r="AM37" s="2"/>
      <c r="AN37" s="2"/>
      <c r="AO37" s="2"/>
      <c r="AP37" s="5"/>
      <c r="AQ37" s="5"/>
    </row>
    <row r="38">
      <c r="A38" s="2"/>
      <c r="B38" s="5"/>
      <c r="C38" s="2"/>
      <c r="D38" s="26" t="s">
        <v>68</v>
      </c>
      <c r="E38" s="2"/>
      <c r="F38" s="62">
        <v>162.0</v>
      </c>
      <c r="G38" s="2"/>
      <c r="H38" s="26" t="s">
        <v>10</v>
      </c>
      <c r="I38" s="2"/>
      <c r="J38" s="63">
        <v>32.0</v>
      </c>
      <c r="K38" s="63">
        <v>12.0</v>
      </c>
      <c r="L38" s="63">
        <v>34.0</v>
      </c>
      <c r="M38" s="63">
        <v>22.0</v>
      </c>
      <c r="N38" s="63">
        <v>42.0</v>
      </c>
      <c r="O38" s="63">
        <v>44.0</v>
      </c>
      <c r="P38" s="63">
        <v>12.0</v>
      </c>
      <c r="Q38" s="63">
        <v>12.0</v>
      </c>
      <c r="R38" s="63">
        <v>24.0</v>
      </c>
      <c r="S38" s="63">
        <v>2.0</v>
      </c>
      <c r="T38" s="63">
        <v>12.0</v>
      </c>
      <c r="U38" s="63">
        <v>4.0</v>
      </c>
      <c r="V38" s="2"/>
      <c r="W38" s="64">
        <v>1.85</v>
      </c>
      <c r="X38" s="64">
        <v>1.52</v>
      </c>
      <c r="Y38" s="64">
        <v>1.22</v>
      </c>
      <c r="Z38" s="2"/>
      <c r="AA38" s="39">
        <f t="shared" si="5"/>
        <v>461.7</v>
      </c>
      <c r="AB38" s="39">
        <f t="shared" si="6"/>
        <v>408.24</v>
      </c>
      <c r="AC38" s="39">
        <f t="shared" si="7"/>
        <v>359.64</v>
      </c>
      <c r="AD38" s="2"/>
      <c r="AE38" s="2"/>
      <c r="AF38" s="2"/>
      <c r="AG38" s="2"/>
      <c r="AH38" s="2"/>
      <c r="AI38" s="5"/>
      <c r="AJ38" s="2"/>
      <c r="AK38" s="2"/>
      <c r="AL38" s="2"/>
      <c r="AM38" s="2"/>
      <c r="AN38" s="2"/>
      <c r="AO38" s="2"/>
      <c r="AP38" s="5"/>
      <c r="AQ38" s="5"/>
    </row>
    <row r="39">
      <c r="A39" s="2"/>
      <c r="B39" s="5"/>
      <c r="C39" s="2"/>
      <c r="D39" s="26" t="s">
        <v>69</v>
      </c>
      <c r="E39" s="2"/>
      <c r="F39" s="62">
        <v>163.0</v>
      </c>
      <c r="G39" s="2"/>
      <c r="H39" s="26" t="s">
        <v>8</v>
      </c>
      <c r="I39" s="2"/>
      <c r="J39" s="63">
        <v>31.0</v>
      </c>
      <c r="K39" s="63">
        <v>14.0</v>
      </c>
      <c r="L39" s="63">
        <v>37.0</v>
      </c>
      <c r="M39" s="63">
        <v>21.0</v>
      </c>
      <c r="N39" s="63">
        <v>44.0</v>
      </c>
      <c r="O39" s="63">
        <v>47.0</v>
      </c>
      <c r="P39" s="63">
        <v>11.0</v>
      </c>
      <c r="Q39" s="63">
        <v>14.0</v>
      </c>
      <c r="R39" s="63">
        <v>17.0</v>
      </c>
      <c r="S39" s="63">
        <v>1.0</v>
      </c>
      <c r="T39" s="63">
        <v>14.0</v>
      </c>
      <c r="U39" s="63">
        <v>7.0</v>
      </c>
      <c r="V39" s="2"/>
      <c r="W39" s="64">
        <v>1.85</v>
      </c>
      <c r="X39" s="64">
        <v>1.52</v>
      </c>
      <c r="Y39" s="64">
        <v>1.22</v>
      </c>
      <c r="Z39" s="2"/>
      <c r="AA39" s="39">
        <f t="shared" si="5"/>
        <v>464.55</v>
      </c>
      <c r="AB39" s="39">
        <f t="shared" si="6"/>
        <v>410.76</v>
      </c>
      <c r="AC39" s="39">
        <f t="shared" si="7"/>
        <v>361.86</v>
      </c>
      <c r="AD39" s="2"/>
      <c r="AE39" s="2"/>
      <c r="AF39" s="2"/>
      <c r="AG39" s="2"/>
      <c r="AH39" s="2"/>
      <c r="AI39" s="5"/>
      <c r="AJ39" s="2"/>
      <c r="AK39" s="2"/>
      <c r="AL39" s="2"/>
      <c r="AM39" s="2"/>
      <c r="AN39" s="2"/>
      <c r="AO39" s="2"/>
      <c r="AP39" s="5"/>
      <c r="AQ39" s="5"/>
    </row>
    <row r="40">
      <c r="A40" s="2"/>
      <c r="B40" s="5"/>
      <c r="C40" s="2"/>
      <c r="D40" s="26" t="s">
        <v>70</v>
      </c>
      <c r="E40" s="2"/>
      <c r="F40" s="62">
        <v>164.0</v>
      </c>
      <c r="G40" s="2"/>
      <c r="H40" s="26" t="s">
        <v>9</v>
      </c>
      <c r="I40" s="2"/>
      <c r="J40" s="63">
        <v>34.0</v>
      </c>
      <c r="K40" s="63">
        <v>18.0</v>
      </c>
      <c r="L40" s="63">
        <v>38.0</v>
      </c>
      <c r="M40" s="63">
        <v>24.0</v>
      </c>
      <c r="N40" s="63">
        <v>48.0</v>
      </c>
      <c r="O40" s="63">
        <v>48.0</v>
      </c>
      <c r="P40" s="63">
        <v>14.0</v>
      </c>
      <c r="Q40" s="63">
        <v>18.0</v>
      </c>
      <c r="R40" s="63">
        <v>38.0</v>
      </c>
      <c r="S40" s="63">
        <v>4.0</v>
      </c>
      <c r="T40" s="63">
        <v>18.0</v>
      </c>
      <c r="U40" s="63">
        <v>8.0</v>
      </c>
      <c r="V40" s="2"/>
      <c r="W40" s="64">
        <v>1.85</v>
      </c>
      <c r="X40" s="64">
        <v>1.52</v>
      </c>
      <c r="Y40" s="64">
        <v>1.22</v>
      </c>
      <c r="Z40" s="2"/>
      <c r="AA40" s="39">
        <f t="shared" si="5"/>
        <v>467.4</v>
      </c>
      <c r="AB40" s="39">
        <f t="shared" si="6"/>
        <v>413.28</v>
      </c>
      <c r="AC40" s="39">
        <f t="shared" si="7"/>
        <v>364.08</v>
      </c>
      <c r="AD40" s="2"/>
      <c r="AE40" s="2"/>
      <c r="AF40" s="2"/>
      <c r="AG40" s="2"/>
      <c r="AH40" s="2"/>
      <c r="AI40" s="5"/>
      <c r="AJ40" s="2"/>
      <c r="AK40" s="2"/>
      <c r="AL40" s="2"/>
      <c r="AM40" s="2"/>
      <c r="AN40" s="2"/>
      <c r="AO40" s="2"/>
      <c r="AP40" s="5"/>
      <c r="AQ40" s="5"/>
    </row>
    <row r="41" ht="11.25" customHeight="1">
      <c r="A41" s="2"/>
      <c r="B41" s="5"/>
      <c r="C41" s="2"/>
      <c r="D41" s="55"/>
      <c r="E41" s="55"/>
      <c r="F41" s="55"/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2"/>
      <c r="W41" s="4"/>
      <c r="X41" s="4"/>
      <c r="Y41" s="4"/>
      <c r="Z41" s="2"/>
      <c r="AA41" s="4"/>
      <c r="AB41" s="4"/>
      <c r="AC41" s="4"/>
      <c r="AD41" s="2"/>
      <c r="AE41" s="2"/>
      <c r="AF41" s="2"/>
      <c r="AG41" s="2"/>
      <c r="AH41" s="2"/>
      <c r="AI41" s="5"/>
      <c r="AJ41" s="2"/>
      <c r="AK41" s="2"/>
      <c r="AL41" s="2"/>
      <c r="AM41" s="2"/>
      <c r="AN41" s="2"/>
      <c r="AO41" s="2"/>
      <c r="AP41" s="5"/>
      <c r="AQ41" s="5"/>
    </row>
    <row r="42" ht="13.5" customHeight="1">
      <c r="A42" s="2"/>
      <c r="B42" s="5"/>
      <c r="C42" s="2"/>
      <c r="D42" s="55"/>
      <c r="E42" s="55"/>
      <c r="F42" s="55"/>
      <c r="G42" s="2"/>
      <c r="H42" s="3" t="s">
        <v>71</v>
      </c>
      <c r="I42" s="2"/>
      <c r="J42" s="65" t="s">
        <v>4</v>
      </c>
      <c r="K42" s="65" t="s">
        <v>11</v>
      </c>
      <c r="L42" s="65" t="s">
        <v>4</v>
      </c>
      <c r="M42" s="65" t="s">
        <v>4</v>
      </c>
      <c r="N42" s="65" t="s">
        <v>11</v>
      </c>
      <c r="O42" s="65" t="s">
        <v>11</v>
      </c>
      <c r="P42" s="65" t="s">
        <v>11</v>
      </c>
      <c r="Q42" s="65" t="s">
        <v>4</v>
      </c>
      <c r="R42" s="65" t="s">
        <v>11</v>
      </c>
      <c r="S42" s="65" t="s">
        <v>11</v>
      </c>
      <c r="T42" s="65" t="s">
        <v>4</v>
      </c>
      <c r="U42" s="65" t="s">
        <v>11</v>
      </c>
      <c r="V42" s="2"/>
      <c r="W42" s="4"/>
      <c r="X42" s="4"/>
      <c r="Y42" s="4"/>
      <c r="Z42" s="2"/>
      <c r="AA42" s="4"/>
      <c r="AB42" s="4"/>
      <c r="AC42" s="4"/>
      <c r="AD42" s="2"/>
      <c r="AE42" s="2"/>
      <c r="AF42" s="2"/>
      <c r="AG42" s="2"/>
      <c r="AH42" s="2"/>
      <c r="AI42" s="5"/>
      <c r="AJ42" s="2"/>
      <c r="AK42" s="2"/>
      <c r="AL42" s="2"/>
      <c r="AM42" s="2"/>
      <c r="AN42" s="2"/>
      <c r="AO42" s="2"/>
      <c r="AP42" s="5"/>
      <c r="AQ42" s="5"/>
    </row>
    <row r="43" ht="13.5" customHeight="1">
      <c r="A43" s="2"/>
      <c r="B43" s="5"/>
      <c r="C43" s="2"/>
      <c r="D43" s="55"/>
      <c r="E43" s="55"/>
      <c r="F43" s="55"/>
      <c r="G43" s="2"/>
      <c r="H43" s="3" t="s">
        <v>6</v>
      </c>
      <c r="I43" s="2"/>
      <c r="J43" s="65" t="s">
        <v>18</v>
      </c>
      <c r="K43" s="65" t="s">
        <v>20</v>
      </c>
      <c r="L43" s="65" t="s">
        <v>22</v>
      </c>
      <c r="M43" s="65" t="s">
        <v>20</v>
      </c>
      <c r="N43" s="65" t="s">
        <v>18</v>
      </c>
      <c r="O43" s="65" t="s">
        <v>20</v>
      </c>
      <c r="P43" s="65" t="s">
        <v>22</v>
      </c>
      <c r="Q43" s="65" t="s">
        <v>18</v>
      </c>
      <c r="R43" s="65" t="s">
        <v>18</v>
      </c>
      <c r="S43" s="65" t="s">
        <v>20</v>
      </c>
      <c r="T43" s="65" t="s">
        <v>22</v>
      </c>
      <c r="U43" s="65" t="s">
        <v>20</v>
      </c>
      <c r="V43" s="2"/>
      <c r="W43" s="4"/>
      <c r="X43" s="4"/>
      <c r="Y43" s="4"/>
      <c r="Z43" s="2"/>
      <c r="AA43" s="4"/>
      <c r="AB43" s="4"/>
      <c r="AC43" s="4"/>
      <c r="AD43" s="2"/>
      <c r="AE43" s="2"/>
      <c r="AF43" s="2"/>
      <c r="AG43" s="2"/>
      <c r="AH43" s="2"/>
      <c r="AI43" s="5"/>
      <c r="AJ43" s="2"/>
      <c r="AK43" s="2"/>
      <c r="AL43" s="2"/>
      <c r="AM43" s="2"/>
      <c r="AN43" s="2"/>
      <c r="AO43" s="2"/>
      <c r="AP43" s="5"/>
      <c r="AQ43" s="5"/>
    </row>
    <row r="44" ht="13.5" customHeight="1">
      <c r="A44" s="2"/>
      <c r="B44" s="5"/>
      <c r="C44" s="2"/>
      <c r="D44" s="55"/>
      <c r="E44" s="55"/>
      <c r="F44" s="55"/>
      <c r="G44" s="2"/>
      <c r="H44" s="3" t="s">
        <v>72</v>
      </c>
      <c r="I44" s="2"/>
      <c r="J44" s="65" t="s">
        <v>15</v>
      </c>
      <c r="K44" s="65" t="s">
        <v>14</v>
      </c>
      <c r="L44" s="65" t="s">
        <v>16</v>
      </c>
      <c r="M44" s="65" t="s">
        <v>16</v>
      </c>
      <c r="N44" s="65" t="s">
        <v>14</v>
      </c>
      <c r="O44" s="65" t="s">
        <v>15</v>
      </c>
      <c r="P44" s="65" t="s">
        <v>16</v>
      </c>
      <c r="Q44" s="65" t="s">
        <v>14</v>
      </c>
      <c r="R44" s="65" t="s">
        <v>15</v>
      </c>
      <c r="S44" s="65" t="s">
        <v>16</v>
      </c>
      <c r="T44" s="65" t="s">
        <v>14</v>
      </c>
      <c r="U44" s="65" t="s">
        <v>16</v>
      </c>
      <c r="V44" s="2"/>
      <c r="W44" s="4"/>
      <c r="X44" s="4"/>
      <c r="Y44" s="4"/>
      <c r="Z44" s="2"/>
      <c r="AA44" s="4"/>
      <c r="AB44" s="4"/>
      <c r="AC44" s="4"/>
      <c r="AD44" s="2"/>
      <c r="AE44" s="2"/>
      <c r="AF44" s="2"/>
      <c r="AG44" s="2"/>
      <c r="AH44" s="2"/>
      <c r="AI44" s="5"/>
      <c r="AJ44" s="2"/>
      <c r="AK44" s="2"/>
      <c r="AL44" s="2"/>
      <c r="AM44" s="2"/>
      <c r="AN44" s="2"/>
      <c r="AO44" s="2"/>
      <c r="AP44" s="5"/>
      <c r="AQ44" s="5"/>
    </row>
    <row r="45" ht="13.5" customHeight="1">
      <c r="A45" s="2"/>
      <c r="B45" s="5"/>
      <c r="C45" s="2"/>
      <c r="D45" s="55"/>
      <c r="E45" s="55"/>
      <c r="F45" s="55"/>
      <c r="G45" s="2"/>
      <c r="H45" s="3" t="s">
        <v>73</v>
      </c>
      <c r="I45" s="2"/>
      <c r="J45" s="19">
        <v>1.0</v>
      </c>
      <c r="K45" s="19">
        <v>1.5</v>
      </c>
      <c r="L45" s="19">
        <v>2.0</v>
      </c>
      <c r="M45" s="19">
        <v>1.0</v>
      </c>
      <c r="N45" s="19">
        <v>1.5</v>
      </c>
      <c r="O45" s="19">
        <v>2.0</v>
      </c>
      <c r="P45" s="19">
        <v>1.0</v>
      </c>
      <c r="Q45" s="19">
        <v>1.25</v>
      </c>
      <c r="R45" s="19">
        <v>1.0</v>
      </c>
      <c r="S45" s="19">
        <v>1.0</v>
      </c>
      <c r="T45" s="19">
        <v>1.0</v>
      </c>
      <c r="U45" s="19">
        <v>1.0</v>
      </c>
      <c r="V45" s="2"/>
      <c r="W45" s="4"/>
      <c r="X45" s="4"/>
      <c r="Y45" s="4"/>
      <c r="Z45" s="2"/>
      <c r="AA45" s="4"/>
      <c r="AB45" s="4"/>
      <c r="AC45" s="4"/>
      <c r="AD45" s="2"/>
      <c r="AE45" s="2"/>
      <c r="AF45" s="2"/>
      <c r="AG45" s="2"/>
      <c r="AH45" s="2"/>
      <c r="AI45" s="5"/>
      <c r="AJ45" s="2"/>
      <c r="AK45" s="2"/>
      <c r="AL45" s="2"/>
      <c r="AM45" s="2"/>
      <c r="AN45" s="2"/>
      <c r="AO45" s="2"/>
      <c r="AP45" s="5"/>
      <c r="AQ45" s="5"/>
    </row>
    <row r="46" ht="5.25" customHeight="1">
      <c r="A46" s="2"/>
      <c r="B46" s="5"/>
      <c r="C46" s="2"/>
      <c r="D46" s="55"/>
      <c r="E46" s="55"/>
      <c r="F46" s="55"/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"/>
      <c r="W46" s="4"/>
      <c r="X46" s="4"/>
      <c r="Y46" s="4"/>
      <c r="Z46" s="2"/>
      <c r="AA46" s="4"/>
      <c r="AB46" s="4"/>
      <c r="AC46" s="4"/>
      <c r="AD46" s="2"/>
      <c r="AE46" s="2"/>
      <c r="AF46" s="2"/>
      <c r="AG46" s="2"/>
      <c r="AH46" s="2"/>
      <c r="AI46" s="5"/>
      <c r="AJ46" s="2"/>
      <c r="AK46" s="2"/>
      <c r="AL46" s="2"/>
      <c r="AM46" s="2"/>
      <c r="AN46" s="2"/>
      <c r="AO46" s="2"/>
      <c r="AP46" s="5"/>
      <c r="AQ46" s="5"/>
    </row>
    <row r="47" ht="13.5" customHeight="1">
      <c r="A47" s="2"/>
      <c r="B47" s="5"/>
      <c r="C47" s="2"/>
      <c r="D47" s="55"/>
      <c r="E47" s="55"/>
      <c r="F47" s="55"/>
      <c r="G47" s="2"/>
      <c r="H47" s="66" t="s">
        <v>74</v>
      </c>
      <c r="I47" s="67"/>
      <c r="J47" s="68">
        <f t="shared" ref="J47:U47" si="8">J98</f>
        <v>0</v>
      </c>
      <c r="K47" s="68">
        <f t="shared" si="8"/>
        <v>0</v>
      </c>
      <c r="L47" s="68">
        <f t="shared" si="8"/>
        <v>0</v>
      </c>
      <c r="M47" s="68">
        <f t="shared" si="8"/>
        <v>7500</v>
      </c>
      <c r="N47" s="68">
        <f t="shared" si="8"/>
        <v>12000</v>
      </c>
      <c r="O47" s="68">
        <f t="shared" si="8"/>
        <v>43000</v>
      </c>
      <c r="P47" s="68">
        <f t="shared" si="8"/>
        <v>11500</v>
      </c>
      <c r="Q47" s="68">
        <f t="shared" si="8"/>
        <v>5250</v>
      </c>
      <c r="R47" s="68">
        <f t="shared" si="8"/>
        <v>20000</v>
      </c>
      <c r="S47" s="68">
        <f t="shared" si="8"/>
        <v>21500</v>
      </c>
      <c r="T47" s="68">
        <f t="shared" si="8"/>
        <v>4375</v>
      </c>
      <c r="U47" s="69">
        <f t="shared" si="8"/>
        <v>7500</v>
      </c>
      <c r="V47" s="2"/>
      <c r="W47" s="4"/>
      <c r="X47" s="4"/>
      <c r="Y47" s="4"/>
      <c r="Z47" s="2"/>
      <c r="AA47" s="4"/>
      <c r="AB47" s="4"/>
      <c r="AC47" s="4"/>
      <c r="AD47" s="2"/>
      <c r="AE47" s="2"/>
      <c r="AF47" s="2"/>
      <c r="AG47" s="2"/>
      <c r="AH47" s="2"/>
      <c r="AI47" s="5"/>
      <c r="AJ47" s="2"/>
      <c r="AK47" s="2"/>
      <c r="AL47" s="2"/>
      <c r="AM47" s="2"/>
      <c r="AN47" s="2"/>
      <c r="AO47" s="2"/>
      <c r="AP47" s="5"/>
      <c r="AQ47" s="5"/>
    </row>
    <row r="48" ht="6.0" customHeight="1">
      <c r="A48" s="2"/>
      <c r="B48" s="5"/>
      <c r="C48" s="2"/>
      <c r="D48" s="55"/>
      <c r="E48" s="55"/>
      <c r="F48" s="55"/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2"/>
      <c r="W48" s="4"/>
      <c r="X48" s="4"/>
      <c r="Y48" s="4"/>
      <c r="Z48" s="2"/>
      <c r="AA48" s="4"/>
      <c r="AB48" s="4"/>
      <c r="AC48" s="4"/>
      <c r="AD48" s="2"/>
      <c r="AE48" s="2"/>
      <c r="AF48" s="2"/>
      <c r="AG48" s="2"/>
      <c r="AH48" s="2"/>
      <c r="AI48" s="5"/>
      <c r="AJ48" s="2"/>
      <c r="AK48" s="2"/>
      <c r="AL48" s="2"/>
      <c r="AM48" s="2"/>
      <c r="AN48" s="2"/>
      <c r="AO48" s="2"/>
      <c r="AP48" s="5"/>
      <c r="AQ48" s="5"/>
    </row>
    <row r="49" ht="7.5" customHeight="1">
      <c r="A49" s="2"/>
      <c r="B49" s="5"/>
      <c r="C49" s="2"/>
      <c r="D49" s="55"/>
      <c r="E49" s="55"/>
      <c r="F49" s="55"/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2"/>
      <c r="W49" s="4"/>
      <c r="X49" s="4"/>
      <c r="Y49" s="4"/>
      <c r="Z49" s="2"/>
      <c r="AA49" s="4"/>
      <c r="AB49" s="4"/>
      <c r="AC49" s="4"/>
      <c r="AD49" s="2"/>
      <c r="AE49" s="2"/>
      <c r="AF49" s="2"/>
      <c r="AG49" s="2"/>
      <c r="AH49" s="2"/>
      <c r="AI49" s="5"/>
      <c r="AJ49" s="2"/>
      <c r="AK49" s="2"/>
      <c r="AL49" s="2"/>
      <c r="AM49" s="2"/>
      <c r="AN49" s="2"/>
      <c r="AO49" s="2"/>
      <c r="AP49" s="5"/>
      <c r="AQ49" s="5"/>
    </row>
    <row r="50">
      <c r="A50" s="2"/>
      <c r="B50" s="5"/>
      <c r="C50" s="2"/>
      <c r="D50" s="70" t="s">
        <v>75</v>
      </c>
      <c r="F50" s="55"/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2"/>
      <c r="W50" s="4"/>
      <c r="X50" s="4"/>
      <c r="Y50" s="4"/>
      <c r="Z50" s="2"/>
      <c r="AA50" s="4"/>
      <c r="AB50" s="4"/>
      <c r="AC50" s="4"/>
      <c r="AD50" s="2"/>
      <c r="AE50" s="2"/>
      <c r="AF50" s="2"/>
      <c r="AG50" s="2"/>
      <c r="AH50" s="2"/>
      <c r="AI50" s="5"/>
      <c r="AJ50" s="2"/>
      <c r="AK50" s="2"/>
      <c r="AL50" s="2"/>
      <c r="AM50" s="2"/>
      <c r="AN50" s="2"/>
      <c r="AO50" s="2"/>
      <c r="AP50" s="5"/>
      <c r="AQ50" s="5"/>
    </row>
    <row r="51">
      <c r="A51" s="2"/>
      <c r="B51" s="5"/>
      <c r="C51" s="2"/>
      <c r="D51" s="55"/>
      <c r="E51" s="55"/>
      <c r="F51" s="71">
        <f t="shared" ref="F51:F52" si="10">sum(J51:U51)</f>
        <v>4469</v>
      </c>
      <c r="G51" s="2"/>
      <c r="H51" s="3" t="s">
        <v>76</v>
      </c>
      <c r="I51" s="2"/>
      <c r="J51" s="4">
        <f t="shared" ref="J51:U51" si="9">sum(J21:J40)</f>
        <v>697</v>
      </c>
      <c r="K51" s="4">
        <f t="shared" si="9"/>
        <v>250</v>
      </c>
      <c r="L51" s="4">
        <f t="shared" si="9"/>
        <v>608</v>
      </c>
      <c r="M51" s="4">
        <f t="shared" si="9"/>
        <v>365</v>
      </c>
      <c r="N51" s="4">
        <f t="shared" si="9"/>
        <v>505</v>
      </c>
      <c r="O51" s="4">
        <f t="shared" si="9"/>
        <v>652</v>
      </c>
      <c r="P51" s="4">
        <f t="shared" si="9"/>
        <v>190</v>
      </c>
      <c r="Q51" s="4">
        <f t="shared" si="9"/>
        <v>185</v>
      </c>
      <c r="R51" s="4">
        <f t="shared" si="9"/>
        <v>506</v>
      </c>
      <c r="S51" s="4">
        <f t="shared" si="9"/>
        <v>192</v>
      </c>
      <c r="T51" s="4">
        <f t="shared" si="9"/>
        <v>231</v>
      </c>
      <c r="U51" s="4">
        <f t="shared" si="9"/>
        <v>88</v>
      </c>
      <c r="V51" s="2"/>
      <c r="W51" s="4"/>
      <c r="X51" s="4"/>
      <c r="Y51" s="4"/>
      <c r="Z51" s="2"/>
      <c r="AA51" s="4"/>
      <c r="AB51" s="4"/>
      <c r="AC51" s="4"/>
      <c r="AD51" s="2"/>
      <c r="AE51" s="2"/>
      <c r="AF51" s="2"/>
      <c r="AG51" s="2"/>
      <c r="AH51" s="2"/>
      <c r="AI51" s="5"/>
      <c r="AJ51" s="2"/>
      <c r="AK51" s="2"/>
      <c r="AL51" s="2"/>
      <c r="AM51" s="2"/>
      <c r="AN51" s="2"/>
      <c r="AO51" s="2"/>
      <c r="AP51" s="5"/>
      <c r="AQ51" s="5"/>
    </row>
    <row r="52">
      <c r="A52" s="2"/>
      <c r="B52" s="5"/>
      <c r="C52" s="2"/>
      <c r="D52" s="55"/>
      <c r="E52" s="55"/>
      <c r="F52" s="72">
        <f t="shared" si="10"/>
        <v>693271</v>
      </c>
      <c r="G52" s="2"/>
      <c r="H52" s="3" t="s">
        <v>77</v>
      </c>
      <c r="I52" s="2"/>
      <c r="J52" s="39">
        <f t="shared" ref="J52:U52" si="11">J21*$F$21+J22*$F$22+J23*$F$23+J24*$F$24+J25*$F$25+J26*$F$26+J27*$F$27+J28*$F$28+J29*$F$29+J30*$F$30+J31*$F$31+J32*$F$32+J33*$F$33+J34*$F$34+J35*$F$35+J36*$F$36+J37*$F$37+J38*$F$38+J39*$F$39+J40*$F$40</f>
        <v>107643</v>
      </c>
      <c r="K52" s="39">
        <f t="shared" si="11"/>
        <v>38966</v>
      </c>
      <c r="L52" s="39">
        <f t="shared" si="11"/>
        <v>94311</v>
      </c>
      <c r="M52" s="39">
        <f t="shared" si="11"/>
        <v>56599</v>
      </c>
      <c r="N52" s="39">
        <f t="shared" si="11"/>
        <v>79173</v>
      </c>
      <c r="O52" s="39">
        <f t="shared" si="11"/>
        <v>100677</v>
      </c>
      <c r="P52" s="39">
        <f t="shared" si="11"/>
        <v>29703</v>
      </c>
      <c r="Q52" s="39">
        <f t="shared" si="11"/>
        <v>28677</v>
      </c>
      <c r="R52" s="39">
        <f t="shared" si="11"/>
        <v>78532</v>
      </c>
      <c r="S52" s="39">
        <f t="shared" si="11"/>
        <v>29583</v>
      </c>
      <c r="T52" s="39">
        <f t="shared" si="11"/>
        <v>36033</v>
      </c>
      <c r="U52" s="39">
        <f t="shared" si="11"/>
        <v>13374</v>
      </c>
      <c r="V52" s="2"/>
      <c r="W52" s="4"/>
      <c r="X52" s="4"/>
      <c r="Y52" s="4"/>
      <c r="Z52" s="2"/>
      <c r="AA52" s="4"/>
      <c r="AB52" s="4"/>
      <c r="AC52" s="4"/>
      <c r="AD52" s="2"/>
      <c r="AE52" s="2"/>
      <c r="AF52" s="2"/>
      <c r="AG52" s="2"/>
      <c r="AH52" s="2"/>
      <c r="AI52" s="5"/>
      <c r="AJ52" s="2"/>
      <c r="AK52" s="2"/>
      <c r="AL52" s="2"/>
      <c r="AM52" s="2"/>
      <c r="AN52" s="2"/>
      <c r="AO52" s="2"/>
      <c r="AP52" s="5"/>
      <c r="AQ52" s="5"/>
    </row>
    <row r="53" ht="6.75" customHeight="1">
      <c r="A53" s="2"/>
      <c r="B53" s="5"/>
      <c r="C53" s="2"/>
      <c r="D53" s="55"/>
      <c r="E53" s="55"/>
      <c r="F53" s="71"/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2"/>
      <c r="W53" s="4"/>
      <c r="X53" s="4"/>
      <c r="Y53" s="4"/>
      <c r="Z53" s="2"/>
      <c r="AA53" s="4"/>
      <c r="AB53" s="4"/>
      <c r="AC53" s="4"/>
      <c r="AD53" s="2"/>
      <c r="AE53" s="2"/>
      <c r="AF53" s="2"/>
      <c r="AG53" s="2"/>
      <c r="AH53" s="2"/>
      <c r="AI53" s="5"/>
      <c r="AJ53" s="2"/>
      <c r="AK53" s="2"/>
      <c r="AL53" s="2"/>
      <c r="AM53" s="2"/>
      <c r="AN53" s="2"/>
      <c r="AO53" s="2"/>
      <c r="AP53" s="5"/>
      <c r="AQ53" s="5"/>
    </row>
    <row r="54">
      <c r="A54" s="2"/>
      <c r="B54" s="5"/>
      <c r="C54" s="2"/>
      <c r="D54" s="55"/>
      <c r="E54" s="55"/>
      <c r="F54" s="72">
        <f>sum(J54:U54)</f>
        <v>415962.6</v>
      </c>
      <c r="G54" s="13"/>
      <c r="H54" s="13" t="s">
        <v>78</v>
      </c>
      <c r="I54" s="2"/>
      <c r="J54" s="39">
        <f t="shared" ref="J54:U54" si="12">J52*$F$7</f>
        <v>64585.8</v>
      </c>
      <c r="K54" s="39">
        <f t="shared" si="12"/>
        <v>23379.6</v>
      </c>
      <c r="L54" s="39">
        <f t="shared" si="12"/>
        <v>56586.6</v>
      </c>
      <c r="M54" s="39">
        <f t="shared" si="12"/>
        <v>33959.4</v>
      </c>
      <c r="N54" s="39">
        <f t="shared" si="12"/>
        <v>47503.8</v>
      </c>
      <c r="O54" s="39">
        <f t="shared" si="12"/>
        <v>60406.2</v>
      </c>
      <c r="P54" s="39">
        <f t="shared" si="12"/>
        <v>17821.8</v>
      </c>
      <c r="Q54" s="39">
        <f t="shared" si="12"/>
        <v>17206.2</v>
      </c>
      <c r="R54" s="39">
        <f t="shared" si="12"/>
        <v>47119.2</v>
      </c>
      <c r="S54" s="39">
        <f t="shared" si="12"/>
        <v>17749.8</v>
      </c>
      <c r="T54" s="39">
        <f t="shared" si="12"/>
        <v>21619.8</v>
      </c>
      <c r="U54" s="39">
        <f t="shared" si="12"/>
        <v>8024.4</v>
      </c>
      <c r="V54" s="2"/>
      <c r="W54" s="4"/>
      <c r="X54" s="4"/>
      <c r="Y54" s="4"/>
      <c r="Z54" s="2"/>
      <c r="AA54" s="4"/>
      <c r="AB54" s="4"/>
      <c r="AC54" s="4"/>
      <c r="AD54" s="2"/>
      <c r="AE54" s="2"/>
      <c r="AF54" s="2"/>
      <c r="AG54" s="2"/>
      <c r="AH54" s="2"/>
      <c r="AI54" s="5"/>
      <c r="AJ54" s="2"/>
      <c r="AK54" s="2"/>
      <c r="AL54" s="2"/>
      <c r="AM54" s="2"/>
      <c r="AN54" s="2"/>
      <c r="AO54" s="2"/>
      <c r="AP54" s="5"/>
      <c r="AQ54" s="5"/>
    </row>
    <row r="55" ht="6.75" customHeight="1">
      <c r="A55" s="2"/>
      <c r="B55" s="5"/>
      <c r="C55" s="2"/>
      <c r="D55" s="55"/>
      <c r="E55" s="55"/>
      <c r="F55" s="71"/>
      <c r="G55" s="13"/>
      <c r="H55" s="13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2"/>
      <c r="W55" s="4"/>
      <c r="X55" s="4"/>
      <c r="Y55" s="4"/>
      <c r="Z55" s="2"/>
      <c r="AA55" s="4"/>
      <c r="AB55" s="4"/>
      <c r="AC55" s="4"/>
      <c r="AD55" s="2"/>
      <c r="AE55" s="2"/>
      <c r="AF55" s="2"/>
      <c r="AG55" s="2"/>
      <c r="AH55" s="2"/>
      <c r="AI55" s="5"/>
      <c r="AJ55" s="2"/>
      <c r="AK55" s="2"/>
      <c r="AL55" s="2"/>
      <c r="AM55" s="2"/>
      <c r="AN55" s="2"/>
      <c r="AO55" s="2"/>
      <c r="AP55" s="5"/>
      <c r="AQ55" s="5"/>
    </row>
    <row r="56">
      <c r="A56" s="2"/>
      <c r="B56" s="5"/>
      <c r="C56" s="2"/>
      <c r="D56" s="73">
        <f>F54+F56</f>
        <v>671612.7015</v>
      </c>
      <c r="E56" s="55"/>
      <c r="F56" s="72">
        <f>sum(J75:U75)</f>
        <v>255650.1015</v>
      </c>
      <c r="G56" s="13"/>
      <c r="H56" s="13" t="s">
        <v>79</v>
      </c>
      <c r="I56" s="2"/>
      <c r="J56" s="39">
        <f t="shared" ref="J56:U56" si="13">J52-J54</f>
        <v>43057.2</v>
      </c>
      <c r="K56" s="39">
        <f t="shared" si="13"/>
        <v>15586.4</v>
      </c>
      <c r="L56" s="39">
        <f t="shared" si="13"/>
        <v>37724.4</v>
      </c>
      <c r="M56" s="39">
        <f t="shared" si="13"/>
        <v>22639.6</v>
      </c>
      <c r="N56" s="39">
        <f t="shared" si="13"/>
        <v>31669.2</v>
      </c>
      <c r="O56" s="39">
        <f t="shared" si="13"/>
        <v>40270.8</v>
      </c>
      <c r="P56" s="39">
        <f t="shared" si="13"/>
        <v>11881.2</v>
      </c>
      <c r="Q56" s="39">
        <f t="shared" si="13"/>
        <v>11470.8</v>
      </c>
      <c r="R56" s="39">
        <f t="shared" si="13"/>
        <v>31412.8</v>
      </c>
      <c r="S56" s="39">
        <f t="shared" si="13"/>
        <v>11833.2</v>
      </c>
      <c r="T56" s="39">
        <f t="shared" si="13"/>
        <v>14413.2</v>
      </c>
      <c r="U56" s="39">
        <f t="shared" si="13"/>
        <v>5349.6</v>
      </c>
      <c r="V56" s="2"/>
      <c r="W56" s="4"/>
      <c r="X56" s="4"/>
      <c r="Y56" s="4"/>
      <c r="Z56" s="2"/>
      <c r="AA56" s="4"/>
      <c r="AB56" s="4"/>
      <c r="AC56" s="4"/>
      <c r="AD56" s="2"/>
      <c r="AE56" s="2"/>
      <c r="AF56" s="2"/>
      <c r="AG56" s="2"/>
      <c r="AH56" s="2"/>
      <c r="AI56" s="5"/>
      <c r="AJ56" s="2"/>
      <c r="AK56" s="2"/>
      <c r="AL56" s="2"/>
      <c r="AM56" s="2"/>
      <c r="AN56" s="2"/>
      <c r="AO56" s="2"/>
      <c r="AP56" s="5"/>
      <c r="AQ56" s="5"/>
    </row>
    <row r="57" ht="6.0" customHeight="1">
      <c r="A57" s="2"/>
      <c r="B57" s="5"/>
      <c r="C57" s="2"/>
      <c r="D57" s="55"/>
      <c r="E57" s="55"/>
      <c r="F57" s="55"/>
      <c r="G57" s="13"/>
      <c r="H57" s="13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2"/>
      <c r="W57" s="4"/>
      <c r="X57" s="4"/>
      <c r="Y57" s="4"/>
      <c r="Z57" s="2"/>
      <c r="AA57" s="4"/>
      <c r="AB57" s="4"/>
      <c r="AC57" s="4"/>
      <c r="AD57" s="2"/>
      <c r="AE57" s="2"/>
      <c r="AF57" s="2"/>
      <c r="AG57" s="2"/>
      <c r="AH57" s="2"/>
      <c r="AI57" s="5"/>
      <c r="AJ57" s="2"/>
      <c r="AK57" s="2"/>
      <c r="AL57" s="2"/>
      <c r="AM57" s="2"/>
      <c r="AN57" s="2"/>
      <c r="AO57" s="2"/>
      <c r="AP57" s="5"/>
      <c r="AQ57" s="5"/>
    </row>
    <row r="58">
      <c r="A58" s="2"/>
      <c r="B58" s="5"/>
      <c r="C58" s="2"/>
      <c r="D58" s="55"/>
      <c r="E58" s="55"/>
      <c r="F58" s="55"/>
      <c r="G58" s="13"/>
      <c r="H58" s="13" t="s">
        <v>80</v>
      </c>
      <c r="I58" s="2"/>
      <c r="J58" s="39">
        <f t="shared" ref="J58:U58" si="14">J56*$F$8/12*$F$10/30</f>
        <v>653.0342</v>
      </c>
      <c r="K58" s="39">
        <f t="shared" si="14"/>
        <v>236.3937333</v>
      </c>
      <c r="L58" s="39">
        <f t="shared" si="14"/>
        <v>572.1534</v>
      </c>
      <c r="M58" s="39">
        <f t="shared" si="14"/>
        <v>343.3672667</v>
      </c>
      <c r="N58" s="39">
        <f t="shared" si="14"/>
        <v>480.3162</v>
      </c>
      <c r="O58" s="39">
        <f t="shared" si="14"/>
        <v>610.7738</v>
      </c>
      <c r="P58" s="39">
        <f t="shared" si="14"/>
        <v>180.1982</v>
      </c>
      <c r="Q58" s="39">
        <f t="shared" si="14"/>
        <v>173.9738</v>
      </c>
      <c r="R58" s="39">
        <f t="shared" si="14"/>
        <v>476.4274667</v>
      </c>
      <c r="S58" s="39">
        <f t="shared" si="14"/>
        <v>179.4702</v>
      </c>
      <c r="T58" s="39">
        <f t="shared" si="14"/>
        <v>218.6002</v>
      </c>
      <c r="U58" s="39">
        <f t="shared" si="14"/>
        <v>81.1356</v>
      </c>
      <c r="V58" s="2"/>
      <c r="W58" s="4"/>
      <c r="X58" s="4"/>
      <c r="Y58" s="4"/>
      <c r="Z58" s="2"/>
      <c r="AA58" s="4"/>
      <c r="AB58" s="4"/>
      <c r="AC58" s="4"/>
      <c r="AD58" s="2"/>
      <c r="AE58" s="2"/>
      <c r="AF58" s="2"/>
      <c r="AG58" s="2"/>
      <c r="AH58" s="2"/>
      <c r="AI58" s="5"/>
      <c r="AJ58" s="2"/>
      <c r="AK58" s="2"/>
      <c r="AL58" s="2"/>
      <c r="AM58" s="2"/>
      <c r="AN58" s="2"/>
      <c r="AO58" s="2"/>
      <c r="AP58" s="5"/>
      <c r="AQ58" s="5"/>
    </row>
    <row r="59">
      <c r="A59" s="2"/>
      <c r="B59" s="5"/>
      <c r="C59" s="2"/>
      <c r="D59" s="55"/>
      <c r="E59" s="55"/>
      <c r="F59" s="55"/>
      <c r="G59" s="13"/>
      <c r="H59" s="13" t="s">
        <v>81</v>
      </c>
      <c r="I59" s="2"/>
      <c r="J59" s="39">
        <f t="shared" ref="J59:U59" si="15">J56*$F$9/12*$F$10/30</f>
        <v>1088.390333</v>
      </c>
      <c r="K59" s="39">
        <f t="shared" si="15"/>
        <v>393.9895556</v>
      </c>
      <c r="L59" s="39">
        <f t="shared" si="15"/>
        <v>953.589</v>
      </c>
      <c r="M59" s="39">
        <f t="shared" si="15"/>
        <v>572.2787778</v>
      </c>
      <c r="N59" s="39">
        <f t="shared" si="15"/>
        <v>800.527</v>
      </c>
      <c r="O59" s="39">
        <f t="shared" si="15"/>
        <v>1017.956333</v>
      </c>
      <c r="P59" s="39">
        <f t="shared" si="15"/>
        <v>300.3303333</v>
      </c>
      <c r="Q59" s="39">
        <f t="shared" si="15"/>
        <v>289.9563333</v>
      </c>
      <c r="R59" s="39">
        <f t="shared" si="15"/>
        <v>794.0457778</v>
      </c>
      <c r="S59" s="39">
        <f t="shared" si="15"/>
        <v>299.117</v>
      </c>
      <c r="T59" s="39">
        <f t="shared" si="15"/>
        <v>364.3336667</v>
      </c>
      <c r="U59" s="39">
        <f t="shared" si="15"/>
        <v>135.226</v>
      </c>
      <c r="V59" s="2"/>
      <c r="W59" s="4"/>
      <c r="X59" s="4"/>
      <c r="Y59" s="4"/>
      <c r="Z59" s="2"/>
      <c r="AA59" s="4"/>
      <c r="AB59" s="4"/>
      <c r="AC59" s="4"/>
      <c r="AD59" s="2"/>
      <c r="AE59" s="2"/>
      <c r="AF59" s="2"/>
      <c r="AG59" s="2"/>
      <c r="AH59" s="2"/>
      <c r="AI59" s="5"/>
      <c r="AJ59" s="2"/>
      <c r="AK59" s="2"/>
      <c r="AL59" s="2"/>
      <c r="AM59" s="2"/>
      <c r="AN59" s="2"/>
      <c r="AO59" s="2"/>
      <c r="AP59" s="5"/>
      <c r="AQ59" s="5"/>
    </row>
    <row r="60">
      <c r="A60" s="2"/>
      <c r="B60" s="5"/>
      <c r="C60" s="2"/>
      <c r="D60" s="55"/>
      <c r="E60" s="55"/>
      <c r="F60" s="55"/>
      <c r="G60" s="13"/>
      <c r="H60" s="13" t="s">
        <v>82</v>
      </c>
      <c r="I60" s="2"/>
      <c r="J60" s="39">
        <f t="shared" ref="J60:U60" si="16">J58+J59</f>
        <v>1741.424533</v>
      </c>
      <c r="K60" s="39">
        <f t="shared" si="16"/>
        <v>630.3832889</v>
      </c>
      <c r="L60" s="39">
        <f t="shared" si="16"/>
        <v>1525.7424</v>
      </c>
      <c r="M60" s="39">
        <f t="shared" si="16"/>
        <v>915.6460444</v>
      </c>
      <c r="N60" s="39">
        <f t="shared" si="16"/>
        <v>1280.8432</v>
      </c>
      <c r="O60" s="39">
        <f t="shared" si="16"/>
        <v>1628.730133</v>
      </c>
      <c r="P60" s="39">
        <f t="shared" si="16"/>
        <v>480.5285333</v>
      </c>
      <c r="Q60" s="39">
        <f t="shared" si="16"/>
        <v>463.9301333</v>
      </c>
      <c r="R60" s="39">
        <f t="shared" si="16"/>
        <v>1270.473244</v>
      </c>
      <c r="S60" s="39">
        <f t="shared" si="16"/>
        <v>478.5872</v>
      </c>
      <c r="T60" s="39">
        <f t="shared" si="16"/>
        <v>582.9338667</v>
      </c>
      <c r="U60" s="39">
        <f t="shared" si="16"/>
        <v>216.3616</v>
      </c>
      <c r="V60" s="2"/>
      <c r="W60" s="4"/>
      <c r="X60" s="4"/>
      <c r="Y60" s="4"/>
      <c r="Z60" s="2"/>
      <c r="AA60" s="4"/>
      <c r="AB60" s="4"/>
      <c r="AC60" s="4"/>
      <c r="AD60" s="2"/>
      <c r="AE60" s="2"/>
      <c r="AF60" s="2"/>
      <c r="AG60" s="2"/>
      <c r="AH60" s="2"/>
      <c r="AI60" s="5"/>
      <c r="AJ60" s="2"/>
      <c r="AK60" s="2"/>
      <c r="AL60" s="2"/>
      <c r="AM60" s="2"/>
      <c r="AN60" s="2"/>
      <c r="AO60" s="2"/>
      <c r="AP60" s="5"/>
      <c r="AQ60" s="5"/>
    </row>
    <row r="61">
      <c r="A61" s="2"/>
      <c r="B61" s="5"/>
      <c r="C61" s="2"/>
      <c r="D61" s="55"/>
      <c r="E61" s="55"/>
      <c r="F61" s="55"/>
      <c r="G61" s="13"/>
      <c r="H61" s="13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2"/>
      <c r="W61" s="4"/>
      <c r="X61" s="4"/>
      <c r="Y61" s="4"/>
      <c r="Z61" s="2"/>
      <c r="AA61" s="4"/>
      <c r="AB61" s="4"/>
      <c r="AC61" s="4"/>
      <c r="AD61" s="2"/>
      <c r="AE61" s="2"/>
      <c r="AF61" s="2"/>
      <c r="AG61" s="2"/>
      <c r="AH61" s="2"/>
      <c r="AI61" s="5"/>
      <c r="AJ61" s="2"/>
      <c r="AK61" s="2"/>
      <c r="AL61" s="2"/>
      <c r="AM61" s="2"/>
      <c r="AN61" s="2"/>
      <c r="AO61" s="2"/>
      <c r="AP61" s="5"/>
      <c r="AQ61" s="5"/>
    </row>
    <row r="62">
      <c r="A62" s="2"/>
      <c r="B62" s="5"/>
      <c r="C62" s="2"/>
      <c r="D62" s="55"/>
      <c r="E62" s="55"/>
      <c r="F62" s="55"/>
      <c r="G62" s="13">
        <v>1.0</v>
      </c>
      <c r="H62" s="13">
        <v>30.0</v>
      </c>
      <c r="I62" s="2"/>
      <c r="J62" s="4">
        <f t="shared" ref="J62:U62" si="17">if($F$10&lt;=$H$62,J56+J60,0)</f>
        <v>0</v>
      </c>
      <c r="K62" s="4">
        <f t="shared" si="17"/>
        <v>0</v>
      </c>
      <c r="L62" s="4">
        <f t="shared" si="17"/>
        <v>0</v>
      </c>
      <c r="M62" s="4">
        <f t="shared" si="17"/>
        <v>0</v>
      </c>
      <c r="N62" s="4">
        <f t="shared" si="17"/>
        <v>0</v>
      </c>
      <c r="O62" s="4">
        <f t="shared" si="17"/>
        <v>0</v>
      </c>
      <c r="P62" s="4">
        <f t="shared" si="17"/>
        <v>0</v>
      </c>
      <c r="Q62" s="4">
        <f t="shared" si="17"/>
        <v>0</v>
      </c>
      <c r="R62" s="4">
        <f t="shared" si="17"/>
        <v>0</v>
      </c>
      <c r="S62" s="4">
        <f t="shared" si="17"/>
        <v>0</v>
      </c>
      <c r="T62" s="4">
        <f t="shared" si="17"/>
        <v>0</v>
      </c>
      <c r="U62" s="4">
        <f t="shared" si="17"/>
        <v>0</v>
      </c>
      <c r="V62" s="2"/>
      <c r="W62" s="4"/>
      <c r="X62" s="4"/>
      <c r="Y62" s="4"/>
      <c r="Z62" s="2"/>
      <c r="AA62" s="4"/>
      <c r="AB62" s="4"/>
      <c r="AC62" s="4"/>
      <c r="AD62" s="2"/>
      <c r="AE62" s="2"/>
      <c r="AF62" s="2"/>
      <c r="AG62" s="2"/>
      <c r="AH62" s="2"/>
      <c r="AI62" s="5"/>
      <c r="AJ62" s="2"/>
      <c r="AK62" s="2"/>
      <c r="AL62" s="2"/>
      <c r="AM62" s="2"/>
      <c r="AN62" s="2"/>
      <c r="AO62" s="2"/>
      <c r="AP62" s="5"/>
      <c r="AQ62" s="5"/>
    </row>
    <row r="63">
      <c r="A63" s="2"/>
      <c r="B63" s="5"/>
      <c r="C63" s="2"/>
      <c r="D63" s="2"/>
      <c r="E63" s="2"/>
      <c r="F63" s="3"/>
      <c r="G63" s="13">
        <v>2.0</v>
      </c>
      <c r="H63" s="13">
        <v>60.0</v>
      </c>
      <c r="I63" s="2"/>
      <c r="J63" s="4"/>
      <c r="K63" s="4">
        <f t="shared" ref="K63:V63" si="18">if(and($F$10&gt;$H$62,$F$10&lt;=$H$63),J56+J60,0)</f>
        <v>0</v>
      </c>
      <c r="L63" s="4">
        <f t="shared" si="18"/>
        <v>0</v>
      </c>
      <c r="M63" s="4">
        <f t="shared" si="18"/>
        <v>0</v>
      </c>
      <c r="N63" s="4">
        <f t="shared" si="18"/>
        <v>0</v>
      </c>
      <c r="O63" s="4">
        <f t="shared" si="18"/>
        <v>0</v>
      </c>
      <c r="P63" s="4">
        <f t="shared" si="18"/>
        <v>0</v>
      </c>
      <c r="Q63" s="4">
        <f t="shared" si="18"/>
        <v>0</v>
      </c>
      <c r="R63" s="4">
        <f t="shared" si="18"/>
        <v>0</v>
      </c>
      <c r="S63" s="4">
        <f t="shared" si="18"/>
        <v>0</v>
      </c>
      <c r="T63" s="4">
        <f t="shared" si="18"/>
        <v>0</v>
      </c>
      <c r="U63" s="4">
        <f t="shared" si="18"/>
        <v>0</v>
      </c>
      <c r="V63" s="4">
        <f t="shared" si="18"/>
        <v>0</v>
      </c>
      <c r="W63" s="4"/>
      <c r="X63" s="4"/>
      <c r="Y63" s="4"/>
      <c r="Z63" s="2"/>
      <c r="AA63" s="4"/>
      <c r="AB63" s="4"/>
      <c r="AC63" s="4"/>
      <c r="AD63" s="2"/>
      <c r="AE63" s="2"/>
      <c r="AF63" s="2"/>
      <c r="AG63" s="2"/>
      <c r="AH63" s="2"/>
      <c r="AI63" s="5"/>
      <c r="AJ63" s="2"/>
      <c r="AK63" s="2"/>
      <c r="AL63" s="2"/>
      <c r="AM63" s="2"/>
      <c r="AN63" s="2"/>
      <c r="AO63" s="2"/>
      <c r="AP63" s="5"/>
      <c r="AQ63" s="5"/>
    </row>
    <row r="64">
      <c r="A64" s="2"/>
      <c r="B64" s="5"/>
      <c r="C64" s="2"/>
      <c r="D64" s="2"/>
      <c r="E64" s="4"/>
      <c r="F64" s="4"/>
      <c r="G64" s="13">
        <v>3.0</v>
      </c>
      <c r="H64" s="13">
        <v>90.0</v>
      </c>
      <c r="I64" s="4"/>
      <c r="J64" s="4"/>
      <c r="K64" s="4"/>
      <c r="L64" s="4">
        <f t="shared" ref="L64:W64" si="19">if(and($F$10&gt;$H$63,$F$10&lt;=$H$64),J56+J60,0)</f>
        <v>0</v>
      </c>
      <c r="M64" s="4">
        <f t="shared" si="19"/>
        <v>0</v>
      </c>
      <c r="N64" s="4">
        <f t="shared" si="19"/>
        <v>0</v>
      </c>
      <c r="O64" s="4">
        <f t="shared" si="19"/>
        <v>0</v>
      </c>
      <c r="P64" s="4">
        <f t="shared" si="19"/>
        <v>0</v>
      </c>
      <c r="Q64" s="4">
        <f t="shared" si="19"/>
        <v>0</v>
      </c>
      <c r="R64" s="4">
        <f t="shared" si="19"/>
        <v>0</v>
      </c>
      <c r="S64" s="4">
        <f t="shared" si="19"/>
        <v>0</v>
      </c>
      <c r="T64" s="4">
        <f t="shared" si="19"/>
        <v>0</v>
      </c>
      <c r="U64" s="4">
        <f t="shared" si="19"/>
        <v>0</v>
      </c>
      <c r="V64" s="4">
        <f t="shared" si="19"/>
        <v>0</v>
      </c>
      <c r="W64" s="4">
        <f t="shared" si="19"/>
        <v>0</v>
      </c>
      <c r="X64" s="4"/>
      <c r="Y64" s="4"/>
      <c r="Z64" s="2"/>
      <c r="AA64" s="4"/>
      <c r="AB64" s="4"/>
      <c r="AC64" s="4"/>
      <c r="AD64" s="2"/>
      <c r="AE64" s="2"/>
      <c r="AF64" s="2"/>
      <c r="AG64" s="2"/>
      <c r="AH64" s="2"/>
      <c r="AI64" s="5"/>
      <c r="AJ64" s="2"/>
      <c r="AK64" s="2"/>
      <c r="AL64" s="2"/>
      <c r="AM64" s="2"/>
      <c r="AN64" s="2"/>
      <c r="AO64" s="2"/>
      <c r="AP64" s="5"/>
      <c r="AQ64" s="5"/>
    </row>
    <row r="65">
      <c r="A65" s="2"/>
      <c r="B65" s="5"/>
      <c r="C65" s="2"/>
      <c r="D65" s="2"/>
      <c r="E65" s="4"/>
      <c r="F65" s="4"/>
      <c r="G65" s="13">
        <v>4.0</v>
      </c>
      <c r="H65" s="13">
        <v>120.0</v>
      </c>
      <c r="I65" s="4"/>
      <c r="J65" s="4"/>
      <c r="K65" s="4"/>
      <c r="L65" s="4"/>
      <c r="M65" s="39">
        <f t="shared" ref="M65:X65" si="20">if(and($F$10&gt;$H$64,$F$10&lt;=$H$65),J56+J60,0)</f>
        <v>44798.62453</v>
      </c>
      <c r="N65" s="39">
        <f t="shared" si="20"/>
        <v>16216.78329</v>
      </c>
      <c r="O65" s="39">
        <f t="shared" si="20"/>
        <v>39250.1424</v>
      </c>
      <c r="P65" s="39">
        <f t="shared" si="20"/>
        <v>23555.24604</v>
      </c>
      <c r="Q65" s="39">
        <f t="shared" si="20"/>
        <v>32950.0432</v>
      </c>
      <c r="R65" s="39">
        <f t="shared" si="20"/>
        <v>41899.53013</v>
      </c>
      <c r="S65" s="39">
        <f t="shared" si="20"/>
        <v>12361.72853</v>
      </c>
      <c r="T65" s="39">
        <f t="shared" si="20"/>
        <v>11934.73013</v>
      </c>
      <c r="U65" s="39">
        <f t="shared" si="20"/>
        <v>32683.27324</v>
      </c>
      <c r="V65" s="39">
        <f t="shared" si="20"/>
        <v>12311.7872</v>
      </c>
      <c r="W65" s="39">
        <f t="shared" si="20"/>
        <v>14996.13387</v>
      </c>
      <c r="X65" s="39">
        <f t="shared" si="20"/>
        <v>5565.9616</v>
      </c>
      <c r="Y65" s="4"/>
      <c r="Z65" s="2"/>
      <c r="AA65" s="4"/>
      <c r="AB65" s="4"/>
      <c r="AC65" s="4"/>
      <c r="AD65" s="2"/>
      <c r="AE65" s="2"/>
      <c r="AF65" s="2"/>
      <c r="AG65" s="2"/>
      <c r="AH65" s="2"/>
      <c r="AI65" s="5"/>
      <c r="AJ65" s="2"/>
      <c r="AK65" s="2"/>
      <c r="AL65" s="2"/>
      <c r="AM65" s="2"/>
      <c r="AN65" s="2"/>
      <c r="AO65" s="2"/>
      <c r="AP65" s="5"/>
      <c r="AQ65" s="5"/>
    </row>
    <row r="66">
      <c r="A66" s="2"/>
      <c r="B66" s="5"/>
      <c r="C66" s="2"/>
      <c r="D66" s="2"/>
      <c r="E66" s="4"/>
      <c r="F66" s="4"/>
      <c r="G66" s="13">
        <v>5.0</v>
      </c>
      <c r="H66" s="13">
        <v>150.0</v>
      </c>
      <c r="I66" s="4"/>
      <c r="J66" s="4"/>
      <c r="K66" s="4"/>
      <c r="L66" s="4"/>
      <c r="M66" s="4"/>
      <c r="N66" s="4">
        <f t="shared" ref="N66:Y66" si="21">if(and($F$10&gt;$H$65,$F$10&lt;=$H$66),J56+J60,0)</f>
        <v>0</v>
      </c>
      <c r="O66" s="4">
        <f t="shared" si="21"/>
        <v>0</v>
      </c>
      <c r="P66" s="4">
        <f t="shared" si="21"/>
        <v>0</v>
      </c>
      <c r="Q66" s="4">
        <f t="shared" si="21"/>
        <v>0</v>
      </c>
      <c r="R66" s="4">
        <f t="shared" si="21"/>
        <v>0</v>
      </c>
      <c r="S66" s="4">
        <f t="shared" si="21"/>
        <v>0</v>
      </c>
      <c r="T66" s="4">
        <f t="shared" si="21"/>
        <v>0</v>
      </c>
      <c r="U66" s="4">
        <f t="shared" si="21"/>
        <v>0</v>
      </c>
      <c r="V66" s="4">
        <f t="shared" si="21"/>
        <v>0</v>
      </c>
      <c r="W66" s="4">
        <f t="shared" si="21"/>
        <v>0</v>
      </c>
      <c r="X66" s="4">
        <f t="shared" si="21"/>
        <v>0</v>
      </c>
      <c r="Y66" s="4">
        <f t="shared" si="21"/>
        <v>0</v>
      </c>
      <c r="Z66" s="2"/>
      <c r="AA66" s="4"/>
      <c r="AB66" s="4"/>
      <c r="AC66" s="4"/>
      <c r="AD66" s="2"/>
      <c r="AE66" s="2"/>
      <c r="AF66" s="2"/>
      <c r="AG66" s="2"/>
      <c r="AH66" s="2"/>
      <c r="AI66" s="5"/>
      <c r="AJ66" s="2"/>
      <c r="AK66" s="2"/>
      <c r="AL66" s="2"/>
      <c r="AM66" s="2"/>
      <c r="AN66" s="2"/>
      <c r="AO66" s="2"/>
      <c r="AP66" s="5"/>
      <c r="AQ66" s="5"/>
    </row>
    <row r="67">
      <c r="A67" s="2"/>
      <c r="B67" s="5"/>
      <c r="C67" s="2"/>
      <c r="D67" s="2"/>
      <c r="E67" s="4"/>
      <c r="F67" s="4"/>
      <c r="G67" s="13">
        <v>6.0</v>
      </c>
      <c r="H67" s="13">
        <v>180.0</v>
      </c>
      <c r="I67" s="4"/>
      <c r="J67" s="4"/>
      <c r="K67" s="4"/>
      <c r="L67" s="4"/>
      <c r="M67" s="4"/>
      <c r="N67" s="4"/>
      <c r="O67" s="4">
        <f t="shared" ref="O67:Z67" si="22">if(and($F$10&gt;$H$66,$F$10&lt;=$H$67),J56+J60,0)</f>
        <v>0</v>
      </c>
      <c r="P67" s="4">
        <f t="shared" si="22"/>
        <v>0</v>
      </c>
      <c r="Q67" s="4">
        <f t="shared" si="22"/>
        <v>0</v>
      </c>
      <c r="R67" s="4">
        <f t="shared" si="22"/>
        <v>0</v>
      </c>
      <c r="S67" s="4">
        <f t="shared" si="22"/>
        <v>0</v>
      </c>
      <c r="T67" s="4">
        <f t="shared" si="22"/>
        <v>0</v>
      </c>
      <c r="U67" s="4">
        <f t="shared" si="22"/>
        <v>0</v>
      </c>
      <c r="V67" s="4">
        <f t="shared" si="22"/>
        <v>0</v>
      </c>
      <c r="W67" s="4">
        <f t="shared" si="22"/>
        <v>0</v>
      </c>
      <c r="X67" s="4">
        <f t="shared" si="22"/>
        <v>0</v>
      </c>
      <c r="Y67" s="4">
        <f t="shared" si="22"/>
        <v>0</v>
      </c>
      <c r="Z67" s="4">
        <f t="shared" si="22"/>
        <v>0</v>
      </c>
      <c r="AA67" s="4"/>
      <c r="AB67" s="4"/>
      <c r="AC67" s="4"/>
      <c r="AD67" s="2"/>
      <c r="AE67" s="2"/>
      <c r="AF67" s="2"/>
      <c r="AG67" s="2"/>
      <c r="AH67" s="2"/>
      <c r="AI67" s="5"/>
      <c r="AJ67" s="2"/>
      <c r="AK67" s="2"/>
      <c r="AL67" s="2"/>
      <c r="AM67" s="2"/>
      <c r="AN67" s="2"/>
      <c r="AO67" s="2"/>
      <c r="AP67" s="5"/>
      <c r="AQ67" s="5"/>
    </row>
    <row r="68">
      <c r="A68" s="2"/>
      <c r="B68" s="5"/>
      <c r="C68" s="2"/>
      <c r="D68" s="2"/>
      <c r="E68" s="2"/>
      <c r="F68" s="2"/>
      <c r="G68" s="13">
        <v>7.0</v>
      </c>
      <c r="H68" s="13">
        <v>210.0</v>
      </c>
      <c r="I68" s="2"/>
      <c r="J68" s="4"/>
      <c r="K68" s="4"/>
      <c r="L68" s="4"/>
      <c r="M68" s="4"/>
      <c r="N68" s="4"/>
      <c r="O68" s="4"/>
      <c r="P68" s="4">
        <f t="shared" ref="P68:AA68" si="23">if(and($F$10&gt;$H$67,$F$10&lt;=$H$68),J56+J60,0)</f>
        <v>0</v>
      </c>
      <c r="Q68" s="4">
        <f t="shared" si="23"/>
        <v>0</v>
      </c>
      <c r="R68" s="4">
        <f t="shared" si="23"/>
        <v>0</v>
      </c>
      <c r="S68" s="4">
        <f t="shared" si="23"/>
        <v>0</v>
      </c>
      <c r="T68" s="4">
        <f t="shared" si="23"/>
        <v>0</v>
      </c>
      <c r="U68" s="4">
        <f t="shared" si="23"/>
        <v>0</v>
      </c>
      <c r="V68" s="4">
        <f t="shared" si="23"/>
        <v>0</v>
      </c>
      <c r="W68" s="4">
        <f t="shared" si="23"/>
        <v>0</v>
      </c>
      <c r="X68" s="4">
        <f t="shared" si="23"/>
        <v>0</v>
      </c>
      <c r="Y68" s="4">
        <f t="shared" si="23"/>
        <v>0</v>
      </c>
      <c r="Z68" s="4">
        <f t="shared" si="23"/>
        <v>0</v>
      </c>
      <c r="AA68" s="4">
        <f t="shared" si="23"/>
        <v>0</v>
      </c>
      <c r="AB68" s="4"/>
      <c r="AC68" s="4"/>
      <c r="AD68" s="2"/>
      <c r="AE68" s="2"/>
      <c r="AF68" s="2"/>
      <c r="AG68" s="2"/>
      <c r="AH68" s="2"/>
      <c r="AI68" s="5"/>
      <c r="AJ68" s="2"/>
      <c r="AK68" s="2"/>
      <c r="AL68" s="2"/>
      <c r="AM68" s="2"/>
      <c r="AN68" s="2"/>
      <c r="AO68" s="2"/>
      <c r="AP68" s="5"/>
      <c r="AQ68" s="5"/>
    </row>
    <row r="69">
      <c r="A69" s="2"/>
      <c r="B69" s="5"/>
      <c r="C69" s="2"/>
      <c r="D69" s="2"/>
      <c r="E69" s="2"/>
      <c r="F69" s="2"/>
      <c r="G69" s="13">
        <v>8.0</v>
      </c>
      <c r="H69" s="13">
        <v>240.0</v>
      </c>
      <c r="I69" s="2"/>
      <c r="J69" s="4"/>
      <c r="K69" s="4"/>
      <c r="L69" s="4"/>
      <c r="M69" s="4"/>
      <c r="N69" s="4"/>
      <c r="O69" s="4"/>
      <c r="P69" s="4"/>
      <c r="Q69" s="4">
        <f t="shared" ref="Q69:AB69" si="24">if(and($F$10&gt;$H$68,$F$10&lt;=$H$69),J56+J60,0)</f>
        <v>0</v>
      </c>
      <c r="R69" s="4">
        <f t="shared" si="24"/>
        <v>0</v>
      </c>
      <c r="S69" s="4">
        <f t="shared" si="24"/>
        <v>0</v>
      </c>
      <c r="T69" s="4">
        <f t="shared" si="24"/>
        <v>0</v>
      </c>
      <c r="U69" s="4">
        <f t="shared" si="24"/>
        <v>0</v>
      </c>
      <c r="V69" s="4">
        <f t="shared" si="24"/>
        <v>0</v>
      </c>
      <c r="W69" s="4">
        <f t="shared" si="24"/>
        <v>0</v>
      </c>
      <c r="X69" s="4">
        <f t="shared" si="24"/>
        <v>0</v>
      </c>
      <c r="Y69" s="4">
        <f t="shared" si="24"/>
        <v>0</v>
      </c>
      <c r="Z69" s="4">
        <f t="shared" si="24"/>
        <v>0</v>
      </c>
      <c r="AA69" s="4">
        <f t="shared" si="24"/>
        <v>0</v>
      </c>
      <c r="AB69" s="4">
        <f t="shared" si="24"/>
        <v>0</v>
      </c>
      <c r="AC69" s="4"/>
      <c r="AD69" s="2"/>
      <c r="AE69" s="2"/>
      <c r="AF69" s="2"/>
      <c r="AG69" s="2"/>
      <c r="AH69" s="2"/>
      <c r="AI69" s="5"/>
      <c r="AJ69" s="2"/>
      <c r="AK69" s="2"/>
      <c r="AL69" s="2"/>
      <c r="AM69" s="2"/>
      <c r="AN69" s="2"/>
      <c r="AO69" s="2"/>
      <c r="AP69" s="5"/>
      <c r="AQ69" s="5"/>
    </row>
    <row r="70">
      <c r="A70" s="2"/>
      <c r="B70" s="5"/>
      <c r="C70" s="2"/>
      <c r="D70" s="2"/>
      <c r="E70" s="2"/>
      <c r="F70" s="2"/>
      <c r="G70" s="13">
        <v>9.0</v>
      </c>
      <c r="H70" s="13">
        <v>270.0</v>
      </c>
      <c r="I70" s="2"/>
      <c r="J70" s="4"/>
      <c r="K70" s="4"/>
      <c r="L70" s="4"/>
      <c r="M70" s="4"/>
      <c r="N70" s="4"/>
      <c r="O70" s="4"/>
      <c r="P70" s="4"/>
      <c r="Q70" s="4"/>
      <c r="R70" s="4">
        <f t="shared" ref="R70:AC70" si="25">if(and($F$10&gt;$H$69,$F$10&lt;=$H$70),J56+J60,0)</f>
        <v>0</v>
      </c>
      <c r="S70" s="4">
        <f t="shared" si="25"/>
        <v>0</v>
      </c>
      <c r="T70" s="4">
        <f t="shared" si="25"/>
        <v>0</v>
      </c>
      <c r="U70" s="4">
        <f t="shared" si="25"/>
        <v>0</v>
      </c>
      <c r="V70" s="4">
        <f t="shared" si="25"/>
        <v>0</v>
      </c>
      <c r="W70" s="4">
        <f t="shared" si="25"/>
        <v>0</v>
      </c>
      <c r="X70" s="4">
        <f t="shared" si="25"/>
        <v>0</v>
      </c>
      <c r="Y70" s="4">
        <f t="shared" si="25"/>
        <v>0</v>
      </c>
      <c r="Z70" s="4">
        <f t="shared" si="25"/>
        <v>0</v>
      </c>
      <c r="AA70" s="4">
        <f t="shared" si="25"/>
        <v>0</v>
      </c>
      <c r="AB70" s="4">
        <f t="shared" si="25"/>
        <v>0</v>
      </c>
      <c r="AC70" s="4">
        <f t="shared" si="25"/>
        <v>0</v>
      </c>
      <c r="AD70" s="2"/>
      <c r="AE70" s="2"/>
      <c r="AF70" s="2"/>
      <c r="AG70" s="2"/>
      <c r="AH70" s="2"/>
      <c r="AI70" s="5"/>
      <c r="AJ70" s="2"/>
      <c r="AK70" s="2"/>
      <c r="AL70" s="2"/>
      <c r="AM70" s="2"/>
      <c r="AN70" s="2"/>
      <c r="AO70" s="2"/>
      <c r="AP70" s="5"/>
      <c r="AQ70" s="5"/>
    </row>
    <row r="71">
      <c r="A71" s="2"/>
      <c r="B71" s="5"/>
      <c r="C71" s="2"/>
      <c r="D71" s="2"/>
      <c r="E71" s="2"/>
      <c r="F71" s="2"/>
      <c r="G71" s="13">
        <v>10.0</v>
      </c>
      <c r="H71" s="13">
        <v>300.0</v>
      </c>
      <c r="I71" s="2"/>
      <c r="J71" s="4"/>
      <c r="K71" s="4"/>
      <c r="L71" s="4"/>
      <c r="M71" s="4"/>
      <c r="N71" s="4"/>
      <c r="O71" s="4"/>
      <c r="P71" s="4"/>
      <c r="Q71" s="4"/>
      <c r="R71" s="4"/>
      <c r="S71" s="4">
        <f t="shared" ref="S71:AD71" si="26">if(and($F$10&gt;$H$70,$F$10&lt;=$H$71),J56+J60,0)</f>
        <v>0</v>
      </c>
      <c r="T71" s="4">
        <f t="shared" si="26"/>
        <v>0</v>
      </c>
      <c r="U71" s="4">
        <f t="shared" si="26"/>
        <v>0</v>
      </c>
      <c r="V71" s="4">
        <f t="shared" si="26"/>
        <v>0</v>
      </c>
      <c r="W71" s="4">
        <f t="shared" si="26"/>
        <v>0</v>
      </c>
      <c r="X71" s="4">
        <f t="shared" si="26"/>
        <v>0</v>
      </c>
      <c r="Y71" s="4">
        <f t="shared" si="26"/>
        <v>0</v>
      </c>
      <c r="Z71" s="4">
        <f t="shared" si="26"/>
        <v>0</v>
      </c>
      <c r="AA71" s="4">
        <f t="shared" si="26"/>
        <v>0</v>
      </c>
      <c r="AB71" s="4">
        <f t="shared" si="26"/>
        <v>0</v>
      </c>
      <c r="AC71" s="4">
        <f t="shared" si="26"/>
        <v>0</v>
      </c>
      <c r="AD71" s="4">
        <f t="shared" si="26"/>
        <v>0</v>
      </c>
      <c r="AE71" s="2"/>
      <c r="AF71" s="2"/>
      <c r="AG71" s="2"/>
      <c r="AH71" s="2"/>
      <c r="AI71" s="5"/>
      <c r="AJ71" s="2"/>
      <c r="AK71" s="2"/>
      <c r="AL71" s="2"/>
      <c r="AM71" s="2"/>
      <c r="AN71" s="2"/>
      <c r="AO71" s="2"/>
      <c r="AP71" s="5"/>
      <c r="AQ71" s="5"/>
    </row>
    <row r="72">
      <c r="A72" s="2"/>
      <c r="B72" s="5"/>
      <c r="C72" s="2"/>
      <c r="D72" s="2"/>
      <c r="E72" s="2"/>
      <c r="F72" s="2"/>
      <c r="G72" s="13">
        <v>11.0</v>
      </c>
      <c r="H72" s="13">
        <v>330.0</v>
      </c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ref="T72:AE72" si="27">if(and($F$10&gt;$H$71,$F$10&lt;=$H$72),J56+J60,0)</f>
        <v>0</v>
      </c>
      <c r="U72" s="4">
        <f t="shared" si="27"/>
        <v>0</v>
      </c>
      <c r="V72" s="4">
        <f t="shared" si="27"/>
        <v>0</v>
      </c>
      <c r="W72" s="4">
        <f t="shared" si="27"/>
        <v>0</v>
      </c>
      <c r="X72" s="4">
        <f t="shared" si="27"/>
        <v>0</v>
      </c>
      <c r="Y72" s="4">
        <f t="shared" si="27"/>
        <v>0</v>
      </c>
      <c r="Z72" s="4">
        <f t="shared" si="27"/>
        <v>0</v>
      </c>
      <c r="AA72" s="4">
        <f t="shared" si="27"/>
        <v>0</v>
      </c>
      <c r="AB72" s="4">
        <f t="shared" si="27"/>
        <v>0</v>
      </c>
      <c r="AC72" s="4">
        <f t="shared" si="27"/>
        <v>0</v>
      </c>
      <c r="AD72" s="4">
        <f t="shared" si="27"/>
        <v>0</v>
      </c>
      <c r="AE72" s="4">
        <f t="shared" si="27"/>
        <v>0</v>
      </c>
      <c r="AF72" s="2"/>
      <c r="AG72" s="2"/>
      <c r="AH72" s="2"/>
      <c r="AI72" s="5"/>
      <c r="AJ72" s="2"/>
      <c r="AK72" s="2"/>
      <c r="AL72" s="2"/>
      <c r="AM72" s="2"/>
      <c r="AN72" s="2"/>
      <c r="AO72" s="2"/>
      <c r="AP72" s="5"/>
      <c r="AQ72" s="5"/>
    </row>
    <row r="73">
      <c r="A73" s="2"/>
      <c r="B73" s="5"/>
      <c r="C73" s="2"/>
      <c r="D73" s="2"/>
      <c r="E73" s="2"/>
      <c r="F73" s="2"/>
      <c r="G73" s="13">
        <v>12.0</v>
      </c>
      <c r="H73" s="13">
        <v>360.0</v>
      </c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>
        <f t="shared" ref="U73:AF73" si="28">if(and($F$10&gt;$H$72,$F$10&lt;=$H$73),J56+J60,0)</f>
        <v>0</v>
      </c>
      <c r="V73" s="4">
        <f t="shared" si="28"/>
        <v>0</v>
      </c>
      <c r="W73" s="4">
        <f t="shared" si="28"/>
        <v>0</v>
      </c>
      <c r="X73" s="4">
        <f t="shared" si="28"/>
        <v>0</v>
      </c>
      <c r="Y73" s="4">
        <f t="shared" si="28"/>
        <v>0</v>
      </c>
      <c r="Z73" s="4">
        <f t="shared" si="28"/>
        <v>0</v>
      </c>
      <c r="AA73" s="4">
        <f t="shared" si="28"/>
        <v>0</v>
      </c>
      <c r="AB73" s="4">
        <f t="shared" si="28"/>
        <v>0</v>
      </c>
      <c r="AC73" s="4">
        <f t="shared" si="28"/>
        <v>0</v>
      </c>
      <c r="AD73" s="4">
        <f t="shared" si="28"/>
        <v>0</v>
      </c>
      <c r="AE73" s="4">
        <f t="shared" si="28"/>
        <v>0</v>
      </c>
      <c r="AF73" s="4">
        <f t="shared" si="28"/>
        <v>0</v>
      </c>
      <c r="AG73" s="2"/>
      <c r="AH73" s="2"/>
      <c r="AI73" s="5"/>
      <c r="AJ73" s="2"/>
      <c r="AK73" s="2"/>
      <c r="AL73" s="2"/>
      <c r="AM73" s="2"/>
      <c r="AN73" s="2"/>
      <c r="AO73" s="2"/>
      <c r="AP73" s="5"/>
      <c r="AQ73" s="5"/>
    </row>
    <row r="74" ht="7.5" customHeight="1">
      <c r="A74" s="2"/>
      <c r="B74" s="5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2"/>
      <c r="W74" s="4"/>
      <c r="X74" s="4"/>
      <c r="Y74" s="4"/>
      <c r="Z74" s="2"/>
      <c r="AA74" s="4"/>
      <c r="AB74" s="4"/>
      <c r="AC74" s="4"/>
      <c r="AD74" s="2"/>
      <c r="AE74" s="2"/>
      <c r="AF74" s="2"/>
      <c r="AG74" s="2"/>
      <c r="AH74" s="2"/>
      <c r="AI74" s="5"/>
      <c r="AJ74" s="2"/>
      <c r="AK74" s="2"/>
      <c r="AL74" s="2"/>
      <c r="AM74" s="2"/>
      <c r="AN74" s="2"/>
      <c r="AO74" s="2"/>
      <c r="AP74" s="5"/>
      <c r="AQ74" s="5"/>
    </row>
    <row r="75">
      <c r="A75" s="2"/>
      <c r="B75" s="5"/>
      <c r="C75" s="2"/>
      <c r="D75" s="2"/>
      <c r="E75" s="2"/>
      <c r="F75" s="2"/>
      <c r="G75" s="2"/>
      <c r="H75" s="2" t="str">
        <f>H56</f>
        <v>Balance Due</v>
      </c>
      <c r="I75" s="2"/>
      <c r="J75" s="39">
        <f t="shared" ref="J75:AF75" si="29">sum(J62:J73)</f>
        <v>0</v>
      </c>
      <c r="K75" s="39">
        <f t="shared" si="29"/>
        <v>0</v>
      </c>
      <c r="L75" s="39">
        <f t="shared" si="29"/>
        <v>0</v>
      </c>
      <c r="M75" s="39">
        <f t="shared" si="29"/>
        <v>44798.62453</v>
      </c>
      <c r="N75" s="39">
        <f t="shared" si="29"/>
        <v>16216.78329</v>
      </c>
      <c r="O75" s="39">
        <f t="shared" si="29"/>
        <v>39250.1424</v>
      </c>
      <c r="P75" s="39">
        <f t="shared" si="29"/>
        <v>23555.24604</v>
      </c>
      <c r="Q75" s="39">
        <f t="shared" si="29"/>
        <v>32950.0432</v>
      </c>
      <c r="R75" s="39">
        <f t="shared" si="29"/>
        <v>41899.53013</v>
      </c>
      <c r="S75" s="39">
        <f t="shared" si="29"/>
        <v>12361.72853</v>
      </c>
      <c r="T75" s="39">
        <f t="shared" si="29"/>
        <v>11934.73013</v>
      </c>
      <c r="U75" s="39">
        <f t="shared" si="29"/>
        <v>32683.27324</v>
      </c>
      <c r="V75" s="39">
        <f t="shared" si="29"/>
        <v>12311.7872</v>
      </c>
      <c r="W75" s="39">
        <f t="shared" si="29"/>
        <v>14996.13387</v>
      </c>
      <c r="X75" s="39">
        <f t="shared" si="29"/>
        <v>5565.9616</v>
      </c>
      <c r="Y75" s="39">
        <f t="shared" si="29"/>
        <v>0</v>
      </c>
      <c r="Z75" s="39">
        <f t="shared" si="29"/>
        <v>0</v>
      </c>
      <c r="AA75" s="39">
        <f t="shared" si="29"/>
        <v>0</v>
      </c>
      <c r="AB75" s="39">
        <f t="shared" si="29"/>
        <v>0</v>
      </c>
      <c r="AC75" s="39">
        <f t="shared" si="29"/>
        <v>0</v>
      </c>
      <c r="AD75" s="39">
        <f t="shared" si="29"/>
        <v>0</v>
      </c>
      <c r="AE75" s="39">
        <f t="shared" si="29"/>
        <v>0</v>
      </c>
      <c r="AF75" s="39">
        <f t="shared" si="29"/>
        <v>0</v>
      </c>
      <c r="AG75" s="2"/>
      <c r="AH75" s="2"/>
      <c r="AI75" s="5"/>
      <c r="AJ75" s="2"/>
      <c r="AK75" s="2"/>
      <c r="AL75" s="2"/>
      <c r="AM75" s="2"/>
      <c r="AN75" s="2"/>
      <c r="AO75" s="2"/>
      <c r="AP75" s="5"/>
      <c r="AQ75" s="5"/>
    </row>
    <row r="76">
      <c r="A76" s="2"/>
      <c r="B76" s="5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2"/>
      <c r="W76" s="4"/>
      <c r="X76" s="4"/>
      <c r="Y76" s="4"/>
      <c r="Z76" s="2"/>
      <c r="AA76" s="4"/>
      <c r="AB76" s="4"/>
      <c r="AC76" s="4"/>
      <c r="AD76" s="2"/>
      <c r="AE76" s="2"/>
      <c r="AF76" s="2"/>
      <c r="AG76" s="2"/>
      <c r="AH76" s="2"/>
      <c r="AI76" s="5"/>
      <c r="AJ76" s="2"/>
      <c r="AK76" s="2"/>
      <c r="AL76" s="2"/>
      <c r="AM76" s="2"/>
      <c r="AN76" s="2"/>
      <c r="AO76" s="2"/>
      <c r="AP76" s="5"/>
      <c r="AQ76" s="5"/>
    </row>
    <row r="77">
      <c r="A77" s="2"/>
      <c r="B77" s="5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2"/>
      <c r="W77" s="4"/>
      <c r="X77" s="4"/>
      <c r="Y77" s="4"/>
      <c r="Z77" s="2"/>
      <c r="AA77" s="4"/>
      <c r="AB77" s="4"/>
      <c r="AC77" s="4"/>
      <c r="AD77" s="2"/>
      <c r="AE77" s="2"/>
      <c r="AF77" s="2"/>
      <c r="AG77" s="2"/>
      <c r="AH77" s="2"/>
      <c r="AI77" s="5"/>
      <c r="AJ77" s="2"/>
      <c r="AK77" s="2"/>
      <c r="AL77" s="2"/>
      <c r="AM77" s="2"/>
      <c r="AN77" s="2"/>
      <c r="AO77" s="2"/>
      <c r="AP77" s="5"/>
      <c r="AQ77" s="5"/>
    </row>
    <row r="78">
      <c r="A78" s="2"/>
      <c r="B78" s="5"/>
      <c r="C78" s="2"/>
      <c r="D78" s="74" t="s">
        <v>83</v>
      </c>
      <c r="F78" s="2"/>
      <c r="G78" s="2"/>
      <c r="H78" s="75" t="str">
        <f t="shared" ref="H78:H80" si="31">J7</f>
        <v>10 ft</v>
      </c>
      <c r="I78" s="75"/>
      <c r="J78" s="76">
        <f t="shared" ref="J78:U78" si="30">if(J45=0,0,if(J44="Sea",$K$7,if(J44="Air",$L$7,$M$7)+if($J$42="yes",$H$7,0)))</f>
        <v>7500</v>
      </c>
      <c r="K78" s="76">
        <f t="shared" si="30"/>
        <v>3500</v>
      </c>
      <c r="L78" s="76">
        <f t="shared" si="30"/>
        <v>9000</v>
      </c>
      <c r="M78" s="76">
        <f t="shared" si="30"/>
        <v>9000</v>
      </c>
      <c r="N78" s="76">
        <f t="shared" si="30"/>
        <v>3500</v>
      </c>
      <c r="O78" s="76">
        <f t="shared" si="30"/>
        <v>7500</v>
      </c>
      <c r="P78" s="76">
        <f t="shared" si="30"/>
        <v>9000</v>
      </c>
      <c r="Q78" s="76">
        <f t="shared" si="30"/>
        <v>3500</v>
      </c>
      <c r="R78" s="76">
        <f t="shared" si="30"/>
        <v>7500</v>
      </c>
      <c r="S78" s="76">
        <f t="shared" si="30"/>
        <v>9000</v>
      </c>
      <c r="T78" s="76">
        <f t="shared" si="30"/>
        <v>3500</v>
      </c>
      <c r="U78" s="76">
        <f t="shared" si="30"/>
        <v>9000</v>
      </c>
      <c r="V78" s="2"/>
      <c r="W78" s="4"/>
      <c r="X78" s="4"/>
      <c r="Y78" s="4"/>
      <c r="Z78" s="2"/>
      <c r="AA78" s="4"/>
      <c r="AB78" s="4"/>
      <c r="AC78" s="4"/>
      <c r="AD78" s="2"/>
      <c r="AE78" s="2"/>
      <c r="AF78" s="2"/>
      <c r="AG78" s="2"/>
      <c r="AH78" s="2"/>
      <c r="AI78" s="5"/>
      <c r="AJ78" s="2"/>
      <c r="AK78" s="2"/>
      <c r="AL78" s="2"/>
      <c r="AM78" s="2"/>
      <c r="AN78" s="2"/>
      <c r="AO78" s="2"/>
      <c r="AP78" s="5"/>
      <c r="AQ78" s="5"/>
    </row>
    <row r="79">
      <c r="A79" s="2"/>
      <c r="B79" s="5"/>
      <c r="C79" s="2"/>
      <c r="D79" s="2"/>
      <c r="E79" s="2"/>
      <c r="F79" s="2"/>
      <c r="G79" s="2"/>
      <c r="H79" s="75" t="str">
        <f t="shared" si="31"/>
        <v>20 ft</v>
      </c>
      <c r="I79" s="75"/>
      <c r="J79" s="76">
        <f>if(J45=0,0,if(J44="Sea",$K$8,if(J44="Air",$L$8,$M$8)+if($J$42="yes",$H$8,0)))</f>
        <v>14000</v>
      </c>
      <c r="K79" s="76">
        <f t="shared" ref="K79:U79" si="32">if(K45=0,0,if(K44="Sea",$K$8,if(K44="Air",$L$8,$M$8)))</f>
        <v>8000</v>
      </c>
      <c r="L79" s="76">
        <f t="shared" si="32"/>
        <v>11500</v>
      </c>
      <c r="M79" s="76">
        <f t="shared" si="32"/>
        <v>11500</v>
      </c>
      <c r="N79" s="76">
        <f t="shared" si="32"/>
        <v>8000</v>
      </c>
      <c r="O79" s="76">
        <f t="shared" si="32"/>
        <v>10000</v>
      </c>
      <c r="P79" s="76">
        <f t="shared" si="32"/>
        <v>11500</v>
      </c>
      <c r="Q79" s="76">
        <f t="shared" si="32"/>
        <v>8000</v>
      </c>
      <c r="R79" s="76">
        <f t="shared" si="32"/>
        <v>10000</v>
      </c>
      <c r="S79" s="76">
        <f t="shared" si="32"/>
        <v>11500</v>
      </c>
      <c r="T79" s="76">
        <f t="shared" si="32"/>
        <v>8000</v>
      </c>
      <c r="U79" s="76">
        <f t="shared" si="32"/>
        <v>11500</v>
      </c>
      <c r="V79" s="2"/>
      <c r="W79" s="4"/>
      <c r="X79" s="4"/>
      <c r="Y79" s="4"/>
      <c r="Z79" s="2"/>
      <c r="AA79" s="4"/>
      <c r="AB79" s="4"/>
      <c r="AC79" s="4"/>
      <c r="AD79" s="2"/>
      <c r="AE79" s="2"/>
      <c r="AF79" s="2"/>
      <c r="AG79" s="2"/>
      <c r="AH79" s="2"/>
      <c r="AI79" s="5"/>
      <c r="AJ79" s="2"/>
      <c r="AK79" s="2"/>
      <c r="AL79" s="2"/>
      <c r="AM79" s="2"/>
      <c r="AN79" s="2"/>
      <c r="AO79" s="2"/>
      <c r="AP79" s="5"/>
      <c r="AQ79" s="5"/>
    </row>
    <row r="80">
      <c r="A80" s="2"/>
      <c r="B80" s="5"/>
      <c r="C80" s="2"/>
      <c r="D80" s="2"/>
      <c r="E80" s="2"/>
      <c r="F80" s="2"/>
      <c r="G80" s="2"/>
      <c r="H80" s="75" t="str">
        <f t="shared" si="31"/>
        <v>40 ft</v>
      </c>
      <c r="I80" s="75"/>
      <c r="J80" s="76">
        <f t="shared" ref="J80:U80" si="33">if(J45=0,0,if(J44="Sea",$K$9,if(J44="Air",$L$9,$M$9)+if($J$42="yes",$H$9,0)))</f>
        <v>20000</v>
      </c>
      <c r="K80" s="76">
        <f t="shared" si="33"/>
        <v>12000</v>
      </c>
      <c r="L80" s="76">
        <f t="shared" si="33"/>
        <v>21500</v>
      </c>
      <c r="M80" s="76">
        <f t="shared" si="33"/>
        <v>21500</v>
      </c>
      <c r="N80" s="76">
        <f t="shared" si="33"/>
        <v>12000</v>
      </c>
      <c r="O80" s="76">
        <f t="shared" si="33"/>
        <v>20000</v>
      </c>
      <c r="P80" s="76">
        <f t="shared" si="33"/>
        <v>21500</v>
      </c>
      <c r="Q80" s="76">
        <f t="shared" si="33"/>
        <v>12000</v>
      </c>
      <c r="R80" s="76">
        <f t="shared" si="33"/>
        <v>20000</v>
      </c>
      <c r="S80" s="76">
        <f t="shared" si="33"/>
        <v>21500</v>
      </c>
      <c r="T80" s="76">
        <f t="shared" si="33"/>
        <v>12000</v>
      </c>
      <c r="U80" s="76">
        <f t="shared" si="33"/>
        <v>21500</v>
      </c>
      <c r="V80" s="2"/>
      <c r="W80" s="4"/>
      <c r="X80" s="4"/>
      <c r="Y80" s="4"/>
      <c r="Z80" s="2"/>
      <c r="AA80" s="4"/>
      <c r="AB80" s="4"/>
      <c r="AC80" s="4"/>
      <c r="AD80" s="2"/>
      <c r="AE80" s="2"/>
      <c r="AF80" s="2"/>
      <c r="AG80" s="2"/>
      <c r="AH80" s="2"/>
      <c r="AI80" s="5"/>
      <c r="AJ80" s="2"/>
      <c r="AK80" s="2"/>
      <c r="AL80" s="2"/>
      <c r="AM80" s="2"/>
      <c r="AN80" s="2"/>
      <c r="AO80" s="2"/>
      <c r="AP80" s="5"/>
      <c r="AQ80" s="5"/>
    </row>
    <row r="81">
      <c r="A81" s="2"/>
      <c r="B81" s="5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2"/>
      <c r="W81" s="4"/>
      <c r="X81" s="4"/>
      <c r="Y81" s="4"/>
      <c r="Z81" s="2"/>
      <c r="AA81" s="4"/>
      <c r="AB81" s="4"/>
      <c r="AC81" s="4"/>
      <c r="AD81" s="2"/>
      <c r="AE81" s="2"/>
      <c r="AF81" s="2"/>
      <c r="AG81" s="2"/>
      <c r="AH81" s="2"/>
      <c r="AI81" s="5"/>
      <c r="AJ81" s="2"/>
      <c r="AK81" s="2"/>
      <c r="AL81" s="2"/>
      <c r="AM81" s="2"/>
      <c r="AN81" s="2"/>
      <c r="AO81" s="2"/>
      <c r="AP81" s="5"/>
      <c r="AQ81" s="5"/>
    </row>
    <row r="82">
      <c r="A82" s="2"/>
      <c r="B82" s="5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2"/>
      <c r="W82" s="4"/>
      <c r="X82" s="4"/>
      <c r="Y82" s="4"/>
      <c r="Z82" s="2"/>
      <c r="AA82" s="4"/>
      <c r="AB82" s="4"/>
      <c r="AC82" s="4"/>
      <c r="AD82" s="2"/>
      <c r="AE82" s="2"/>
      <c r="AF82" s="2"/>
      <c r="AG82" s="2"/>
      <c r="AH82" s="2"/>
      <c r="AI82" s="5"/>
      <c r="AJ82" s="2"/>
      <c r="AK82" s="2"/>
      <c r="AL82" s="2"/>
      <c r="AM82" s="2"/>
      <c r="AN82" s="2"/>
      <c r="AO82" s="2"/>
      <c r="AP82" s="5"/>
      <c r="AQ82" s="5"/>
    </row>
    <row r="83">
      <c r="A83" s="2"/>
      <c r="B83" s="5"/>
      <c r="C83" s="2"/>
      <c r="D83" s="77" t="s">
        <v>84</v>
      </c>
      <c r="F83" s="2"/>
      <c r="G83" s="13"/>
      <c r="H83" s="13" t="s">
        <v>85</v>
      </c>
      <c r="I83" s="2"/>
      <c r="J83" s="39">
        <f t="shared" ref="J83:U83" si="34">if(J45=0,0,if(J43="10 ft",J78*J45,if(J43="20 ft",J79*J45,J80*J45)))</f>
        <v>7500</v>
      </c>
      <c r="K83" s="39">
        <f t="shared" si="34"/>
        <v>12000</v>
      </c>
      <c r="L83" s="39">
        <f t="shared" si="34"/>
        <v>43000</v>
      </c>
      <c r="M83" s="39">
        <f t="shared" si="34"/>
        <v>11500</v>
      </c>
      <c r="N83" s="39">
        <f t="shared" si="34"/>
        <v>5250</v>
      </c>
      <c r="O83" s="39">
        <f t="shared" si="34"/>
        <v>20000</v>
      </c>
      <c r="P83" s="39">
        <f t="shared" si="34"/>
        <v>21500</v>
      </c>
      <c r="Q83" s="39">
        <f t="shared" si="34"/>
        <v>4375</v>
      </c>
      <c r="R83" s="39">
        <f t="shared" si="34"/>
        <v>7500</v>
      </c>
      <c r="S83" s="39">
        <f t="shared" si="34"/>
        <v>11500</v>
      </c>
      <c r="T83" s="39">
        <f t="shared" si="34"/>
        <v>12000</v>
      </c>
      <c r="U83" s="39">
        <f t="shared" si="34"/>
        <v>11500</v>
      </c>
      <c r="V83" s="2"/>
      <c r="W83" s="4"/>
      <c r="X83" s="4"/>
      <c r="Y83" s="4"/>
      <c r="Z83" s="2"/>
      <c r="AA83" s="4"/>
      <c r="AB83" s="4"/>
      <c r="AC83" s="4"/>
      <c r="AD83" s="2"/>
      <c r="AE83" s="2"/>
      <c r="AF83" s="2"/>
      <c r="AG83" s="2"/>
      <c r="AH83" s="2"/>
      <c r="AI83" s="5"/>
      <c r="AJ83" s="2"/>
      <c r="AK83" s="2"/>
      <c r="AL83" s="2"/>
      <c r="AM83" s="2"/>
      <c r="AN83" s="2"/>
      <c r="AO83" s="2"/>
      <c r="AP83" s="5"/>
      <c r="AQ83" s="5"/>
    </row>
    <row r="84">
      <c r="A84" s="2"/>
      <c r="B84" s="5"/>
      <c r="C84" s="2"/>
      <c r="D84" s="2"/>
      <c r="E84" s="2"/>
      <c r="F84" s="2"/>
      <c r="G84" s="13"/>
      <c r="H84" s="13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2"/>
      <c r="W84" s="4"/>
      <c r="X84" s="4"/>
      <c r="Y84" s="4"/>
      <c r="Z84" s="2"/>
      <c r="AA84" s="4"/>
      <c r="AB84" s="4"/>
      <c r="AC84" s="4"/>
      <c r="AD84" s="2"/>
      <c r="AE84" s="2"/>
      <c r="AF84" s="2"/>
      <c r="AG84" s="2"/>
      <c r="AH84" s="2"/>
      <c r="AI84" s="5"/>
      <c r="AJ84" s="2"/>
      <c r="AK84" s="2"/>
      <c r="AL84" s="2"/>
      <c r="AM84" s="2"/>
      <c r="AN84" s="2"/>
      <c r="AO84" s="2"/>
      <c r="AP84" s="5"/>
      <c r="AQ84" s="5"/>
    </row>
    <row r="85">
      <c r="A85" s="2"/>
      <c r="B85" s="5"/>
      <c r="C85" s="2"/>
      <c r="D85" s="2"/>
      <c r="E85" s="2"/>
      <c r="F85" s="2"/>
      <c r="G85" s="13">
        <v>1.0</v>
      </c>
      <c r="H85" s="13">
        <v>30.0</v>
      </c>
      <c r="I85" s="2"/>
      <c r="J85" s="4">
        <f t="shared" ref="J85:U85" si="35">if($F$6&lt;=$H$85,J83,0)</f>
        <v>0</v>
      </c>
      <c r="K85" s="4">
        <f t="shared" si="35"/>
        <v>0</v>
      </c>
      <c r="L85" s="4">
        <f t="shared" si="35"/>
        <v>0</v>
      </c>
      <c r="M85" s="4">
        <f t="shared" si="35"/>
        <v>0</v>
      </c>
      <c r="N85" s="4">
        <f t="shared" si="35"/>
        <v>0</v>
      </c>
      <c r="O85" s="4">
        <f t="shared" si="35"/>
        <v>0</v>
      </c>
      <c r="P85" s="4">
        <f t="shared" si="35"/>
        <v>0</v>
      </c>
      <c r="Q85" s="4">
        <f t="shared" si="35"/>
        <v>0</v>
      </c>
      <c r="R85" s="4">
        <f t="shared" si="35"/>
        <v>0</v>
      </c>
      <c r="S85" s="4">
        <f t="shared" si="35"/>
        <v>0</v>
      </c>
      <c r="T85" s="4">
        <f t="shared" si="35"/>
        <v>0</v>
      </c>
      <c r="U85" s="4">
        <f t="shared" si="35"/>
        <v>0</v>
      </c>
      <c r="V85" s="2"/>
      <c r="W85" s="4"/>
      <c r="X85" s="4"/>
      <c r="Y85" s="4"/>
      <c r="Z85" s="2"/>
      <c r="AA85" s="4"/>
      <c r="AB85" s="4"/>
      <c r="AC85" s="4"/>
      <c r="AD85" s="2"/>
      <c r="AE85" s="2"/>
      <c r="AF85" s="2"/>
      <c r="AG85" s="2"/>
      <c r="AH85" s="2"/>
      <c r="AI85" s="5"/>
      <c r="AJ85" s="2"/>
      <c r="AK85" s="2"/>
      <c r="AL85" s="2"/>
      <c r="AM85" s="2"/>
      <c r="AN85" s="2"/>
      <c r="AO85" s="2"/>
      <c r="AP85" s="5"/>
      <c r="AQ85" s="5"/>
    </row>
    <row r="86">
      <c r="A86" s="2"/>
      <c r="B86" s="5"/>
      <c r="C86" s="2"/>
      <c r="D86" s="2"/>
      <c r="E86" s="2"/>
      <c r="F86" s="2"/>
      <c r="G86" s="13">
        <v>2.0</v>
      </c>
      <c r="H86" s="13">
        <v>60.0</v>
      </c>
      <c r="I86" s="2"/>
      <c r="J86" s="4"/>
      <c r="K86" s="4">
        <f t="shared" ref="K86:V86" si="36">if(and($F$6&gt;$H$85,$F$6&lt;=$H$86),J83,0)</f>
        <v>0</v>
      </c>
      <c r="L86" s="4">
        <f t="shared" si="36"/>
        <v>0</v>
      </c>
      <c r="M86" s="4">
        <f t="shared" si="36"/>
        <v>0</v>
      </c>
      <c r="N86" s="4">
        <f t="shared" si="36"/>
        <v>0</v>
      </c>
      <c r="O86" s="4">
        <f t="shared" si="36"/>
        <v>0</v>
      </c>
      <c r="P86" s="4">
        <f t="shared" si="36"/>
        <v>0</v>
      </c>
      <c r="Q86" s="4">
        <f t="shared" si="36"/>
        <v>0</v>
      </c>
      <c r="R86" s="4">
        <f t="shared" si="36"/>
        <v>0</v>
      </c>
      <c r="S86" s="4">
        <f t="shared" si="36"/>
        <v>0</v>
      </c>
      <c r="T86" s="4">
        <f t="shared" si="36"/>
        <v>0</v>
      </c>
      <c r="U86" s="4">
        <f t="shared" si="36"/>
        <v>0</v>
      </c>
      <c r="V86" s="4">
        <f t="shared" si="36"/>
        <v>0</v>
      </c>
      <c r="W86" s="4"/>
      <c r="X86" s="4"/>
      <c r="Y86" s="4"/>
      <c r="Z86" s="2"/>
      <c r="AA86" s="4"/>
      <c r="AB86" s="4"/>
      <c r="AC86" s="4"/>
      <c r="AD86" s="2"/>
      <c r="AE86" s="2"/>
      <c r="AF86" s="2"/>
      <c r="AG86" s="2"/>
      <c r="AH86" s="2"/>
      <c r="AI86" s="5"/>
      <c r="AJ86" s="2"/>
      <c r="AK86" s="2"/>
      <c r="AL86" s="2"/>
      <c r="AM86" s="2"/>
      <c r="AN86" s="2"/>
      <c r="AO86" s="2"/>
      <c r="AP86" s="5"/>
      <c r="AQ86" s="5"/>
    </row>
    <row r="87">
      <c r="A87" s="2"/>
      <c r="B87" s="5"/>
      <c r="C87" s="2"/>
      <c r="D87" s="2"/>
      <c r="E87" s="2"/>
      <c r="F87" s="2"/>
      <c r="G87" s="13">
        <v>3.0</v>
      </c>
      <c r="H87" s="13">
        <v>90.0</v>
      </c>
      <c r="I87" s="4"/>
      <c r="J87" s="4"/>
      <c r="K87" s="4"/>
      <c r="L87" s="4">
        <f t="shared" ref="L87:W87" si="37">if(and($F$6&gt;$H$86,$F$6&lt;=$H$87),J83,0)</f>
        <v>0</v>
      </c>
      <c r="M87" s="4">
        <f t="shared" si="37"/>
        <v>0</v>
      </c>
      <c r="N87" s="4">
        <f t="shared" si="37"/>
        <v>0</v>
      </c>
      <c r="O87" s="4">
        <f t="shared" si="37"/>
        <v>0</v>
      </c>
      <c r="P87" s="4">
        <f t="shared" si="37"/>
        <v>0</v>
      </c>
      <c r="Q87" s="4">
        <f t="shared" si="37"/>
        <v>0</v>
      </c>
      <c r="R87" s="4">
        <f t="shared" si="37"/>
        <v>0</v>
      </c>
      <c r="S87" s="4">
        <f t="shared" si="37"/>
        <v>0</v>
      </c>
      <c r="T87" s="4">
        <f t="shared" si="37"/>
        <v>0</v>
      </c>
      <c r="U87" s="4">
        <f t="shared" si="37"/>
        <v>0</v>
      </c>
      <c r="V87" s="4">
        <f t="shared" si="37"/>
        <v>0</v>
      </c>
      <c r="W87" s="4">
        <f t="shared" si="37"/>
        <v>0</v>
      </c>
      <c r="X87" s="4"/>
      <c r="Y87" s="4"/>
      <c r="Z87" s="2"/>
      <c r="AA87" s="4"/>
      <c r="AB87" s="4"/>
      <c r="AC87" s="4"/>
      <c r="AD87" s="2"/>
      <c r="AE87" s="2"/>
      <c r="AF87" s="2"/>
      <c r="AG87" s="2"/>
      <c r="AH87" s="2"/>
      <c r="AI87" s="5"/>
      <c r="AJ87" s="2"/>
      <c r="AK87" s="2"/>
      <c r="AL87" s="2"/>
      <c r="AM87" s="2"/>
      <c r="AN87" s="2"/>
      <c r="AO87" s="2"/>
      <c r="AP87" s="5"/>
      <c r="AQ87" s="5"/>
    </row>
    <row r="88">
      <c r="A88" s="2"/>
      <c r="B88" s="5"/>
      <c r="C88" s="2"/>
      <c r="D88" s="2"/>
      <c r="E88" s="2"/>
      <c r="F88" s="2"/>
      <c r="G88" s="13">
        <v>4.0</v>
      </c>
      <c r="H88" s="13">
        <v>120.0</v>
      </c>
      <c r="I88" s="4"/>
      <c r="J88" s="4"/>
      <c r="K88" s="4"/>
      <c r="L88" s="4"/>
      <c r="M88" s="39">
        <f t="shared" ref="M88:X88" si="38">if(and($F$6&gt;$H$87,$F$6&lt;=$H$88),J83,0)</f>
        <v>7500</v>
      </c>
      <c r="N88" s="39">
        <f t="shared" si="38"/>
        <v>12000</v>
      </c>
      <c r="O88" s="39">
        <f t="shared" si="38"/>
        <v>43000</v>
      </c>
      <c r="P88" s="39">
        <f t="shared" si="38"/>
        <v>11500</v>
      </c>
      <c r="Q88" s="39">
        <f t="shared" si="38"/>
        <v>5250</v>
      </c>
      <c r="R88" s="39">
        <f t="shared" si="38"/>
        <v>20000</v>
      </c>
      <c r="S88" s="39">
        <f t="shared" si="38"/>
        <v>21500</v>
      </c>
      <c r="T88" s="39">
        <f t="shared" si="38"/>
        <v>4375</v>
      </c>
      <c r="U88" s="39">
        <f t="shared" si="38"/>
        <v>7500</v>
      </c>
      <c r="V88" s="39">
        <f t="shared" si="38"/>
        <v>11500</v>
      </c>
      <c r="W88" s="39">
        <f t="shared" si="38"/>
        <v>12000</v>
      </c>
      <c r="X88" s="39">
        <f t="shared" si="38"/>
        <v>11500</v>
      </c>
      <c r="Y88" s="4"/>
      <c r="Z88" s="2"/>
      <c r="AA88" s="4"/>
      <c r="AB88" s="4"/>
      <c r="AC88" s="4"/>
      <c r="AD88" s="2"/>
      <c r="AE88" s="2"/>
      <c r="AF88" s="2"/>
      <c r="AG88" s="2"/>
      <c r="AH88" s="2"/>
      <c r="AI88" s="5"/>
      <c r="AJ88" s="2"/>
      <c r="AK88" s="2"/>
      <c r="AL88" s="2"/>
      <c r="AM88" s="2"/>
      <c r="AN88" s="2"/>
      <c r="AO88" s="2"/>
      <c r="AP88" s="5"/>
      <c r="AQ88" s="5"/>
    </row>
    <row r="89">
      <c r="A89" s="2"/>
      <c r="B89" s="5"/>
      <c r="C89" s="2"/>
      <c r="D89" s="2"/>
      <c r="E89" s="2"/>
      <c r="F89" s="2"/>
      <c r="G89" s="13">
        <v>5.0</v>
      </c>
      <c r="H89" s="13">
        <v>150.0</v>
      </c>
      <c r="I89" s="4"/>
      <c r="J89" s="4"/>
      <c r="K89" s="4"/>
      <c r="L89" s="4"/>
      <c r="M89" s="4"/>
      <c r="N89" s="4">
        <f t="shared" ref="N89:Y89" si="39">if(and($F$6&gt;$H$88,$F$6&lt;=$H$89),J83,0)</f>
        <v>0</v>
      </c>
      <c r="O89" s="4">
        <f t="shared" si="39"/>
        <v>0</v>
      </c>
      <c r="P89" s="4">
        <f t="shared" si="39"/>
        <v>0</v>
      </c>
      <c r="Q89" s="4">
        <f t="shared" si="39"/>
        <v>0</v>
      </c>
      <c r="R89" s="4">
        <f t="shared" si="39"/>
        <v>0</v>
      </c>
      <c r="S89" s="4">
        <f t="shared" si="39"/>
        <v>0</v>
      </c>
      <c r="T89" s="4">
        <f t="shared" si="39"/>
        <v>0</v>
      </c>
      <c r="U89" s="4">
        <f t="shared" si="39"/>
        <v>0</v>
      </c>
      <c r="V89" s="4">
        <f t="shared" si="39"/>
        <v>0</v>
      </c>
      <c r="W89" s="4">
        <f t="shared" si="39"/>
        <v>0</v>
      </c>
      <c r="X89" s="4">
        <f t="shared" si="39"/>
        <v>0</v>
      </c>
      <c r="Y89" s="4">
        <f t="shared" si="39"/>
        <v>0</v>
      </c>
      <c r="Z89" s="2"/>
      <c r="AA89" s="4"/>
      <c r="AB89" s="4"/>
      <c r="AC89" s="4"/>
      <c r="AD89" s="2"/>
      <c r="AE89" s="2"/>
      <c r="AF89" s="2"/>
      <c r="AG89" s="2"/>
      <c r="AH89" s="2"/>
      <c r="AI89" s="5"/>
      <c r="AJ89" s="2"/>
      <c r="AK89" s="2"/>
      <c r="AL89" s="2"/>
      <c r="AM89" s="2"/>
      <c r="AN89" s="2"/>
      <c r="AO89" s="2"/>
      <c r="AP89" s="5"/>
      <c r="AQ89" s="5"/>
    </row>
    <row r="90">
      <c r="A90" s="2"/>
      <c r="B90" s="5"/>
      <c r="C90" s="2"/>
      <c r="D90" s="2"/>
      <c r="E90" s="2"/>
      <c r="F90" s="2"/>
      <c r="G90" s="13">
        <v>6.0</v>
      </c>
      <c r="H90" s="13">
        <v>180.0</v>
      </c>
      <c r="I90" s="4"/>
      <c r="J90" s="4"/>
      <c r="K90" s="4"/>
      <c r="L90" s="4"/>
      <c r="M90" s="4"/>
      <c r="N90" s="4"/>
      <c r="O90" s="4">
        <f t="shared" ref="O90:Z90" si="40">if(and($F$6&gt;$H$89,$F$6&lt;=$H$90),J83,0)</f>
        <v>0</v>
      </c>
      <c r="P90" s="4">
        <f t="shared" si="40"/>
        <v>0</v>
      </c>
      <c r="Q90" s="4">
        <f t="shared" si="40"/>
        <v>0</v>
      </c>
      <c r="R90" s="4">
        <f t="shared" si="40"/>
        <v>0</v>
      </c>
      <c r="S90" s="4">
        <f t="shared" si="40"/>
        <v>0</v>
      </c>
      <c r="T90" s="4">
        <f t="shared" si="40"/>
        <v>0</v>
      </c>
      <c r="U90" s="4">
        <f t="shared" si="40"/>
        <v>0</v>
      </c>
      <c r="V90" s="4">
        <f t="shared" si="40"/>
        <v>0</v>
      </c>
      <c r="W90" s="4">
        <f t="shared" si="40"/>
        <v>0</v>
      </c>
      <c r="X90" s="4">
        <f t="shared" si="40"/>
        <v>0</v>
      </c>
      <c r="Y90" s="4">
        <f t="shared" si="40"/>
        <v>0</v>
      </c>
      <c r="Z90" s="4">
        <f t="shared" si="40"/>
        <v>0</v>
      </c>
      <c r="AA90" s="4"/>
      <c r="AB90" s="4"/>
      <c r="AC90" s="4"/>
      <c r="AD90" s="2"/>
      <c r="AE90" s="2"/>
      <c r="AF90" s="2"/>
      <c r="AG90" s="2"/>
      <c r="AH90" s="2"/>
      <c r="AI90" s="5"/>
      <c r="AJ90" s="2"/>
      <c r="AK90" s="2"/>
      <c r="AL90" s="2"/>
      <c r="AM90" s="2"/>
      <c r="AN90" s="2"/>
      <c r="AO90" s="2"/>
      <c r="AP90" s="5"/>
      <c r="AQ90" s="5"/>
    </row>
    <row r="91">
      <c r="A91" s="2"/>
      <c r="B91" s="5"/>
      <c r="C91" s="2"/>
      <c r="D91" s="2"/>
      <c r="E91" s="2"/>
      <c r="F91" s="2"/>
      <c r="G91" s="13">
        <v>7.0</v>
      </c>
      <c r="H91" s="13">
        <v>210.0</v>
      </c>
      <c r="I91" s="2"/>
      <c r="J91" s="4"/>
      <c r="K91" s="4"/>
      <c r="L91" s="4"/>
      <c r="M91" s="4"/>
      <c r="N91" s="4"/>
      <c r="O91" s="4"/>
      <c r="P91" s="4">
        <f t="shared" ref="P91:AA91" si="41">if(and($F$6&gt;$H$90,$F$6&lt;=$H$91),J83,0)</f>
        <v>0</v>
      </c>
      <c r="Q91" s="4">
        <f t="shared" si="41"/>
        <v>0</v>
      </c>
      <c r="R91" s="4">
        <f t="shared" si="41"/>
        <v>0</v>
      </c>
      <c r="S91" s="4">
        <f t="shared" si="41"/>
        <v>0</v>
      </c>
      <c r="T91" s="4">
        <f t="shared" si="41"/>
        <v>0</v>
      </c>
      <c r="U91" s="4">
        <f t="shared" si="41"/>
        <v>0</v>
      </c>
      <c r="V91" s="4">
        <f t="shared" si="41"/>
        <v>0</v>
      </c>
      <c r="W91" s="4">
        <f t="shared" si="41"/>
        <v>0</v>
      </c>
      <c r="X91" s="4">
        <f t="shared" si="41"/>
        <v>0</v>
      </c>
      <c r="Y91" s="4">
        <f t="shared" si="41"/>
        <v>0</v>
      </c>
      <c r="Z91" s="4">
        <f t="shared" si="41"/>
        <v>0</v>
      </c>
      <c r="AA91" s="4">
        <f t="shared" si="41"/>
        <v>0</v>
      </c>
      <c r="AB91" s="4"/>
      <c r="AC91" s="4"/>
      <c r="AD91" s="2"/>
      <c r="AE91" s="2"/>
      <c r="AF91" s="2"/>
      <c r="AG91" s="2"/>
      <c r="AH91" s="2"/>
      <c r="AI91" s="5"/>
      <c r="AJ91" s="2"/>
      <c r="AK91" s="2"/>
      <c r="AL91" s="2"/>
      <c r="AM91" s="2"/>
      <c r="AN91" s="2"/>
      <c r="AO91" s="2"/>
      <c r="AP91" s="5"/>
      <c r="AQ91" s="5"/>
    </row>
    <row r="92">
      <c r="A92" s="2"/>
      <c r="B92" s="5"/>
      <c r="C92" s="2"/>
      <c r="D92" s="2"/>
      <c r="E92" s="2"/>
      <c r="F92" s="2"/>
      <c r="G92" s="13">
        <v>8.0</v>
      </c>
      <c r="H92" s="13">
        <v>240.0</v>
      </c>
      <c r="I92" s="2"/>
      <c r="J92" s="4"/>
      <c r="K92" s="4"/>
      <c r="L92" s="4"/>
      <c r="M92" s="4"/>
      <c r="N92" s="4"/>
      <c r="O92" s="4"/>
      <c r="P92" s="4"/>
      <c r="Q92" s="4">
        <f t="shared" ref="Q92:AB92" si="42">if(and($F$6&gt;$H$91,$F$6&lt;=$H$92),J83,0)</f>
        <v>0</v>
      </c>
      <c r="R92" s="4">
        <f t="shared" si="42"/>
        <v>0</v>
      </c>
      <c r="S92" s="4">
        <f t="shared" si="42"/>
        <v>0</v>
      </c>
      <c r="T92" s="4">
        <f t="shared" si="42"/>
        <v>0</v>
      </c>
      <c r="U92" s="4">
        <f t="shared" si="42"/>
        <v>0</v>
      </c>
      <c r="V92" s="4">
        <f t="shared" si="42"/>
        <v>0</v>
      </c>
      <c r="W92" s="4">
        <f t="shared" si="42"/>
        <v>0</v>
      </c>
      <c r="X92" s="4">
        <f t="shared" si="42"/>
        <v>0</v>
      </c>
      <c r="Y92" s="4">
        <f t="shared" si="42"/>
        <v>0</v>
      </c>
      <c r="Z92" s="4">
        <f t="shared" si="42"/>
        <v>0</v>
      </c>
      <c r="AA92" s="4">
        <f t="shared" si="42"/>
        <v>0</v>
      </c>
      <c r="AB92" s="4">
        <f t="shared" si="42"/>
        <v>0</v>
      </c>
      <c r="AC92" s="4"/>
      <c r="AD92" s="2"/>
      <c r="AE92" s="2"/>
      <c r="AF92" s="2"/>
      <c r="AG92" s="2"/>
      <c r="AH92" s="2"/>
      <c r="AI92" s="5"/>
      <c r="AJ92" s="2"/>
      <c r="AK92" s="2"/>
      <c r="AL92" s="2"/>
      <c r="AM92" s="2"/>
      <c r="AN92" s="2"/>
      <c r="AO92" s="2"/>
      <c r="AP92" s="5"/>
      <c r="AQ92" s="5"/>
    </row>
    <row r="93">
      <c r="A93" s="2"/>
      <c r="B93" s="5"/>
      <c r="C93" s="2"/>
      <c r="D93" s="2"/>
      <c r="E93" s="2"/>
      <c r="F93" s="2"/>
      <c r="G93" s="13">
        <v>9.0</v>
      </c>
      <c r="H93" s="13">
        <v>270.0</v>
      </c>
      <c r="I93" s="2"/>
      <c r="J93" s="4"/>
      <c r="K93" s="4"/>
      <c r="L93" s="4"/>
      <c r="M93" s="4"/>
      <c r="N93" s="4"/>
      <c r="O93" s="4"/>
      <c r="P93" s="4"/>
      <c r="Q93" s="4"/>
      <c r="R93" s="4">
        <f t="shared" ref="R93:AC93" si="43">if(and($F$6&gt;$H$92,$F$6&lt;=$H$93),J83,0)</f>
        <v>0</v>
      </c>
      <c r="S93" s="4">
        <f t="shared" si="43"/>
        <v>0</v>
      </c>
      <c r="T93" s="4">
        <f t="shared" si="43"/>
        <v>0</v>
      </c>
      <c r="U93" s="4">
        <f t="shared" si="43"/>
        <v>0</v>
      </c>
      <c r="V93" s="4">
        <f t="shared" si="43"/>
        <v>0</v>
      </c>
      <c r="W93" s="4">
        <f t="shared" si="43"/>
        <v>0</v>
      </c>
      <c r="X93" s="4">
        <f t="shared" si="43"/>
        <v>0</v>
      </c>
      <c r="Y93" s="4">
        <f t="shared" si="43"/>
        <v>0</v>
      </c>
      <c r="Z93" s="4">
        <f t="shared" si="43"/>
        <v>0</v>
      </c>
      <c r="AA93" s="4">
        <f t="shared" si="43"/>
        <v>0</v>
      </c>
      <c r="AB93" s="4">
        <f t="shared" si="43"/>
        <v>0</v>
      </c>
      <c r="AC93" s="4">
        <f t="shared" si="43"/>
        <v>0</v>
      </c>
      <c r="AD93" s="2"/>
      <c r="AE93" s="2"/>
      <c r="AF93" s="2"/>
      <c r="AG93" s="2"/>
      <c r="AH93" s="2"/>
      <c r="AI93" s="5"/>
      <c r="AJ93" s="2"/>
      <c r="AK93" s="2"/>
      <c r="AL93" s="2"/>
      <c r="AM93" s="2"/>
      <c r="AN93" s="2"/>
      <c r="AO93" s="2"/>
      <c r="AP93" s="5"/>
      <c r="AQ93" s="5"/>
    </row>
    <row r="94">
      <c r="A94" s="2"/>
      <c r="B94" s="5"/>
      <c r="C94" s="2"/>
      <c r="D94" s="2"/>
      <c r="E94" s="2"/>
      <c r="F94" s="2"/>
      <c r="G94" s="13">
        <v>10.0</v>
      </c>
      <c r="H94" s="13">
        <v>300.0</v>
      </c>
      <c r="I94" s="2"/>
      <c r="J94" s="4"/>
      <c r="K94" s="4"/>
      <c r="L94" s="4"/>
      <c r="M94" s="4"/>
      <c r="N94" s="4"/>
      <c r="O94" s="4"/>
      <c r="P94" s="4"/>
      <c r="Q94" s="4"/>
      <c r="R94" s="4"/>
      <c r="S94" s="4">
        <f t="shared" ref="S94:AD94" si="44">if(and($F$6&gt;$H$93,$F$6&lt;=$H$94),J83,0)</f>
        <v>0</v>
      </c>
      <c r="T94" s="4">
        <f t="shared" si="44"/>
        <v>0</v>
      </c>
      <c r="U94" s="4">
        <f t="shared" si="44"/>
        <v>0</v>
      </c>
      <c r="V94" s="4">
        <f t="shared" si="44"/>
        <v>0</v>
      </c>
      <c r="W94" s="4">
        <f t="shared" si="44"/>
        <v>0</v>
      </c>
      <c r="X94" s="4">
        <f t="shared" si="44"/>
        <v>0</v>
      </c>
      <c r="Y94" s="4">
        <f t="shared" si="44"/>
        <v>0</v>
      </c>
      <c r="Z94" s="4">
        <f t="shared" si="44"/>
        <v>0</v>
      </c>
      <c r="AA94" s="4">
        <f t="shared" si="44"/>
        <v>0</v>
      </c>
      <c r="AB94" s="4">
        <f t="shared" si="44"/>
        <v>0</v>
      </c>
      <c r="AC94" s="4">
        <f t="shared" si="44"/>
        <v>0</v>
      </c>
      <c r="AD94" s="4">
        <f t="shared" si="44"/>
        <v>0</v>
      </c>
      <c r="AE94" s="2"/>
      <c r="AF94" s="2"/>
      <c r="AG94" s="2"/>
      <c r="AH94" s="2"/>
      <c r="AI94" s="5"/>
      <c r="AJ94" s="2"/>
      <c r="AK94" s="2"/>
      <c r="AL94" s="2"/>
      <c r="AM94" s="2"/>
      <c r="AN94" s="2"/>
      <c r="AO94" s="2"/>
      <c r="AP94" s="5"/>
      <c r="AQ94" s="5"/>
    </row>
    <row r="95">
      <c r="A95" s="2"/>
      <c r="B95" s="5"/>
      <c r="C95" s="2"/>
      <c r="D95" s="2"/>
      <c r="E95" s="2"/>
      <c r="F95" s="2"/>
      <c r="G95" s="13">
        <v>11.0</v>
      </c>
      <c r="H95" s="13">
        <v>330.0</v>
      </c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ref="T95:AE95" si="45">if(and($F$6&gt;$H$94,$F$6&lt;=$H$95),J83,0)</f>
        <v>0</v>
      </c>
      <c r="U95" s="4">
        <f t="shared" si="45"/>
        <v>0</v>
      </c>
      <c r="V95" s="4">
        <f t="shared" si="45"/>
        <v>0</v>
      </c>
      <c r="W95" s="4">
        <f t="shared" si="45"/>
        <v>0</v>
      </c>
      <c r="X95" s="4">
        <f t="shared" si="45"/>
        <v>0</v>
      </c>
      <c r="Y95" s="4">
        <f t="shared" si="45"/>
        <v>0</v>
      </c>
      <c r="Z95" s="4">
        <f t="shared" si="45"/>
        <v>0</v>
      </c>
      <c r="AA95" s="4">
        <f t="shared" si="45"/>
        <v>0</v>
      </c>
      <c r="AB95" s="4">
        <f t="shared" si="45"/>
        <v>0</v>
      </c>
      <c r="AC95" s="4">
        <f t="shared" si="45"/>
        <v>0</v>
      </c>
      <c r="AD95" s="4">
        <f t="shared" si="45"/>
        <v>0</v>
      </c>
      <c r="AE95" s="4">
        <f t="shared" si="45"/>
        <v>0</v>
      </c>
      <c r="AF95" s="4"/>
      <c r="AG95" s="2"/>
      <c r="AH95" s="2"/>
      <c r="AI95" s="5"/>
      <c r="AJ95" s="2"/>
      <c r="AK95" s="2"/>
      <c r="AL95" s="2"/>
      <c r="AM95" s="2"/>
      <c r="AN95" s="2"/>
      <c r="AO95" s="2"/>
      <c r="AP95" s="5"/>
      <c r="AQ95" s="5"/>
    </row>
    <row r="96">
      <c r="A96" s="2"/>
      <c r="B96" s="5"/>
      <c r="C96" s="2"/>
      <c r="D96" s="2"/>
      <c r="E96" s="2"/>
      <c r="F96" s="2"/>
      <c r="G96" s="13">
        <v>12.0</v>
      </c>
      <c r="H96" s="13">
        <v>360.0</v>
      </c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>
        <f t="shared" ref="U96:AF96" si="46">if(and($F$6&gt;$H$95,$F$6&lt;=$H$96),J83,0)</f>
        <v>0</v>
      </c>
      <c r="V96" s="4">
        <f t="shared" si="46"/>
        <v>0</v>
      </c>
      <c r="W96" s="4">
        <f t="shared" si="46"/>
        <v>0</v>
      </c>
      <c r="X96" s="4">
        <f t="shared" si="46"/>
        <v>0</v>
      </c>
      <c r="Y96" s="4">
        <f t="shared" si="46"/>
        <v>0</v>
      </c>
      <c r="Z96" s="4">
        <f t="shared" si="46"/>
        <v>0</v>
      </c>
      <c r="AA96" s="4">
        <f t="shared" si="46"/>
        <v>0</v>
      </c>
      <c r="AB96" s="4">
        <f t="shared" si="46"/>
        <v>0</v>
      </c>
      <c r="AC96" s="4">
        <f t="shared" si="46"/>
        <v>0</v>
      </c>
      <c r="AD96" s="4">
        <f t="shared" si="46"/>
        <v>0</v>
      </c>
      <c r="AE96" s="4">
        <f t="shared" si="46"/>
        <v>0</v>
      </c>
      <c r="AF96" s="4">
        <f t="shared" si="46"/>
        <v>0</v>
      </c>
      <c r="AG96" s="2"/>
      <c r="AH96" s="2"/>
      <c r="AI96" s="5"/>
      <c r="AJ96" s="2"/>
      <c r="AK96" s="2"/>
      <c r="AL96" s="2"/>
      <c r="AM96" s="2"/>
      <c r="AN96" s="2"/>
      <c r="AO96" s="2"/>
      <c r="AP96" s="5"/>
      <c r="AQ96" s="5"/>
    </row>
    <row r="97">
      <c r="A97" s="2"/>
      <c r="B97" s="5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2"/>
      <c r="W97" s="4"/>
      <c r="X97" s="4"/>
      <c r="Y97" s="4"/>
      <c r="Z97" s="2"/>
      <c r="AA97" s="4"/>
      <c r="AB97" s="4"/>
      <c r="AC97" s="4"/>
      <c r="AD97" s="2"/>
      <c r="AE97" s="2"/>
      <c r="AF97" s="2"/>
      <c r="AG97" s="2"/>
      <c r="AH97" s="2"/>
      <c r="AI97" s="5"/>
      <c r="AJ97" s="2"/>
      <c r="AK97" s="2"/>
      <c r="AL97" s="2"/>
      <c r="AM97" s="2"/>
      <c r="AN97" s="2"/>
      <c r="AO97" s="2"/>
      <c r="AP97" s="5"/>
      <c r="AQ97" s="5"/>
    </row>
    <row r="98">
      <c r="A98" s="2"/>
      <c r="B98" s="5"/>
      <c r="C98" s="2"/>
      <c r="D98" s="2"/>
      <c r="E98" s="2"/>
      <c r="F98" s="2"/>
      <c r="G98" s="2"/>
      <c r="H98" s="2"/>
      <c r="I98" s="2"/>
      <c r="J98" s="39">
        <f t="shared" ref="J98:AF98" si="47">sum(J85:J96)</f>
        <v>0</v>
      </c>
      <c r="K98" s="39">
        <f t="shared" si="47"/>
        <v>0</v>
      </c>
      <c r="L98" s="39">
        <f t="shared" si="47"/>
        <v>0</v>
      </c>
      <c r="M98" s="39">
        <f t="shared" si="47"/>
        <v>7500</v>
      </c>
      <c r="N98" s="39">
        <f t="shared" si="47"/>
        <v>12000</v>
      </c>
      <c r="O98" s="39">
        <f t="shared" si="47"/>
        <v>43000</v>
      </c>
      <c r="P98" s="39">
        <f t="shared" si="47"/>
        <v>11500</v>
      </c>
      <c r="Q98" s="39">
        <f t="shared" si="47"/>
        <v>5250</v>
      </c>
      <c r="R98" s="39">
        <f t="shared" si="47"/>
        <v>20000</v>
      </c>
      <c r="S98" s="39">
        <f t="shared" si="47"/>
        <v>21500</v>
      </c>
      <c r="T98" s="39">
        <f t="shared" si="47"/>
        <v>4375</v>
      </c>
      <c r="U98" s="39">
        <f t="shared" si="47"/>
        <v>7500</v>
      </c>
      <c r="V98" s="39">
        <f t="shared" si="47"/>
        <v>11500</v>
      </c>
      <c r="W98" s="39">
        <f t="shared" si="47"/>
        <v>12000</v>
      </c>
      <c r="X98" s="39">
        <f t="shared" si="47"/>
        <v>11500</v>
      </c>
      <c r="Y98" s="39">
        <f t="shared" si="47"/>
        <v>0</v>
      </c>
      <c r="Z98" s="39">
        <f t="shared" si="47"/>
        <v>0</v>
      </c>
      <c r="AA98" s="39">
        <f t="shared" si="47"/>
        <v>0</v>
      </c>
      <c r="AB98" s="39">
        <f t="shared" si="47"/>
        <v>0</v>
      </c>
      <c r="AC98" s="39">
        <f t="shared" si="47"/>
        <v>0</v>
      </c>
      <c r="AD98" s="39">
        <f t="shared" si="47"/>
        <v>0</v>
      </c>
      <c r="AE98" s="39">
        <f t="shared" si="47"/>
        <v>0</v>
      </c>
      <c r="AF98" s="39">
        <f t="shared" si="47"/>
        <v>0</v>
      </c>
      <c r="AG98" s="2"/>
      <c r="AH98" s="2"/>
      <c r="AI98" s="5"/>
      <c r="AJ98" s="2"/>
      <c r="AK98" s="2"/>
      <c r="AL98" s="2"/>
      <c r="AM98" s="2"/>
      <c r="AN98" s="2"/>
      <c r="AO98" s="2"/>
      <c r="AP98" s="5"/>
      <c r="AQ98" s="5"/>
    </row>
    <row r="99">
      <c r="A99" s="2"/>
      <c r="B99" s="5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2"/>
      <c r="W99" s="4"/>
      <c r="X99" s="4"/>
      <c r="Y99" s="4"/>
      <c r="Z99" s="2"/>
      <c r="AA99" s="4"/>
      <c r="AB99" s="4"/>
      <c r="AC99" s="4"/>
      <c r="AD99" s="2"/>
      <c r="AE99" s="2"/>
      <c r="AF99" s="2"/>
      <c r="AG99" s="2"/>
      <c r="AH99" s="2"/>
      <c r="AI99" s="5"/>
      <c r="AJ99" s="2"/>
      <c r="AK99" s="2"/>
      <c r="AL99" s="2"/>
      <c r="AM99" s="2"/>
      <c r="AN99" s="2"/>
      <c r="AO99" s="2"/>
      <c r="AP99" s="5"/>
      <c r="AQ99" s="5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2"/>
      <c r="W100" s="4"/>
      <c r="X100" s="4"/>
      <c r="Y100" s="4"/>
      <c r="Z100" s="2"/>
      <c r="AA100" s="4"/>
      <c r="AB100" s="4"/>
      <c r="AC100" s="4"/>
      <c r="AD100" s="2"/>
      <c r="AE100" s="2"/>
      <c r="AF100" s="2"/>
      <c r="AG100" s="2"/>
      <c r="AH100" s="2"/>
      <c r="AI100" s="5"/>
      <c r="AJ100" s="2"/>
      <c r="AK100" s="2"/>
      <c r="AL100" s="2"/>
      <c r="AM100" s="2"/>
      <c r="AN100" s="2"/>
      <c r="AO100" s="2"/>
      <c r="AP100" s="5"/>
      <c r="AQ100" s="5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2"/>
      <c r="W101" s="4"/>
      <c r="X101" s="4"/>
      <c r="Y101" s="4"/>
      <c r="Z101" s="2"/>
      <c r="AA101" s="4"/>
      <c r="AB101" s="4"/>
      <c r="AC101" s="4"/>
      <c r="AD101" s="2"/>
      <c r="AE101" s="2"/>
      <c r="AF101" s="2"/>
      <c r="AG101" s="2"/>
      <c r="AH101" s="2"/>
      <c r="AI101" s="5"/>
      <c r="AJ101" s="2"/>
      <c r="AK101" s="2"/>
      <c r="AL101" s="2"/>
      <c r="AM101" s="2"/>
      <c r="AN101" s="2"/>
      <c r="AO101" s="2"/>
      <c r="AP101" s="5"/>
      <c r="AQ101" s="5"/>
    </row>
    <row r="102">
      <c r="A102" s="2"/>
      <c r="B102" s="5"/>
      <c r="C102" s="2"/>
      <c r="D102" s="3" t="s">
        <v>86</v>
      </c>
      <c r="E102" s="2"/>
      <c r="F102" s="3" t="s">
        <v>87</v>
      </c>
      <c r="I102" s="2"/>
      <c r="J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2"/>
      <c r="W102" s="4"/>
      <c r="X102" s="4"/>
      <c r="Y102" s="4"/>
      <c r="Z102" s="2"/>
      <c r="AA102" s="4"/>
      <c r="AB102" s="4"/>
      <c r="AC102" s="4"/>
      <c r="AD102" s="2"/>
      <c r="AE102" s="2"/>
      <c r="AF102" s="2"/>
      <c r="AG102" s="2"/>
      <c r="AH102" s="2"/>
      <c r="AI102" s="5"/>
      <c r="AJ102" s="2"/>
      <c r="AK102" s="2"/>
      <c r="AL102" s="2"/>
      <c r="AM102" s="2"/>
      <c r="AN102" s="2"/>
      <c r="AO102" s="2"/>
      <c r="AP102" s="5"/>
      <c r="AQ102" s="5"/>
    </row>
    <row r="103">
      <c r="A103" s="2"/>
      <c r="B103" s="5"/>
      <c r="C103" s="2"/>
      <c r="D103" s="2" t="str">
        <f t="shared" ref="D103:D122" si="49">D21</f>
        <v>Stock 1</v>
      </c>
      <c r="E103" s="2"/>
      <c r="F103" s="2"/>
      <c r="G103" s="2"/>
      <c r="H103" s="2" t="str">
        <f t="shared" ref="H103:H122" si="50">H21</f>
        <v>SkyRockets</v>
      </c>
      <c r="I103" s="2"/>
      <c r="J103" s="39">
        <f t="shared" ref="J103:U103" si="48">if($H$103="",0,if($H$103="Sky Rockets",J21*$W$7*$AA$21,if($H$103="Steady Eddy",J21*$X$7*$AA$21,J21*$Y$7*$AA$21)))</f>
        <v>1405.05</v>
      </c>
      <c r="K103" s="39">
        <f t="shared" si="48"/>
        <v>495.9</v>
      </c>
      <c r="L103" s="39">
        <f t="shared" si="48"/>
        <v>1446.375</v>
      </c>
      <c r="M103" s="39">
        <f t="shared" si="48"/>
        <v>991.8</v>
      </c>
      <c r="N103" s="39">
        <f t="shared" si="48"/>
        <v>495.9</v>
      </c>
      <c r="O103" s="39">
        <f t="shared" si="48"/>
        <v>1900.95</v>
      </c>
      <c r="P103" s="39">
        <f t="shared" si="48"/>
        <v>578.55</v>
      </c>
      <c r="Q103" s="39">
        <f t="shared" si="48"/>
        <v>495.9</v>
      </c>
      <c r="R103" s="39">
        <f t="shared" si="48"/>
        <v>1487.7</v>
      </c>
      <c r="S103" s="39">
        <f t="shared" si="48"/>
        <v>165.3</v>
      </c>
      <c r="T103" s="39">
        <f t="shared" si="48"/>
        <v>82.65</v>
      </c>
      <c r="U103" s="39">
        <f t="shared" si="48"/>
        <v>661.2</v>
      </c>
      <c r="V103" s="2"/>
      <c r="W103" s="4"/>
      <c r="X103" s="4"/>
      <c r="Y103" s="4"/>
      <c r="Z103" s="2"/>
      <c r="AA103" s="4"/>
      <c r="AB103" s="4"/>
      <c r="AC103" s="4"/>
      <c r="AD103" s="2"/>
      <c r="AE103" s="2"/>
      <c r="AF103" s="2"/>
      <c r="AG103" s="2"/>
      <c r="AH103" s="2"/>
      <c r="AI103" s="5"/>
      <c r="AJ103" s="2"/>
      <c r="AK103" s="2"/>
      <c r="AL103" s="2"/>
      <c r="AM103" s="2"/>
      <c r="AN103" s="2"/>
      <c r="AO103" s="2"/>
      <c r="AP103" s="5"/>
      <c r="AQ103" s="5"/>
    </row>
    <row r="104">
      <c r="A104" s="2"/>
      <c r="B104" s="5"/>
      <c r="C104" s="2"/>
      <c r="D104" s="2" t="str">
        <f t="shared" si="49"/>
        <v>Stock 2</v>
      </c>
      <c r="E104" s="2"/>
      <c r="F104" s="2"/>
      <c r="G104" s="2"/>
      <c r="H104" s="2" t="str">
        <f t="shared" si="50"/>
        <v>Steady Eddy</v>
      </c>
      <c r="I104" s="2"/>
      <c r="J104" s="39">
        <f t="shared" ref="J104:U104" si="51">if($H$104="",0,if($H$104="Sky Rockets",J22*$W$7*$AA$22,if($H$104="Steady Eddy",J22*$X$7*$AA$22,J22*$Y$7*$AA$22)))</f>
        <v>2746.26</v>
      </c>
      <c r="K104" s="39">
        <f t="shared" si="51"/>
        <v>1165.08</v>
      </c>
      <c r="L104" s="39">
        <f t="shared" si="51"/>
        <v>2912.7</v>
      </c>
      <c r="M104" s="39">
        <f t="shared" si="51"/>
        <v>1914.06</v>
      </c>
      <c r="N104" s="39">
        <f t="shared" si="51"/>
        <v>1165.08</v>
      </c>
      <c r="O104" s="39">
        <f t="shared" si="51"/>
        <v>3744.9</v>
      </c>
      <c r="P104" s="39">
        <f t="shared" si="51"/>
        <v>1081.86</v>
      </c>
      <c r="Q104" s="39">
        <f t="shared" si="51"/>
        <v>0</v>
      </c>
      <c r="R104" s="39">
        <f t="shared" si="51"/>
        <v>2080.5</v>
      </c>
      <c r="S104" s="39">
        <f t="shared" si="51"/>
        <v>249.66</v>
      </c>
      <c r="T104" s="39">
        <f t="shared" si="51"/>
        <v>0</v>
      </c>
      <c r="U104" s="39">
        <f t="shared" si="51"/>
        <v>1248.3</v>
      </c>
      <c r="V104" s="2"/>
      <c r="W104" s="4"/>
      <c r="X104" s="4"/>
      <c r="Y104" s="4"/>
      <c r="Z104" s="2"/>
      <c r="AA104" s="4"/>
      <c r="AB104" s="4"/>
      <c r="AC104" s="4"/>
      <c r="AD104" s="2"/>
      <c r="AE104" s="2"/>
      <c r="AF104" s="2"/>
      <c r="AG104" s="2"/>
      <c r="AH104" s="2"/>
      <c r="AI104" s="5"/>
      <c r="AJ104" s="2"/>
      <c r="AK104" s="2"/>
      <c r="AL104" s="2"/>
      <c r="AM104" s="2"/>
      <c r="AN104" s="2"/>
      <c r="AO104" s="2"/>
      <c r="AP104" s="5"/>
      <c r="AQ104" s="5"/>
    </row>
    <row r="105">
      <c r="A105" s="2"/>
      <c r="B105" s="5"/>
      <c r="C105" s="2"/>
      <c r="D105" s="2" t="str">
        <f t="shared" si="49"/>
        <v>Stock 3</v>
      </c>
      <c r="E105" s="2"/>
      <c r="F105" s="2"/>
      <c r="G105" s="2"/>
      <c r="H105" s="2" t="str">
        <f t="shared" si="50"/>
        <v>Slow Burn</v>
      </c>
      <c r="I105" s="2"/>
      <c r="J105" s="39">
        <f t="shared" ref="J105:U105" si="52">if($H$105="",0,if($H$105="Sky Rockets",J23*$W$7*$AA$23,if($H$105="Steady Eddy",J23*$X$7*$AA$23,J23*$Y$7*$AA$23)))</f>
        <v>1466.325</v>
      </c>
      <c r="K105" s="39">
        <f t="shared" si="52"/>
        <v>0</v>
      </c>
      <c r="L105" s="39">
        <f t="shared" si="52"/>
        <v>1424.43</v>
      </c>
      <c r="M105" s="39">
        <f t="shared" si="52"/>
        <v>0</v>
      </c>
      <c r="N105" s="39">
        <f t="shared" si="52"/>
        <v>670.32</v>
      </c>
      <c r="O105" s="39">
        <f t="shared" si="52"/>
        <v>1843.38</v>
      </c>
      <c r="P105" s="39">
        <f t="shared" si="52"/>
        <v>628.425</v>
      </c>
      <c r="Q105" s="39">
        <f t="shared" si="52"/>
        <v>0</v>
      </c>
      <c r="R105" s="39">
        <f t="shared" si="52"/>
        <v>0</v>
      </c>
      <c r="S105" s="39">
        <f t="shared" si="52"/>
        <v>209.475</v>
      </c>
      <c r="T105" s="39">
        <f t="shared" si="52"/>
        <v>0</v>
      </c>
      <c r="U105" s="39">
        <f t="shared" si="52"/>
        <v>0</v>
      </c>
      <c r="V105" s="2"/>
      <c r="W105" s="4"/>
      <c r="X105" s="4"/>
      <c r="Y105" s="4"/>
      <c r="Z105" s="2"/>
      <c r="AA105" s="4"/>
      <c r="AB105" s="4"/>
      <c r="AC105" s="4"/>
      <c r="AD105" s="2"/>
      <c r="AE105" s="2"/>
      <c r="AF105" s="2"/>
      <c r="AG105" s="2"/>
      <c r="AH105" s="2"/>
      <c r="AI105" s="5"/>
      <c r="AJ105" s="2"/>
      <c r="AK105" s="2"/>
      <c r="AL105" s="2"/>
      <c r="AM105" s="2"/>
      <c r="AN105" s="2"/>
      <c r="AO105" s="2"/>
      <c r="AP105" s="5"/>
      <c r="AQ105" s="5"/>
    </row>
    <row r="106">
      <c r="A106" s="2"/>
      <c r="B106" s="5"/>
      <c r="C106" s="2"/>
      <c r="D106" s="2" t="str">
        <f t="shared" si="49"/>
        <v>Stock 4</v>
      </c>
      <c r="E106" s="2"/>
      <c r="F106" s="2"/>
      <c r="G106" s="2"/>
      <c r="H106" s="2" t="str">
        <f t="shared" si="50"/>
        <v>Steady Eddy</v>
      </c>
      <c r="I106" s="2"/>
      <c r="J106" s="39">
        <f t="shared" ref="J106:U106" si="53">if($H$106="",0,if($H$106="Sky Rockets",J24*$W$7*$AA$24,if($H$106="Steady Eddy",J24*$X$7*$AA$24,J24*$Y$7*$AA$24)))</f>
        <v>3205.68</v>
      </c>
      <c r="K106" s="39">
        <f t="shared" si="53"/>
        <v>0</v>
      </c>
      <c r="L106" s="39">
        <f t="shared" si="53"/>
        <v>3290.04</v>
      </c>
      <c r="M106" s="39">
        <f t="shared" si="53"/>
        <v>0</v>
      </c>
      <c r="N106" s="39">
        <f t="shared" si="53"/>
        <v>1518.48</v>
      </c>
      <c r="O106" s="39">
        <f t="shared" si="53"/>
        <v>4133.64</v>
      </c>
      <c r="P106" s="39">
        <f t="shared" si="53"/>
        <v>0</v>
      </c>
      <c r="Q106" s="39">
        <f t="shared" si="53"/>
        <v>0</v>
      </c>
      <c r="R106" s="39">
        <f t="shared" si="53"/>
        <v>0</v>
      </c>
      <c r="S106" s="39">
        <f t="shared" si="53"/>
        <v>674.88</v>
      </c>
      <c r="T106" s="39">
        <f t="shared" si="53"/>
        <v>1518.48</v>
      </c>
      <c r="U106" s="39">
        <f t="shared" si="53"/>
        <v>0</v>
      </c>
      <c r="V106" s="2"/>
      <c r="W106" s="4"/>
      <c r="X106" s="4"/>
      <c r="Y106" s="4"/>
      <c r="Z106" s="2"/>
      <c r="AA106" s="4"/>
      <c r="AB106" s="4"/>
      <c r="AC106" s="4"/>
      <c r="AD106" s="2"/>
      <c r="AE106" s="2"/>
      <c r="AF106" s="2"/>
      <c r="AG106" s="2"/>
      <c r="AH106" s="2"/>
      <c r="AI106" s="5"/>
      <c r="AJ106" s="2"/>
      <c r="AK106" s="2"/>
      <c r="AL106" s="2"/>
      <c r="AM106" s="2"/>
      <c r="AN106" s="2"/>
      <c r="AO106" s="2"/>
      <c r="AP106" s="5"/>
      <c r="AQ106" s="5"/>
    </row>
    <row r="107">
      <c r="A107" s="2"/>
      <c r="B107" s="5"/>
      <c r="C107" s="2"/>
      <c r="D107" s="2" t="str">
        <f t="shared" si="49"/>
        <v>Stock 5</v>
      </c>
      <c r="E107" s="2"/>
      <c r="F107" s="2"/>
      <c r="G107" s="2"/>
      <c r="H107" s="2" t="str">
        <f t="shared" si="50"/>
        <v>SkyRockets</v>
      </c>
      <c r="I107" s="2"/>
      <c r="J107" s="39">
        <f t="shared" ref="J107:U107" si="54">if($H$107="",0,if($H$107="Sky Rockets",J25*$W$7*$AA$25,if($H$107="Steady Eddy",J25*$X$7*$AA$25,J25*$Y$7*$AA$25)))</f>
        <v>1528.74</v>
      </c>
      <c r="K107" s="39">
        <f t="shared" si="54"/>
        <v>0</v>
      </c>
      <c r="L107" s="39">
        <f t="shared" si="54"/>
        <v>1613.67</v>
      </c>
      <c r="M107" s="39">
        <f t="shared" si="54"/>
        <v>1104.09</v>
      </c>
      <c r="N107" s="39">
        <f t="shared" si="54"/>
        <v>467.115</v>
      </c>
      <c r="O107" s="39">
        <f t="shared" si="54"/>
        <v>2038.32</v>
      </c>
      <c r="P107" s="39">
        <f t="shared" si="54"/>
        <v>0</v>
      </c>
      <c r="Q107" s="39">
        <f t="shared" si="54"/>
        <v>467.115</v>
      </c>
      <c r="R107" s="39">
        <f t="shared" si="54"/>
        <v>1189.02</v>
      </c>
      <c r="S107" s="39">
        <f t="shared" si="54"/>
        <v>254.79</v>
      </c>
      <c r="T107" s="39">
        <f t="shared" si="54"/>
        <v>721.905</v>
      </c>
      <c r="U107" s="39">
        <f t="shared" si="54"/>
        <v>0</v>
      </c>
      <c r="V107" s="2"/>
      <c r="W107" s="4"/>
      <c r="X107" s="4"/>
      <c r="Y107" s="4"/>
      <c r="Z107" s="2"/>
      <c r="AA107" s="4"/>
      <c r="AB107" s="4"/>
      <c r="AC107" s="4"/>
      <c r="AD107" s="2"/>
      <c r="AE107" s="2"/>
      <c r="AF107" s="2"/>
      <c r="AG107" s="2"/>
      <c r="AH107" s="2"/>
      <c r="AI107" s="5"/>
      <c r="AJ107" s="2"/>
      <c r="AK107" s="2"/>
      <c r="AL107" s="2"/>
      <c r="AM107" s="2"/>
      <c r="AN107" s="2"/>
      <c r="AO107" s="2"/>
      <c r="AP107" s="5"/>
      <c r="AQ107" s="5"/>
    </row>
    <row r="108">
      <c r="A108" s="2"/>
      <c r="B108" s="5"/>
      <c r="C108" s="2"/>
      <c r="D108" s="2" t="str">
        <f t="shared" si="49"/>
        <v>Stock 6</v>
      </c>
      <c r="E108" s="2"/>
      <c r="F108" s="2"/>
      <c r="G108" s="2"/>
      <c r="H108" s="2" t="str">
        <f t="shared" si="50"/>
        <v>Slow Burn</v>
      </c>
      <c r="I108" s="2"/>
      <c r="J108" s="39">
        <f t="shared" ref="J108:U108" si="55">if($H$108="",0,if($H$108="Sky Rockets",J26*$W$7*$AA$26,if($H$108="Steady Eddy",J26*$X$7*$AA$26,J26*$Y$7*$AA$26)))</f>
        <v>1496.25</v>
      </c>
      <c r="K108" s="39">
        <f t="shared" si="55"/>
        <v>555.75</v>
      </c>
      <c r="L108" s="39">
        <f t="shared" si="55"/>
        <v>0</v>
      </c>
      <c r="M108" s="39">
        <f t="shared" si="55"/>
        <v>1068.75</v>
      </c>
      <c r="N108" s="39">
        <f t="shared" si="55"/>
        <v>0</v>
      </c>
      <c r="O108" s="39">
        <f t="shared" si="55"/>
        <v>2009.25</v>
      </c>
      <c r="P108" s="39">
        <f t="shared" si="55"/>
        <v>0</v>
      </c>
      <c r="Q108" s="39">
        <f t="shared" si="55"/>
        <v>555.75</v>
      </c>
      <c r="R108" s="39">
        <f t="shared" si="55"/>
        <v>1581.75</v>
      </c>
      <c r="S108" s="39">
        <f t="shared" si="55"/>
        <v>0</v>
      </c>
      <c r="T108" s="39">
        <f t="shared" si="55"/>
        <v>555.75</v>
      </c>
      <c r="U108" s="39">
        <f t="shared" si="55"/>
        <v>726.75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/>
      <c r="AJ108" s="2"/>
      <c r="AK108" s="2"/>
      <c r="AL108" s="2"/>
      <c r="AM108" s="2"/>
      <c r="AN108" s="2"/>
      <c r="AO108" s="2"/>
      <c r="AP108" s="5"/>
      <c r="AQ108" s="5"/>
    </row>
    <row r="109">
      <c r="A109" s="2"/>
      <c r="B109" s="5"/>
      <c r="C109" s="2"/>
      <c r="D109" s="2" t="str">
        <f t="shared" si="49"/>
        <v>Stock 7</v>
      </c>
      <c r="E109" s="2"/>
      <c r="F109" s="2"/>
      <c r="G109" s="2"/>
      <c r="H109" s="2" t="str">
        <f t="shared" si="50"/>
        <v>SkyRockets</v>
      </c>
      <c r="I109" s="2"/>
      <c r="J109" s="39">
        <f t="shared" ref="J109:U109" si="56">if($H$109="",0,if($H$109="Sky Rockets",J27*$W$7*$AA$27,if($H$109="Steady Eddy",J27*$X$7*$AA$27,J27*$Y$7*$AA$27)))</f>
        <v>1463.19</v>
      </c>
      <c r="K109" s="39">
        <f t="shared" si="56"/>
        <v>645.525</v>
      </c>
      <c r="L109" s="39">
        <f t="shared" si="56"/>
        <v>0</v>
      </c>
      <c r="M109" s="39">
        <f t="shared" si="56"/>
        <v>1032.84</v>
      </c>
      <c r="N109" s="39">
        <f t="shared" si="56"/>
        <v>0</v>
      </c>
      <c r="O109" s="39">
        <f t="shared" si="56"/>
        <v>0</v>
      </c>
      <c r="P109" s="39">
        <f t="shared" si="56"/>
        <v>0</v>
      </c>
      <c r="Q109" s="39">
        <f t="shared" si="56"/>
        <v>645.525</v>
      </c>
      <c r="R109" s="39">
        <f t="shared" si="56"/>
        <v>1420.155</v>
      </c>
      <c r="S109" s="39">
        <f t="shared" si="56"/>
        <v>0</v>
      </c>
      <c r="T109" s="39">
        <f t="shared" si="56"/>
        <v>645.525</v>
      </c>
      <c r="U109" s="39">
        <f t="shared" si="56"/>
        <v>129.105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/>
      <c r="AJ109" s="2"/>
      <c r="AK109" s="2"/>
      <c r="AL109" s="2"/>
      <c r="AM109" s="2"/>
      <c r="AN109" s="2"/>
      <c r="AO109" s="2"/>
      <c r="AP109" s="5"/>
      <c r="AQ109" s="5"/>
    </row>
    <row r="110">
      <c r="A110" s="2"/>
      <c r="B110" s="5"/>
      <c r="C110" s="2"/>
      <c r="D110" s="2" t="str">
        <f t="shared" si="49"/>
        <v>Stock 8</v>
      </c>
      <c r="E110" s="2"/>
      <c r="F110" s="2"/>
      <c r="G110" s="2"/>
      <c r="H110" s="2" t="str">
        <f t="shared" si="50"/>
        <v>SkyRockets</v>
      </c>
      <c r="I110" s="2"/>
      <c r="J110" s="39">
        <f t="shared" ref="J110:U110" si="57">if($H$110="",0,if($H$110="Sky Rockets",J28*$W$7*$AA$28,if($H$110="Steady Eddy",J28*$X$7*$AA$28,J28*$Y$7*$AA$28)))</f>
        <v>1602.84</v>
      </c>
      <c r="K110" s="39">
        <f t="shared" si="57"/>
        <v>736.44</v>
      </c>
      <c r="L110" s="39">
        <f t="shared" si="57"/>
        <v>0</v>
      </c>
      <c r="M110" s="39">
        <f t="shared" si="57"/>
        <v>1169.64</v>
      </c>
      <c r="N110" s="39">
        <f t="shared" si="57"/>
        <v>1602.84</v>
      </c>
      <c r="O110" s="39">
        <f t="shared" si="57"/>
        <v>0</v>
      </c>
      <c r="P110" s="39">
        <f t="shared" si="57"/>
        <v>0</v>
      </c>
      <c r="Q110" s="39">
        <f t="shared" si="57"/>
        <v>736.44</v>
      </c>
      <c r="R110" s="39">
        <f t="shared" si="57"/>
        <v>0</v>
      </c>
      <c r="S110" s="39">
        <f t="shared" si="57"/>
        <v>1169.64</v>
      </c>
      <c r="T110" s="39">
        <f t="shared" si="57"/>
        <v>736.44</v>
      </c>
      <c r="U110" s="39">
        <f t="shared" si="57"/>
        <v>216.6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5"/>
      <c r="AJ110" s="2"/>
      <c r="AK110" s="2"/>
      <c r="AL110" s="2"/>
      <c r="AM110" s="2"/>
      <c r="AN110" s="2"/>
      <c r="AO110" s="2"/>
      <c r="AP110" s="5"/>
      <c r="AQ110" s="5"/>
    </row>
    <row r="111">
      <c r="A111" s="2"/>
      <c r="B111" s="5"/>
      <c r="C111" s="2"/>
      <c r="D111" s="2" t="str">
        <f t="shared" si="49"/>
        <v>Stock 9</v>
      </c>
      <c r="E111" s="2"/>
      <c r="F111" s="2"/>
      <c r="G111" s="2"/>
      <c r="H111" s="2" t="str">
        <f t="shared" si="50"/>
        <v>Steady Eddy</v>
      </c>
      <c r="I111" s="2"/>
      <c r="J111" s="39">
        <f t="shared" ref="J111:U111" si="58">if($H$111="",0,if($H$111="Sky Rockets",J29*$W$7*$AA$29,if($H$111="Steady Eddy",J29*$X$7*$AA$29,J29*$Y$7*$AA$29)))</f>
        <v>2965.14</v>
      </c>
      <c r="K111" s="39">
        <f t="shared" si="58"/>
        <v>1046.52</v>
      </c>
      <c r="L111" s="39">
        <f t="shared" si="58"/>
        <v>3226.77</v>
      </c>
      <c r="M111" s="39">
        <f t="shared" si="58"/>
        <v>2093.04</v>
      </c>
      <c r="N111" s="39">
        <f t="shared" si="58"/>
        <v>2790.72</v>
      </c>
      <c r="O111" s="39">
        <f t="shared" si="58"/>
        <v>0</v>
      </c>
      <c r="P111" s="39">
        <f t="shared" si="58"/>
        <v>0</v>
      </c>
      <c r="Q111" s="39">
        <f t="shared" si="58"/>
        <v>1046.52</v>
      </c>
      <c r="R111" s="39">
        <f t="shared" si="58"/>
        <v>0</v>
      </c>
      <c r="S111" s="39">
        <f t="shared" si="58"/>
        <v>2093.04</v>
      </c>
      <c r="T111" s="39">
        <f t="shared" si="58"/>
        <v>1046.52</v>
      </c>
      <c r="U111" s="39">
        <f t="shared" si="58"/>
        <v>610.47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5"/>
      <c r="AJ111" s="2"/>
      <c r="AK111" s="2"/>
      <c r="AL111" s="2"/>
      <c r="AM111" s="2"/>
      <c r="AN111" s="2"/>
      <c r="AO111" s="2"/>
      <c r="AP111" s="5"/>
      <c r="AQ111" s="5"/>
    </row>
    <row r="112">
      <c r="A112" s="2"/>
      <c r="B112" s="5"/>
      <c r="C112" s="2"/>
      <c r="D112" s="2" t="str">
        <f t="shared" si="49"/>
        <v>Stock 10</v>
      </c>
      <c r="E112" s="2"/>
      <c r="F112" s="2"/>
      <c r="G112" s="2"/>
      <c r="H112" s="2" t="str">
        <f t="shared" si="50"/>
        <v>Steady Eddy</v>
      </c>
      <c r="I112" s="2"/>
      <c r="J112" s="39">
        <f t="shared" ref="J112:U112" si="59">if($H$112="",0,if($H$112="Sky Rockets",J30*$W$7*$AA$30,if($H$112="Steady Eddy",J30*$X$7*$AA$30,J30*$Y$7*$AA$30)))</f>
        <v>2896.74</v>
      </c>
      <c r="K112" s="39">
        <f t="shared" si="59"/>
        <v>1228.92</v>
      </c>
      <c r="L112" s="39">
        <f t="shared" si="59"/>
        <v>2721.18</v>
      </c>
      <c r="M112" s="39">
        <f t="shared" si="59"/>
        <v>2018.94</v>
      </c>
      <c r="N112" s="39">
        <f t="shared" si="59"/>
        <v>2984.52</v>
      </c>
      <c r="O112" s="39">
        <f t="shared" si="59"/>
        <v>2721.18</v>
      </c>
      <c r="P112" s="39">
        <f t="shared" si="59"/>
        <v>0</v>
      </c>
      <c r="Q112" s="39">
        <f t="shared" si="59"/>
        <v>1228.92</v>
      </c>
      <c r="R112" s="39">
        <f t="shared" si="59"/>
        <v>3598.98</v>
      </c>
      <c r="S112" s="39">
        <f t="shared" si="59"/>
        <v>2018.94</v>
      </c>
      <c r="T112" s="39">
        <f t="shared" si="59"/>
        <v>0</v>
      </c>
      <c r="U112" s="39">
        <f t="shared" si="59"/>
        <v>87.78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5"/>
      <c r="AJ112" s="2"/>
      <c r="AK112" s="2"/>
      <c r="AL112" s="2"/>
      <c r="AM112" s="2"/>
      <c r="AN112" s="2"/>
      <c r="AO112" s="2"/>
      <c r="AP112" s="5"/>
      <c r="AQ112" s="5"/>
    </row>
    <row r="113">
      <c r="A113" s="2"/>
      <c r="B113" s="5"/>
      <c r="C113" s="2"/>
      <c r="D113" s="2" t="str">
        <f t="shared" si="49"/>
        <v>Stock 11</v>
      </c>
      <c r="E113" s="2"/>
      <c r="F113" s="2"/>
      <c r="G113" s="2"/>
      <c r="H113" s="2" t="str">
        <f t="shared" si="50"/>
        <v>Steady Eddy</v>
      </c>
      <c r="I113" s="2"/>
      <c r="J113" s="39">
        <f t="shared" ref="J113:U113" si="60">if($H$113="",0,if($H$113="Sky Rockets",J31*$W$7*$AA$31,if($H$113="Steady Eddy",J31*$X$7*$AA$31,J31*$Y$7*$AA$31)))</f>
        <v>3092.25</v>
      </c>
      <c r="K113" s="39">
        <f t="shared" si="60"/>
        <v>1413.6</v>
      </c>
      <c r="L113" s="39">
        <f t="shared" si="60"/>
        <v>3092.25</v>
      </c>
      <c r="M113" s="39">
        <f t="shared" si="60"/>
        <v>0</v>
      </c>
      <c r="N113" s="39">
        <f t="shared" si="60"/>
        <v>3180.6</v>
      </c>
      <c r="O113" s="39">
        <f t="shared" si="60"/>
        <v>3092.25</v>
      </c>
      <c r="P113" s="39">
        <f t="shared" si="60"/>
        <v>1325.25</v>
      </c>
      <c r="Q113" s="39">
        <f t="shared" si="60"/>
        <v>1413.6</v>
      </c>
      <c r="R113" s="39">
        <f t="shared" si="60"/>
        <v>4859.25</v>
      </c>
      <c r="S113" s="39">
        <f t="shared" si="60"/>
        <v>2208.75</v>
      </c>
      <c r="T113" s="39">
        <f t="shared" si="60"/>
        <v>0</v>
      </c>
      <c r="U113" s="39">
        <f t="shared" si="60"/>
        <v>441.75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5"/>
      <c r="AJ113" s="2"/>
      <c r="AK113" s="2"/>
      <c r="AL113" s="2"/>
      <c r="AM113" s="2"/>
      <c r="AN113" s="2"/>
      <c r="AO113" s="2"/>
      <c r="AP113" s="5"/>
      <c r="AQ113" s="5"/>
    </row>
    <row r="114">
      <c r="A114" s="2"/>
      <c r="B114" s="5"/>
      <c r="C114" s="2"/>
      <c r="D114" s="2" t="str">
        <f t="shared" si="49"/>
        <v>Stock 12</v>
      </c>
      <c r="E114" s="2"/>
      <c r="F114" s="2"/>
      <c r="G114" s="2"/>
      <c r="H114" s="2" t="str">
        <f t="shared" si="50"/>
        <v>Steady Eddy</v>
      </c>
      <c r="I114" s="2"/>
      <c r="J114" s="39">
        <f t="shared" ref="J114:U114" si="61">if($H$114="",0,if($H$114="Sky Rockets",J32*$W$7*$AA$32,if($H$114="Steady Eddy",J32*$X$7*$AA$32,J32*$Y$7*$AA$32)))</f>
        <v>3378.96</v>
      </c>
      <c r="K114" s="39">
        <f t="shared" si="61"/>
        <v>1600.56</v>
      </c>
      <c r="L114" s="39">
        <f t="shared" si="61"/>
        <v>3467.88</v>
      </c>
      <c r="M114" s="39">
        <f t="shared" si="61"/>
        <v>0</v>
      </c>
      <c r="N114" s="39">
        <f t="shared" si="61"/>
        <v>3378.96</v>
      </c>
      <c r="O114" s="39">
        <f t="shared" si="61"/>
        <v>3467.88</v>
      </c>
      <c r="P114" s="39">
        <f t="shared" si="61"/>
        <v>1600.56</v>
      </c>
      <c r="Q114" s="39">
        <f t="shared" si="61"/>
        <v>1600.56</v>
      </c>
      <c r="R114" s="39">
        <f t="shared" si="61"/>
        <v>6135.48</v>
      </c>
      <c r="S114" s="39">
        <f t="shared" si="61"/>
        <v>2489.76</v>
      </c>
      <c r="T114" s="39">
        <f t="shared" si="61"/>
        <v>1600.56</v>
      </c>
      <c r="U114" s="39">
        <f t="shared" si="61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5"/>
      <c r="AJ114" s="2"/>
      <c r="AK114" s="2"/>
      <c r="AL114" s="2"/>
      <c r="AM114" s="2"/>
      <c r="AN114" s="2"/>
      <c r="AO114" s="2"/>
      <c r="AP114" s="5"/>
      <c r="AQ114" s="5"/>
    </row>
    <row r="115">
      <c r="A115" s="2"/>
      <c r="B115" s="5"/>
      <c r="C115" s="2"/>
      <c r="D115" s="2" t="str">
        <f t="shared" si="49"/>
        <v>Stock 13</v>
      </c>
      <c r="E115" s="2"/>
      <c r="F115" s="2"/>
      <c r="G115" s="2"/>
      <c r="H115" s="2" t="str">
        <f t="shared" si="50"/>
        <v>Steady Eddy</v>
      </c>
      <c r="I115" s="2"/>
      <c r="J115" s="39">
        <f t="shared" ref="J115:U115" si="62">if($H$115="",0,if($H$115="Sky Rockets",J33*$W$7*$AA$33,if($H$115="Steady Eddy",J33*$X$7*$AA$33,J33*$Y$7*$AA$33)))</f>
        <v>3221.64</v>
      </c>
      <c r="K115" s="39">
        <f t="shared" si="62"/>
        <v>1163.37</v>
      </c>
      <c r="L115" s="39">
        <f t="shared" si="62"/>
        <v>3400.62</v>
      </c>
      <c r="M115" s="39">
        <f t="shared" si="62"/>
        <v>0</v>
      </c>
      <c r="N115" s="39">
        <f t="shared" si="62"/>
        <v>2953.17</v>
      </c>
      <c r="O115" s="39">
        <f t="shared" si="62"/>
        <v>3400.62</v>
      </c>
      <c r="P115" s="39">
        <f t="shared" si="62"/>
        <v>1431.84</v>
      </c>
      <c r="Q115" s="39">
        <f t="shared" si="62"/>
        <v>1163.37</v>
      </c>
      <c r="R115" s="39">
        <f t="shared" si="62"/>
        <v>0</v>
      </c>
      <c r="S115" s="39">
        <f t="shared" si="62"/>
        <v>2326.74</v>
      </c>
      <c r="T115" s="39">
        <f t="shared" si="62"/>
        <v>1163.37</v>
      </c>
      <c r="U115" s="39">
        <f t="shared" si="62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5"/>
      <c r="AJ115" s="2"/>
      <c r="AK115" s="2"/>
      <c r="AL115" s="2"/>
      <c r="AM115" s="2"/>
      <c r="AN115" s="2"/>
      <c r="AO115" s="2"/>
      <c r="AP115" s="5"/>
      <c r="AQ115" s="5"/>
    </row>
    <row r="116">
      <c r="A116" s="2"/>
      <c r="B116" s="5"/>
      <c r="C116" s="2"/>
      <c r="D116" s="2" t="str">
        <f t="shared" si="49"/>
        <v>Stock 14</v>
      </c>
      <c r="E116" s="2"/>
      <c r="F116" s="2"/>
      <c r="G116" s="2"/>
      <c r="H116" s="2" t="str">
        <f t="shared" si="50"/>
        <v>SkyRockets</v>
      </c>
      <c r="I116" s="2"/>
      <c r="J116" s="39">
        <f t="shared" ref="J116:U116" si="63">if($H$116="",0,if($H$116="Sky Rockets",J34*$W$7*$AA$34,if($H$116="Steady Eddy",J34*$X$7*$AA$34,J34*$Y$7*$AA$34)))</f>
        <v>1576.05</v>
      </c>
      <c r="K116" s="39">
        <f t="shared" si="63"/>
        <v>675.45</v>
      </c>
      <c r="L116" s="39">
        <f t="shared" si="63"/>
        <v>1576.05</v>
      </c>
      <c r="M116" s="39">
        <f t="shared" si="63"/>
        <v>1125.75</v>
      </c>
      <c r="N116" s="39">
        <f t="shared" si="63"/>
        <v>0</v>
      </c>
      <c r="O116" s="39">
        <f t="shared" si="63"/>
        <v>0</v>
      </c>
      <c r="P116" s="39">
        <f t="shared" si="63"/>
        <v>675.45</v>
      </c>
      <c r="Q116" s="39">
        <f t="shared" si="63"/>
        <v>0</v>
      </c>
      <c r="R116" s="39">
        <f t="shared" si="63"/>
        <v>0</v>
      </c>
      <c r="S116" s="39">
        <f t="shared" si="63"/>
        <v>0</v>
      </c>
      <c r="T116" s="39">
        <f t="shared" si="63"/>
        <v>675.45</v>
      </c>
      <c r="U116" s="39">
        <f t="shared" si="63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5"/>
      <c r="AJ116" s="2"/>
      <c r="AK116" s="2"/>
      <c r="AL116" s="2"/>
      <c r="AM116" s="2"/>
      <c r="AN116" s="2"/>
      <c r="AO116" s="2"/>
      <c r="AP116" s="5"/>
      <c r="AQ116" s="5"/>
    </row>
    <row r="117">
      <c r="A117" s="2"/>
      <c r="B117" s="5"/>
      <c r="C117" s="2"/>
      <c r="D117" s="2" t="str">
        <f t="shared" si="49"/>
        <v>Stock 15</v>
      </c>
      <c r="E117" s="2"/>
      <c r="F117" s="2"/>
      <c r="G117" s="2"/>
      <c r="H117" s="2" t="str">
        <f t="shared" si="50"/>
        <v>SkyRockets</v>
      </c>
      <c r="I117" s="2"/>
      <c r="J117" s="39">
        <f t="shared" ref="J117:U117" si="64">if($H$117="",0,if($H$117="Sky Rockets",J35*$W$7*$AA$35,if($H$117="Steady Eddy",J35*$X$7*$AA$35,J35*$Y$7*$AA$35)))</f>
        <v>1540.71</v>
      </c>
      <c r="K117" s="39">
        <f t="shared" si="64"/>
        <v>770.355</v>
      </c>
      <c r="L117" s="39">
        <f t="shared" si="64"/>
        <v>1450.08</v>
      </c>
      <c r="M117" s="39">
        <f t="shared" si="64"/>
        <v>1087.56</v>
      </c>
      <c r="N117" s="39">
        <f t="shared" si="64"/>
        <v>0</v>
      </c>
      <c r="O117" s="39">
        <f t="shared" si="64"/>
        <v>0</v>
      </c>
      <c r="P117" s="39">
        <f t="shared" si="64"/>
        <v>634.41</v>
      </c>
      <c r="Q117" s="39">
        <f t="shared" si="64"/>
        <v>0</v>
      </c>
      <c r="R117" s="39">
        <f t="shared" si="64"/>
        <v>1903.23</v>
      </c>
      <c r="S117" s="39">
        <f t="shared" si="64"/>
        <v>0</v>
      </c>
      <c r="T117" s="39">
        <f t="shared" si="64"/>
        <v>770.355</v>
      </c>
      <c r="U117" s="39">
        <f t="shared" si="64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5"/>
      <c r="AJ117" s="2"/>
      <c r="AK117" s="2"/>
      <c r="AL117" s="2"/>
      <c r="AM117" s="2"/>
      <c r="AN117" s="2"/>
      <c r="AO117" s="2"/>
      <c r="AP117" s="5"/>
      <c r="AQ117" s="5"/>
    </row>
    <row r="118">
      <c r="A118" s="2"/>
      <c r="B118" s="5"/>
      <c r="C118" s="2"/>
      <c r="D118" s="2" t="str">
        <f t="shared" si="49"/>
        <v>Stock 16</v>
      </c>
      <c r="E118" s="2"/>
      <c r="F118" s="2"/>
      <c r="G118" s="2"/>
      <c r="H118" s="2" t="str">
        <f t="shared" si="50"/>
        <v>SkyRockets</v>
      </c>
      <c r="I118" s="2"/>
      <c r="J118" s="39">
        <f t="shared" ref="J118:U118" si="65">if($H$118="",0,if($H$118="Sky Rockets",J36*$W$7*$AA$36,if($H$118="Steady Eddy",J36*$X$7*$AA$36,J36*$Y$7*$AA$36)))</f>
        <v>1687.2</v>
      </c>
      <c r="K118" s="39">
        <f t="shared" si="65"/>
        <v>866.4</v>
      </c>
      <c r="L118" s="39">
        <f t="shared" si="65"/>
        <v>1641.6</v>
      </c>
      <c r="M118" s="39">
        <f t="shared" si="65"/>
        <v>1231.2</v>
      </c>
      <c r="N118" s="39">
        <f t="shared" si="65"/>
        <v>2234.4</v>
      </c>
      <c r="O118" s="39">
        <f t="shared" si="65"/>
        <v>2097.6</v>
      </c>
      <c r="P118" s="39">
        <f t="shared" si="65"/>
        <v>775.2</v>
      </c>
      <c r="Q118" s="39">
        <f t="shared" si="65"/>
        <v>0</v>
      </c>
      <c r="R118" s="39">
        <f t="shared" si="65"/>
        <v>1641.6</v>
      </c>
      <c r="S118" s="39">
        <f t="shared" si="65"/>
        <v>0</v>
      </c>
      <c r="T118" s="39">
        <f t="shared" si="65"/>
        <v>866.4</v>
      </c>
      <c r="U118" s="39">
        <f t="shared" si="65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5"/>
      <c r="AJ118" s="2"/>
      <c r="AK118" s="2"/>
      <c r="AL118" s="2"/>
      <c r="AM118" s="2"/>
      <c r="AN118" s="2"/>
      <c r="AO118" s="2"/>
      <c r="AP118" s="5"/>
      <c r="AQ118" s="5"/>
    </row>
    <row r="119">
      <c r="A119" s="2"/>
      <c r="B119" s="5"/>
      <c r="C119" s="2"/>
      <c r="D119" s="2" t="str">
        <f t="shared" si="49"/>
        <v>Stock 17</v>
      </c>
      <c r="E119" s="2"/>
      <c r="F119" s="2"/>
      <c r="G119" s="2"/>
      <c r="H119" s="2" t="str">
        <f t="shared" si="50"/>
        <v>Slow Burn</v>
      </c>
      <c r="I119" s="2"/>
      <c r="J119" s="39">
        <f t="shared" ref="J119:U119" si="66">if($H$119="",0,if($H$119="Sky Rockets",J37*$W$7*$AA$37,if($H$119="Steady Eddy",J37*$X$7*$AA$37,J37*$Y$7*$AA$37)))</f>
        <v>1651.86</v>
      </c>
      <c r="K119" s="39">
        <f t="shared" si="66"/>
        <v>504.735</v>
      </c>
      <c r="L119" s="39">
        <f t="shared" si="66"/>
        <v>1605.975</v>
      </c>
      <c r="M119" s="39">
        <f t="shared" si="66"/>
        <v>1193.01</v>
      </c>
      <c r="N119" s="39">
        <f t="shared" si="66"/>
        <v>1881.285</v>
      </c>
      <c r="O119" s="39">
        <f t="shared" si="66"/>
        <v>2064.825</v>
      </c>
      <c r="P119" s="39">
        <f t="shared" si="66"/>
        <v>734.16</v>
      </c>
      <c r="Q119" s="39">
        <f t="shared" si="66"/>
        <v>0</v>
      </c>
      <c r="R119" s="39">
        <f t="shared" si="66"/>
        <v>1147.125</v>
      </c>
      <c r="S119" s="39">
        <f t="shared" si="66"/>
        <v>275.31</v>
      </c>
      <c r="T119" s="39">
        <f t="shared" si="66"/>
        <v>504.735</v>
      </c>
      <c r="U119" s="39">
        <f t="shared" si="66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5"/>
      <c r="AJ119" s="2"/>
      <c r="AK119" s="2"/>
      <c r="AL119" s="2"/>
      <c r="AM119" s="2"/>
      <c r="AN119" s="2"/>
      <c r="AO119" s="2"/>
      <c r="AP119" s="5"/>
      <c r="AQ119" s="5"/>
    </row>
    <row r="120">
      <c r="A120" s="2"/>
      <c r="B120" s="5"/>
      <c r="C120" s="2"/>
      <c r="D120" s="2" t="str">
        <f t="shared" si="49"/>
        <v>Stock 18</v>
      </c>
      <c r="E120" s="2"/>
      <c r="F120" s="2"/>
      <c r="G120" s="2"/>
      <c r="H120" s="2" t="str">
        <f t="shared" si="50"/>
        <v>Slow Burn</v>
      </c>
      <c r="I120" s="2"/>
      <c r="J120" s="39">
        <f t="shared" ref="J120:U120" si="67">if($H$120="",0,if($H$120="Sky Rockets",J38*$W$7*$AA$38,if($H$120="Steady Eddy",J38*$X$7*$AA$38,J38*$Y$7*$AA$38)))</f>
        <v>1477.44</v>
      </c>
      <c r="K120" s="39">
        <f t="shared" si="67"/>
        <v>554.04</v>
      </c>
      <c r="L120" s="39">
        <f t="shared" si="67"/>
        <v>1569.78</v>
      </c>
      <c r="M120" s="39">
        <f t="shared" si="67"/>
        <v>1015.74</v>
      </c>
      <c r="N120" s="39">
        <f t="shared" si="67"/>
        <v>1939.14</v>
      </c>
      <c r="O120" s="39">
        <f t="shared" si="67"/>
        <v>2031.48</v>
      </c>
      <c r="P120" s="39">
        <f t="shared" si="67"/>
        <v>554.04</v>
      </c>
      <c r="Q120" s="39">
        <f t="shared" si="67"/>
        <v>554.04</v>
      </c>
      <c r="R120" s="39">
        <f t="shared" si="67"/>
        <v>1108.08</v>
      </c>
      <c r="S120" s="39">
        <f t="shared" si="67"/>
        <v>92.34</v>
      </c>
      <c r="T120" s="39">
        <f t="shared" si="67"/>
        <v>554.04</v>
      </c>
      <c r="U120" s="39">
        <f t="shared" si="67"/>
        <v>184.68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5"/>
      <c r="AJ120" s="2"/>
      <c r="AK120" s="2"/>
      <c r="AL120" s="2"/>
      <c r="AM120" s="2"/>
      <c r="AN120" s="2"/>
      <c r="AO120" s="2"/>
      <c r="AP120" s="5"/>
      <c r="AQ120" s="5"/>
    </row>
    <row r="121">
      <c r="A121" s="2"/>
      <c r="B121" s="5"/>
      <c r="C121" s="2"/>
      <c r="D121" s="2" t="str">
        <f t="shared" si="49"/>
        <v>Stock 19</v>
      </c>
      <c r="E121" s="2"/>
      <c r="F121" s="2"/>
      <c r="G121" s="2"/>
      <c r="H121" s="2" t="str">
        <f t="shared" si="50"/>
        <v>SkyRockets</v>
      </c>
      <c r="I121" s="2"/>
      <c r="J121" s="39">
        <f t="shared" ref="J121:U121" si="68">if($H$121="",0,if($H$121="Sky Rockets",J39*$W$7*$AA$39,if($H$121="Steady Eddy",J39*$X$7*$AA$39,J39*$Y$7*$AA$39)))</f>
        <v>1440.105</v>
      </c>
      <c r="K121" s="39">
        <f t="shared" si="68"/>
        <v>650.37</v>
      </c>
      <c r="L121" s="39">
        <f t="shared" si="68"/>
        <v>1718.835</v>
      </c>
      <c r="M121" s="39">
        <f t="shared" si="68"/>
        <v>975.555</v>
      </c>
      <c r="N121" s="39">
        <f t="shared" si="68"/>
        <v>2044.02</v>
      </c>
      <c r="O121" s="39">
        <f t="shared" si="68"/>
        <v>2183.385</v>
      </c>
      <c r="P121" s="39">
        <f t="shared" si="68"/>
        <v>511.005</v>
      </c>
      <c r="Q121" s="39">
        <f t="shared" si="68"/>
        <v>650.37</v>
      </c>
      <c r="R121" s="39">
        <f t="shared" si="68"/>
        <v>789.735</v>
      </c>
      <c r="S121" s="39">
        <f t="shared" si="68"/>
        <v>46.455</v>
      </c>
      <c r="T121" s="39">
        <f t="shared" si="68"/>
        <v>650.37</v>
      </c>
      <c r="U121" s="39">
        <f t="shared" si="68"/>
        <v>325.185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5"/>
      <c r="AJ121" s="2"/>
      <c r="AK121" s="2"/>
      <c r="AL121" s="2"/>
      <c r="AM121" s="2"/>
      <c r="AN121" s="2"/>
      <c r="AO121" s="2"/>
      <c r="AP121" s="5"/>
      <c r="AQ121" s="5"/>
    </row>
    <row r="122">
      <c r="A122" s="2"/>
      <c r="B122" s="5"/>
      <c r="C122" s="2"/>
      <c r="D122" s="2" t="str">
        <f t="shared" si="49"/>
        <v>Stock 20</v>
      </c>
      <c r="E122" s="2"/>
      <c r="F122" s="2"/>
      <c r="G122" s="2"/>
      <c r="H122" s="2" t="str">
        <f t="shared" si="50"/>
        <v>Steady Eddy</v>
      </c>
      <c r="I122" s="2"/>
      <c r="J122" s="39">
        <f t="shared" ref="J122:U122" si="69">if($H$122="",0,if($H$122="Sky Rockets",J40*$W$7*$AA$40,if($H$122="Steady Eddy",J40*$X$7*$AA$40,J40*$Y$7*$AA$40)))</f>
        <v>3178.32</v>
      </c>
      <c r="K122" s="39">
        <f t="shared" si="69"/>
        <v>1682.64</v>
      </c>
      <c r="L122" s="39">
        <f t="shared" si="69"/>
        <v>3552.24</v>
      </c>
      <c r="M122" s="39">
        <f t="shared" si="69"/>
        <v>2243.52</v>
      </c>
      <c r="N122" s="39">
        <f t="shared" si="69"/>
        <v>4487.04</v>
      </c>
      <c r="O122" s="39">
        <f t="shared" si="69"/>
        <v>4487.04</v>
      </c>
      <c r="P122" s="39">
        <f t="shared" si="69"/>
        <v>1308.72</v>
      </c>
      <c r="Q122" s="39">
        <f t="shared" si="69"/>
        <v>1682.64</v>
      </c>
      <c r="R122" s="39">
        <f t="shared" si="69"/>
        <v>3552.24</v>
      </c>
      <c r="S122" s="39">
        <f t="shared" si="69"/>
        <v>373.92</v>
      </c>
      <c r="T122" s="39">
        <f t="shared" si="69"/>
        <v>1682.64</v>
      </c>
      <c r="U122" s="39">
        <f t="shared" si="69"/>
        <v>747.84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5"/>
      <c r="AJ122" s="2"/>
      <c r="AK122" s="2"/>
      <c r="AL122" s="2"/>
      <c r="AM122" s="2"/>
      <c r="AN122" s="2"/>
      <c r="AO122" s="2"/>
      <c r="AP122" s="5"/>
      <c r="AQ122" s="5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5"/>
      <c r="AJ123" s="2"/>
      <c r="AK123" s="2"/>
      <c r="AL123" s="2"/>
      <c r="AM123" s="2"/>
      <c r="AN123" s="2"/>
      <c r="AO123" s="2"/>
      <c r="AP123" s="5"/>
      <c r="AQ123" s="5"/>
    </row>
    <row r="124">
      <c r="A124" s="2"/>
      <c r="B124" s="5"/>
      <c r="C124" s="2"/>
      <c r="D124" s="3" t="s">
        <v>86</v>
      </c>
      <c r="E124" s="3"/>
      <c r="F124" s="3" t="s">
        <v>88</v>
      </c>
      <c r="G124" s="2"/>
      <c r="H124" s="3">
        <v>30.0</v>
      </c>
      <c r="I124" s="2"/>
      <c r="J124" s="78">
        <f t="shared" ref="J124:U124" si="70">sum(J103:J122)</f>
        <v>43020.75</v>
      </c>
      <c r="K124" s="78">
        <f t="shared" si="70"/>
        <v>15755.655</v>
      </c>
      <c r="L124" s="78">
        <f t="shared" si="70"/>
        <v>39710.475</v>
      </c>
      <c r="M124" s="78">
        <f t="shared" si="70"/>
        <v>20265.495</v>
      </c>
      <c r="N124" s="78">
        <f t="shared" si="70"/>
        <v>33793.59</v>
      </c>
      <c r="O124" s="78">
        <f t="shared" si="70"/>
        <v>41216.7</v>
      </c>
      <c r="P124" s="78">
        <f t="shared" si="70"/>
        <v>11839.47</v>
      </c>
      <c r="Q124" s="78">
        <f t="shared" si="70"/>
        <v>12240.75</v>
      </c>
      <c r="R124" s="78">
        <f t="shared" si="70"/>
        <v>32494.845</v>
      </c>
      <c r="S124" s="78">
        <f t="shared" si="70"/>
        <v>14649</v>
      </c>
      <c r="T124" s="78">
        <f t="shared" si="70"/>
        <v>13775.19</v>
      </c>
      <c r="U124" s="78">
        <f t="shared" si="70"/>
        <v>5379.66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5"/>
      <c r="AJ124" s="2"/>
      <c r="AK124" s="2"/>
      <c r="AL124" s="2"/>
      <c r="AM124" s="2"/>
      <c r="AN124" s="2"/>
      <c r="AO124" s="2"/>
      <c r="AP124" s="5"/>
      <c r="AQ124" s="5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5"/>
      <c r="AJ125" s="2"/>
      <c r="AK125" s="2"/>
      <c r="AL125" s="2"/>
      <c r="AM125" s="2"/>
      <c r="AN125" s="2"/>
      <c r="AO125" s="2"/>
      <c r="AP125" s="5"/>
      <c r="AQ125" s="5"/>
    </row>
    <row r="126">
      <c r="A126" s="2"/>
      <c r="B126" s="5"/>
      <c r="C126" s="2"/>
      <c r="D126" s="2" t="str">
        <f t="shared" ref="D126:D145" si="72">D103</f>
        <v>Stock 1</v>
      </c>
      <c r="E126" s="2"/>
      <c r="F126" s="2"/>
      <c r="G126" s="2"/>
      <c r="H126" s="2" t="str">
        <f t="shared" ref="H126:H145" si="73">H103</f>
        <v>SkyRockets</v>
      </c>
      <c r="I126" s="2"/>
      <c r="J126" s="39">
        <f t="shared" ref="J126:U126" si="71">if($H$126="",0,if($H$126="Sky Rockets",J21*$W$8*$AA$21,if($H$126="Steady Eddy",J21*$X$8*$AA$21,J21*$Y$8*$AA$21)))</f>
        <v>4215.15</v>
      </c>
      <c r="K126" s="39">
        <f t="shared" si="71"/>
        <v>1487.7</v>
      </c>
      <c r="L126" s="39">
        <f t="shared" si="71"/>
        <v>4339.125</v>
      </c>
      <c r="M126" s="39">
        <f t="shared" si="71"/>
        <v>2975.4</v>
      </c>
      <c r="N126" s="39">
        <f t="shared" si="71"/>
        <v>1487.7</v>
      </c>
      <c r="O126" s="39">
        <f t="shared" si="71"/>
        <v>5702.85</v>
      </c>
      <c r="P126" s="39">
        <f t="shared" si="71"/>
        <v>1735.65</v>
      </c>
      <c r="Q126" s="39">
        <f t="shared" si="71"/>
        <v>1487.7</v>
      </c>
      <c r="R126" s="39">
        <f t="shared" si="71"/>
        <v>4463.1</v>
      </c>
      <c r="S126" s="39">
        <f t="shared" si="71"/>
        <v>495.9</v>
      </c>
      <c r="T126" s="39">
        <f t="shared" si="71"/>
        <v>247.95</v>
      </c>
      <c r="U126" s="39">
        <f t="shared" si="71"/>
        <v>1983.6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5"/>
      <c r="AJ126" s="2"/>
      <c r="AK126" s="2"/>
      <c r="AL126" s="2"/>
      <c r="AM126" s="2"/>
      <c r="AN126" s="2"/>
      <c r="AO126" s="2"/>
      <c r="AP126" s="5"/>
      <c r="AQ126" s="5"/>
    </row>
    <row r="127">
      <c r="A127" s="2"/>
      <c r="B127" s="5"/>
      <c r="C127" s="2"/>
      <c r="D127" s="2" t="str">
        <f t="shared" si="72"/>
        <v>Stock 2</v>
      </c>
      <c r="E127" s="2"/>
      <c r="F127" s="2"/>
      <c r="G127" s="2"/>
      <c r="H127" s="2" t="str">
        <f t="shared" si="73"/>
        <v>Steady Eddy</v>
      </c>
      <c r="I127" s="2"/>
      <c r="J127" s="39">
        <f t="shared" ref="J127:U127" si="74">if($H$127="",0,if($H$127="Sky Rockets",J22*$W$8*$AA$22,if($H$127="Steady Eddy",J22*$X$8*$AA$22,J22*$Y$8*$AA$22)))</f>
        <v>4119.39</v>
      </c>
      <c r="K127" s="39">
        <f t="shared" si="74"/>
        <v>1747.62</v>
      </c>
      <c r="L127" s="39">
        <f t="shared" si="74"/>
        <v>4369.05</v>
      </c>
      <c r="M127" s="39">
        <f t="shared" si="74"/>
        <v>2871.09</v>
      </c>
      <c r="N127" s="39">
        <f t="shared" si="74"/>
        <v>1747.62</v>
      </c>
      <c r="O127" s="39">
        <f t="shared" si="74"/>
        <v>5617.35</v>
      </c>
      <c r="P127" s="39">
        <f t="shared" si="74"/>
        <v>1622.79</v>
      </c>
      <c r="Q127" s="39">
        <f t="shared" si="74"/>
        <v>0</v>
      </c>
      <c r="R127" s="39">
        <f t="shared" si="74"/>
        <v>3120.75</v>
      </c>
      <c r="S127" s="39">
        <f t="shared" si="74"/>
        <v>374.49</v>
      </c>
      <c r="T127" s="39">
        <f t="shared" si="74"/>
        <v>0</v>
      </c>
      <c r="U127" s="39">
        <f t="shared" si="74"/>
        <v>1872.45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5"/>
      <c r="AJ127" s="2"/>
      <c r="AK127" s="2"/>
      <c r="AL127" s="2"/>
      <c r="AM127" s="2"/>
      <c r="AN127" s="2"/>
      <c r="AO127" s="2"/>
      <c r="AP127" s="5"/>
      <c r="AQ127" s="5"/>
    </row>
    <row r="128">
      <c r="A128" s="2"/>
      <c r="B128" s="5"/>
      <c r="C128" s="2"/>
      <c r="D128" s="2" t="str">
        <f t="shared" si="72"/>
        <v>Stock 3</v>
      </c>
      <c r="E128" s="2"/>
      <c r="F128" s="2"/>
      <c r="G128" s="2"/>
      <c r="H128" s="2" t="str">
        <f t="shared" si="73"/>
        <v>Slow Burn</v>
      </c>
      <c r="I128" s="2"/>
      <c r="J128" s="39">
        <f t="shared" ref="J128:U128" si="75">if($H$128="",0,if($H$128="Sky Rockets",J23*$W$8*$AA$23,if($H$128="Steady Eddy",J23*$X$8*$AA$23,J23*$Y$8*$AA$23)))</f>
        <v>4398.975</v>
      </c>
      <c r="K128" s="39">
        <f t="shared" si="75"/>
        <v>0</v>
      </c>
      <c r="L128" s="39">
        <f t="shared" si="75"/>
        <v>4273.29</v>
      </c>
      <c r="M128" s="39">
        <f t="shared" si="75"/>
        <v>0</v>
      </c>
      <c r="N128" s="39">
        <f t="shared" si="75"/>
        <v>2010.96</v>
      </c>
      <c r="O128" s="39">
        <f t="shared" si="75"/>
        <v>5530.14</v>
      </c>
      <c r="P128" s="39">
        <f t="shared" si="75"/>
        <v>1885.275</v>
      </c>
      <c r="Q128" s="39">
        <f t="shared" si="75"/>
        <v>0</v>
      </c>
      <c r="R128" s="39">
        <f t="shared" si="75"/>
        <v>0</v>
      </c>
      <c r="S128" s="39">
        <f t="shared" si="75"/>
        <v>628.425</v>
      </c>
      <c r="T128" s="39">
        <f t="shared" si="75"/>
        <v>0</v>
      </c>
      <c r="U128" s="39">
        <f t="shared" si="75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5"/>
      <c r="AJ128" s="2"/>
      <c r="AK128" s="2"/>
      <c r="AL128" s="2"/>
      <c r="AM128" s="2"/>
      <c r="AN128" s="2"/>
      <c r="AO128" s="2"/>
      <c r="AP128" s="5"/>
      <c r="AQ128" s="5"/>
    </row>
    <row r="129">
      <c r="A129" s="2"/>
      <c r="B129" s="5"/>
      <c r="C129" s="2"/>
      <c r="D129" s="2" t="str">
        <f t="shared" si="72"/>
        <v>Stock 4</v>
      </c>
      <c r="E129" s="2"/>
      <c r="F129" s="2"/>
      <c r="G129" s="2"/>
      <c r="H129" s="2" t="str">
        <f t="shared" si="73"/>
        <v>Steady Eddy</v>
      </c>
      <c r="I129" s="2"/>
      <c r="J129" s="39">
        <f t="shared" ref="J129:U129" si="76">if($H$129="",0,if($H$129="Sky Rockets",J24*$W$8*$AA$24,if($H$129="Steady Eddy",J24*$X$8*$AA$24,J24*$Y$8*$AA$24)))</f>
        <v>4808.52</v>
      </c>
      <c r="K129" s="39">
        <f t="shared" si="76"/>
        <v>0</v>
      </c>
      <c r="L129" s="39">
        <f t="shared" si="76"/>
        <v>4935.06</v>
      </c>
      <c r="M129" s="39">
        <f t="shared" si="76"/>
        <v>0</v>
      </c>
      <c r="N129" s="39">
        <f t="shared" si="76"/>
        <v>2277.72</v>
      </c>
      <c r="O129" s="39">
        <f t="shared" si="76"/>
        <v>6200.46</v>
      </c>
      <c r="P129" s="39">
        <f t="shared" si="76"/>
        <v>0</v>
      </c>
      <c r="Q129" s="39">
        <f t="shared" si="76"/>
        <v>0</v>
      </c>
      <c r="R129" s="39">
        <f t="shared" si="76"/>
        <v>0</v>
      </c>
      <c r="S129" s="39">
        <f t="shared" si="76"/>
        <v>1012.32</v>
      </c>
      <c r="T129" s="39">
        <f t="shared" si="76"/>
        <v>2277.72</v>
      </c>
      <c r="U129" s="39">
        <f t="shared" si="76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5"/>
      <c r="AJ129" s="2"/>
      <c r="AK129" s="2"/>
      <c r="AL129" s="2"/>
      <c r="AM129" s="2"/>
      <c r="AN129" s="2"/>
      <c r="AO129" s="2"/>
      <c r="AP129" s="5"/>
      <c r="AQ129" s="5"/>
    </row>
    <row r="130">
      <c r="A130" s="2"/>
      <c r="B130" s="5"/>
      <c r="C130" s="2"/>
      <c r="D130" s="2" t="str">
        <f t="shared" si="72"/>
        <v>Stock 5</v>
      </c>
      <c r="E130" s="2"/>
      <c r="F130" s="2"/>
      <c r="G130" s="2"/>
      <c r="H130" s="2" t="str">
        <f t="shared" si="73"/>
        <v>SkyRockets</v>
      </c>
      <c r="I130" s="2"/>
      <c r="J130" s="39">
        <f t="shared" ref="J130:U130" si="77">if($H$130="",0,if($H$130="Sky Rockets",J25*$W$8*$AA$25,if($H$130="Steady Eddy",J25*$X$8*$AA$25,J25*$Y$8*$AA$25)))</f>
        <v>4586.22</v>
      </c>
      <c r="K130" s="39">
        <f t="shared" si="77"/>
        <v>0</v>
      </c>
      <c r="L130" s="39">
        <f t="shared" si="77"/>
        <v>4841.01</v>
      </c>
      <c r="M130" s="39">
        <f t="shared" si="77"/>
        <v>3312.27</v>
      </c>
      <c r="N130" s="39">
        <f t="shared" si="77"/>
        <v>1401.345</v>
      </c>
      <c r="O130" s="39">
        <f t="shared" si="77"/>
        <v>6114.96</v>
      </c>
      <c r="P130" s="39">
        <f t="shared" si="77"/>
        <v>0</v>
      </c>
      <c r="Q130" s="39">
        <f t="shared" si="77"/>
        <v>1401.345</v>
      </c>
      <c r="R130" s="39">
        <f t="shared" si="77"/>
        <v>3567.06</v>
      </c>
      <c r="S130" s="39">
        <f t="shared" si="77"/>
        <v>764.37</v>
      </c>
      <c r="T130" s="39">
        <f t="shared" si="77"/>
        <v>2165.715</v>
      </c>
      <c r="U130" s="39">
        <f t="shared" si="77"/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5"/>
      <c r="AJ130" s="2"/>
      <c r="AK130" s="2"/>
      <c r="AL130" s="2"/>
      <c r="AM130" s="2"/>
      <c r="AN130" s="2"/>
      <c r="AO130" s="2"/>
      <c r="AP130" s="5"/>
      <c r="AQ130" s="5"/>
    </row>
    <row r="131">
      <c r="A131" s="2"/>
      <c r="B131" s="5"/>
      <c r="C131" s="2"/>
      <c r="D131" s="2" t="str">
        <f t="shared" si="72"/>
        <v>Stock 6</v>
      </c>
      <c r="E131" s="2"/>
      <c r="F131" s="2"/>
      <c r="G131" s="2"/>
      <c r="H131" s="2" t="str">
        <f t="shared" si="73"/>
        <v>Slow Burn</v>
      </c>
      <c r="I131" s="2"/>
      <c r="J131" s="39">
        <f t="shared" ref="J131:U131" si="78">if($H$131="",0,if($H$131="Sky Rockets",J26*$W$8*$AA$26,if($H$131="Steady Eddy",J26*$X$8*$AA$26,J26*$Y$8*$AA$26)))</f>
        <v>4488.75</v>
      </c>
      <c r="K131" s="39">
        <f t="shared" si="78"/>
        <v>1667.25</v>
      </c>
      <c r="L131" s="39">
        <f t="shared" si="78"/>
        <v>0</v>
      </c>
      <c r="M131" s="39">
        <f t="shared" si="78"/>
        <v>3206.25</v>
      </c>
      <c r="N131" s="39">
        <f t="shared" si="78"/>
        <v>0</v>
      </c>
      <c r="O131" s="39">
        <f t="shared" si="78"/>
        <v>6027.75</v>
      </c>
      <c r="P131" s="39">
        <f t="shared" si="78"/>
        <v>0</v>
      </c>
      <c r="Q131" s="39">
        <f t="shared" si="78"/>
        <v>1667.25</v>
      </c>
      <c r="R131" s="39">
        <f t="shared" si="78"/>
        <v>4745.25</v>
      </c>
      <c r="S131" s="39">
        <f t="shared" si="78"/>
        <v>0</v>
      </c>
      <c r="T131" s="39">
        <f t="shared" si="78"/>
        <v>1667.25</v>
      </c>
      <c r="U131" s="39">
        <f t="shared" si="78"/>
        <v>2180.25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5"/>
      <c r="AJ131" s="2"/>
      <c r="AK131" s="2"/>
      <c r="AL131" s="2"/>
      <c r="AM131" s="2"/>
      <c r="AN131" s="2"/>
      <c r="AO131" s="2"/>
      <c r="AP131" s="5"/>
      <c r="AQ131" s="5"/>
    </row>
    <row r="132">
      <c r="A132" s="2"/>
      <c r="B132" s="5"/>
      <c r="C132" s="2"/>
      <c r="D132" s="2" t="str">
        <f t="shared" si="72"/>
        <v>Stock 7</v>
      </c>
      <c r="E132" s="2"/>
      <c r="F132" s="2"/>
      <c r="G132" s="2"/>
      <c r="H132" s="2" t="str">
        <f t="shared" si="73"/>
        <v>SkyRockets</v>
      </c>
      <c r="I132" s="2"/>
      <c r="J132" s="39">
        <f t="shared" ref="J132:U132" si="79">if($H$132="",0,if($H$132="Sky Rockets",J27*$W$8*$AA$27,if($H$132="Steady Eddy",J27*$X$8*$AA$27,J27*$Y$8*$AA$27)))</f>
        <v>4389.57</v>
      </c>
      <c r="K132" s="39">
        <f t="shared" si="79"/>
        <v>1936.575</v>
      </c>
      <c r="L132" s="39">
        <f t="shared" si="79"/>
        <v>0</v>
      </c>
      <c r="M132" s="39">
        <f t="shared" si="79"/>
        <v>3098.52</v>
      </c>
      <c r="N132" s="39">
        <f t="shared" si="79"/>
        <v>0</v>
      </c>
      <c r="O132" s="39">
        <f t="shared" si="79"/>
        <v>0</v>
      </c>
      <c r="P132" s="39">
        <f t="shared" si="79"/>
        <v>0</v>
      </c>
      <c r="Q132" s="39">
        <f t="shared" si="79"/>
        <v>1936.575</v>
      </c>
      <c r="R132" s="39">
        <f t="shared" si="79"/>
        <v>4260.465</v>
      </c>
      <c r="S132" s="39">
        <f t="shared" si="79"/>
        <v>0</v>
      </c>
      <c r="T132" s="39">
        <f t="shared" si="79"/>
        <v>1936.575</v>
      </c>
      <c r="U132" s="39">
        <f t="shared" si="79"/>
        <v>387.315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5"/>
      <c r="AJ132" s="2"/>
      <c r="AK132" s="2"/>
      <c r="AL132" s="2"/>
      <c r="AM132" s="2"/>
      <c r="AN132" s="2"/>
      <c r="AO132" s="2"/>
      <c r="AP132" s="5"/>
      <c r="AQ132" s="5"/>
    </row>
    <row r="133">
      <c r="A133" s="2"/>
      <c r="B133" s="5"/>
      <c r="C133" s="2"/>
      <c r="D133" s="2" t="str">
        <f t="shared" si="72"/>
        <v>Stock 8</v>
      </c>
      <c r="E133" s="2"/>
      <c r="F133" s="2"/>
      <c r="G133" s="2"/>
      <c r="H133" s="2" t="str">
        <f t="shared" si="73"/>
        <v>SkyRockets</v>
      </c>
      <c r="I133" s="2"/>
      <c r="J133" s="39">
        <f t="shared" ref="J133:U133" si="80">if($H$133="",0,if($H$133="Sky Rockets",J28*$W$8*$AA$28,if($H$133="Steady Eddy",J28*$X$8*$AA$28,J28*$Y$8*$AA$28)))</f>
        <v>4808.52</v>
      </c>
      <c r="K133" s="39">
        <f t="shared" si="80"/>
        <v>2209.32</v>
      </c>
      <c r="L133" s="39">
        <f t="shared" si="80"/>
        <v>0</v>
      </c>
      <c r="M133" s="39">
        <f t="shared" si="80"/>
        <v>3508.92</v>
      </c>
      <c r="N133" s="39">
        <f t="shared" si="80"/>
        <v>4808.52</v>
      </c>
      <c r="O133" s="39">
        <f t="shared" si="80"/>
        <v>0</v>
      </c>
      <c r="P133" s="39">
        <f t="shared" si="80"/>
        <v>0</v>
      </c>
      <c r="Q133" s="39">
        <f t="shared" si="80"/>
        <v>2209.32</v>
      </c>
      <c r="R133" s="39">
        <f t="shared" si="80"/>
        <v>0</v>
      </c>
      <c r="S133" s="39">
        <f t="shared" si="80"/>
        <v>3508.92</v>
      </c>
      <c r="T133" s="39">
        <f t="shared" si="80"/>
        <v>2209.32</v>
      </c>
      <c r="U133" s="39">
        <f t="shared" si="80"/>
        <v>649.8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5"/>
      <c r="AJ133" s="2"/>
      <c r="AK133" s="2"/>
      <c r="AL133" s="2"/>
      <c r="AM133" s="2"/>
      <c r="AN133" s="2"/>
      <c r="AO133" s="2"/>
      <c r="AP133" s="5"/>
      <c r="AQ133" s="5"/>
    </row>
    <row r="134">
      <c r="A134" s="2"/>
      <c r="B134" s="5"/>
      <c r="C134" s="2"/>
      <c r="D134" s="2" t="str">
        <f t="shared" si="72"/>
        <v>Stock 9</v>
      </c>
      <c r="E134" s="2"/>
      <c r="F134" s="2"/>
      <c r="G134" s="2"/>
      <c r="H134" s="2" t="str">
        <f t="shared" si="73"/>
        <v>Steady Eddy</v>
      </c>
      <c r="I134" s="2"/>
      <c r="J134" s="39">
        <f t="shared" ref="J134:U134" si="81">if($H$134="",0,if($H$134="Sky Rockets",J29*$W$8*$AA$29,if($H$134="Steady Eddy",J29*$X$8*$AA$29,J29*$Y$8*$AA$29)))</f>
        <v>4447.71</v>
      </c>
      <c r="K134" s="39">
        <f t="shared" si="81"/>
        <v>1569.78</v>
      </c>
      <c r="L134" s="39">
        <f t="shared" si="81"/>
        <v>4840.155</v>
      </c>
      <c r="M134" s="39">
        <f t="shared" si="81"/>
        <v>3139.56</v>
      </c>
      <c r="N134" s="39">
        <f t="shared" si="81"/>
        <v>4186.08</v>
      </c>
      <c r="O134" s="39">
        <f t="shared" si="81"/>
        <v>0</v>
      </c>
      <c r="P134" s="39">
        <f t="shared" si="81"/>
        <v>0</v>
      </c>
      <c r="Q134" s="39">
        <f t="shared" si="81"/>
        <v>1569.78</v>
      </c>
      <c r="R134" s="39">
        <f t="shared" si="81"/>
        <v>0</v>
      </c>
      <c r="S134" s="39">
        <f t="shared" si="81"/>
        <v>3139.56</v>
      </c>
      <c r="T134" s="39">
        <f t="shared" si="81"/>
        <v>1569.78</v>
      </c>
      <c r="U134" s="39">
        <f t="shared" si="81"/>
        <v>915.705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5"/>
      <c r="AJ134" s="2"/>
      <c r="AK134" s="2"/>
      <c r="AL134" s="2"/>
      <c r="AM134" s="2"/>
      <c r="AN134" s="2"/>
      <c r="AO134" s="2"/>
      <c r="AP134" s="5"/>
      <c r="AQ134" s="5"/>
    </row>
    <row r="135">
      <c r="A135" s="2"/>
      <c r="B135" s="5"/>
      <c r="C135" s="2"/>
      <c r="D135" s="2" t="str">
        <f t="shared" si="72"/>
        <v>Stock 10</v>
      </c>
      <c r="E135" s="2"/>
      <c r="F135" s="2"/>
      <c r="G135" s="2"/>
      <c r="H135" s="2" t="str">
        <f t="shared" si="73"/>
        <v>Steady Eddy</v>
      </c>
      <c r="I135" s="2"/>
      <c r="J135" s="39">
        <f t="shared" ref="J135:U135" si="82">if($H$135="",0,if($H$135="Sky Rockets",J30*$W$8*$AA$30,if($H$135="Steady Eddy",J30*$X$8*$AA$30,J30*$Y$8*$AA$30)))</f>
        <v>4345.11</v>
      </c>
      <c r="K135" s="39">
        <f t="shared" si="82"/>
        <v>1843.38</v>
      </c>
      <c r="L135" s="39">
        <f t="shared" si="82"/>
        <v>4081.77</v>
      </c>
      <c r="M135" s="39">
        <f t="shared" si="82"/>
        <v>3028.41</v>
      </c>
      <c r="N135" s="39">
        <f t="shared" si="82"/>
        <v>4476.78</v>
      </c>
      <c r="O135" s="39">
        <f t="shared" si="82"/>
        <v>4081.77</v>
      </c>
      <c r="P135" s="39">
        <f t="shared" si="82"/>
        <v>0</v>
      </c>
      <c r="Q135" s="39">
        <f t="shared" si="82"/>
        <v>1843.38</v>
      </c>
      <c r="R135" s="39">
        <f t="shared" si="82"/>
        <v>5398.47</v>
      </c>
      <c r="S135" s="39">
        <f t="shared" si="82"/>
        <v>3028.41</v>
      </c>
      <c r="T135" s="39">
        <f t="shared" si="82"/>
        <v>0</v>
      </c>
      <c r="U135" s="39">
        <f t="shared" si="82"/>
        <v>131.67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5"/>
      <c r="AJ135" s="2"/>
      <c r="AK135" s="2"/>
      <c r="AL135" s="2"/>
      <c r="AM135" s="2"/>
      <c r="AN135" s="2"/>
      <c r="AO135" s="2"/>
      <c r="AP135" s="5"/>
      <c r="AQ135" s="5"/>
    </row>
    <row r="136">
      <c r="A136" s="2"/>
      <c r="B136" s="5"/>
      <c r="C136" s="2"/>
      <c r="D136" s="2" t="str">
        <f t="shared" si="72"/>
        <v>Stock 11</v>
      </c>
      <c r="E136" s="2"/>
      <c r="F136" s="2"/>
      <c r="G136" s="2"/>
      <c r="H136" s="2" t="str">
        <f t="shared" si="73"/>
        <v>Steady Eddy</v>
      </c>
      <c r="I136" s="2"/>
      <c r="J136" s="39">
        <f t="shared" ref="J136:U136" si="83">if($H$136="",0,if($H$136="Sky Rockets",J31*$W$8*$AA$31,if($H$136="Steady Eddy",J31*$X$8*$AA$31,J31*$Y$8*$AA$31)))</f>
        <v>4638.375</v>
      </c>
      <c r="K136" s="39">
        <f t="shared" si="83"/>
        <v>2120.4</v>
      </c>
      <c r="L136" s="39">
        <f t="shared" si="83"/>
        <v>4638.375</v>
      </c>
      <c r="M136" s="39">
        <f t="shared" si="83"/>
        <v>0</v>
      </c>
      <c r="N136" s="39">
        <f t="shared" si="83"/>
        <v>4770.9</v>
      </c>
      <c r="O136" s="39">
        <f t="shared" si="83"/>
        <v>4638.375</v>
      </c>
      <c r="P136" s="39">
        <f t="shared" si="83"/>
        <v>1987.875</v>
      </c>
      <c r="Q136" s="39">
        <f t="shared" si="83"/>
        <v>2120.4</v>
      </c>
      <c r="R136" s="39">
        <f t="shared" si="83"/>
        <v>7288.875</v>
      </c>
      <c r="S136" s="39">
        <f t="shared" si="83"/>
        <v>3313.125</v>
      </c>
      <c r="T136" s="39">
        <f t="shared" si="83"/>
        <v>0</v>
      </c>
      <c r="U136" s="39">
        <f t="shared" si="83"/>
        <v>662.625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5"/>
      <c r="AJ136" s="2"/>
      <c r="AK136" s="2"/>
      <c r="AL136" s="2"/>
      <c r="AM136" s="2"/>
      <c r="AN136" s="2"/>
      <c r="AO136" s="2"/>
      <c r="AP136" s="5"/>
      <c r="AQ136" s="5"/>
    </row>
    <row r="137">
      <c r="A137" s="2"/>
      <c r="B137" s="5"/>
      <c r="C137" s="2"/>
      <c r="D137" s="2" t="str">
        <f t="shared" si="72"/>
        <v>Stock 12</v>
      </c>
      <c r="E137" s="2"/>
      <c r="F137" s="2"/>
      <c r="G137" s="2"/>
      <c r="H137" s="2" t="str">
        <f t="shared" si="73"/>
        <v>Steady Eddy</v>
      </c>
      <c r="I137" s="2"/>
      <c r="J137" s="39">
        <f t="shared" ref="J137:U137" si="84">if($H$137="",0,if($H$137="Sky Rockets",J32*$W$8*$AA$32,if($H$137="Steady Eddy",J32*$X$8*$AA$32,J32*$Y$8*$AA$32)))</f>
        <v>5068.44</v>
      </c>
      <c r="K137" s="39">
        <f t="shared" si="84"/>
        <v>2400.84</v>
      </c>
      <c r="L137" s="39">
        <f t="shared" si="84"/>
        <v>5201.82</v>
      </c>
      <c r="M137" s="39">
        <f t="shared" si="84"/>
        <v>0</v>
      </c>
      <c r="N137" s="39">
        <f t="shared" si="84"/>
        <v>5068.44</v>
      </c>
      <c r="O137" s="39">
        <f t="shared" si="84"/>
        <v>5201.82</v>
      </c>
      <c r="P137" s="39">
        <f t="shared" si="84"/>
        <v>2400.84</v>
      </c>
      <c r="Q137" s="39">
        <f t="shared" si="84"/>
        <v>2400.84</v>
      </c>
      <c r="R137" s="39">
        <f t="shared" si="84"/>
        <v>9203.22</v>
      </c>
      <c r="S137" s="39">
        <f t="shared" si="84"/>
        <v>3734.64</v>
      </c>
      <c r="T137" s="39">
        <f t="shared" si="84"/>
        <v>2400.84</v>
      </c>
      <c r="U137" s="39">
        <f t="shared" si="84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5"/>
      <c r="AJ137" s="2"/>
      <c r="AK137" s="2"/>
      <c r="AL137" s="2"/>
      <c r="AM137" s="2"/>
      <c r="AN137" s="2"/>
      <c r="AO137" s="2"/>
      <c r="AP137" s="5"/>
      <c r="AQ137" s="5"/>
    </row>
    <row r="138">
      <c r="A138" s="2"/>
      <c r="B138" s="5"/>
      <c r="C138" s="2"/>
      <c r="D138" s="2" t="str">
        <f t="shared" si="72"/>
        <v>Stock 13</v>
      </c>
      <c r="E138" s="2"/>
      <c r="F138" s="2"/>
      <c r="G138" s="2"/>
      <c r="H138" s="2" t="str">
        <f t="shared" si="73"/>
        <v>Steady Eddy</v>
      </c>
      <c r="I138" s="2"/>
      <c r="J138" s="39">
        <f t="shared" ref="J138:U138" si="85">if($H$138="",0,if($H$138="Sky Rockets",J33*$W$8*$AA$33,if($H$138="Steady Eddy",J33*$X$8*$AA$33,J33*$Y$8*$AA$33)))</f>
        <v>4832.46</v>
      </c>
      <c r="K138" s="39">
        <f t="shared" si="85"/>
        <v>1745.055</v>
      </c>
      <c r="L138" s="39">
        <f t="shared" si="85"/>
        <v>5100.93</v>
      </c>
      <c r="M138" s="39">
        <f t="shared" si="85"/>
        <v>0</v>
      </c>
      <c r="N138" s="39">
        <f t="shared" si="85"/>
        <v>4429.755</v>
      </c>
      <c r="O138" s="39">
        <f t="shared" si="85"/>
        <v>5100.93</v>
      </c>
      <c r="P138" s="39">
        <f t="shared" si="85"/>
        <v>2147.76</v>
      </c>
      <c r="Q138" s="39">
        <f t="shared" si="85"/>
        <v>1745.055</v>
      </c>
      <c r="R138" s="39">
        <f t="shared" si="85"/>
        <v>0</v>
      </c>
      <c r="S138" s="39">
        <f t="shared" si="85"/>
        <v>3490.11</v>
      </c>
      <c r="T138" s="39">
        <f t="shared" si="85"/>
        <v>1745.055</v>
      </c>
      <c r="U138" s="39">
        <f t="shared" si="85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5"/>
      <c r="AJ138" s="2"/>
      <c r="AK138" s="2"/>
      <c r="AL138" s="2"/>
      <c r="AM138" s="2"/>
      <c r="AN138" s="2"/>
      <c r="AO138" s="2"/>
      <c r="AP138" s="5"/>
      <c r="AQ138" s="5"/>
    </row>
    <row r="139">
      <c r="A139" s="2"/>
      <c r="B139" s="5"/>
      <c r="C139" s="2"/>
      <c r="D139" s="2" t="str">
        <f t="shared" si="72"/>
        <v>Stock 14</v>
      </c>
      <c r="E139" s="2"/>
      <c r="F139" s="2"/>
      <c r="G139" s="2"/>
      <c r="H139" s="2" t="str">
        <f t="shared" si="73"/>
        <v>SkyRockets</v>
      </c>
      <c r="I139" s="2"/>
      <c r="J139" s="39">
        <f t="shared" ref="J139:U139" si="86">if($H$139="",0,if($H$139="Sky Rockets",J34*$W$8*$AA$34,if($H$139="Steady Eddy",J34*$X$8*$AA$34,J34*$Y$8*$AA$34)))</f>
        <v>4728.15</v>
      </c>
      <c r="K139" s="39">
        <f t="shared" si="86"/>
        <v>2026.35</v>
      </c>
      <c r="L139" s="39">
        <f t="shared" si="86"/>
        <v>4728.15</v>
      </c>
      <c r="M139" s="39">
        <f t="shared" si="86"/>
        <v>3377.25</v>
      </c>
      <c r="N139" s="39">
        <f t="shared" si="86"/>
        <v>0</v>
      </c>
      <c r="O139" s="39">
        <f t="shared" si="86"/>
        <v>0</v>
      </c>
      <c r="P139" s="39">
        <f t="shared" si="86"/>
        <v>2026.35</v>
      </c>
      <c r="Q139" s="39">
        <f t="shared" si="86"/>
        <v>0</v>
      </c>
      <c r="R139" s="39">
        <f t="shared" si="86"/>
        <v>0</v>
      </c>
      <c r="S139" s="39">
        <f t="shared" si="86"/>
        <v>0</v>
      </c>
      <c r="T139" s="39">
        <f t="shared" si="86"/>
        <v>2026.35</v>
      </c>
      <c r="U139" s="39">
        <f t="shared" si="86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5"/>
      <c r="AJ139" s="2"/>
      <c r="AK139" s="2"/>
      <c r="AL139" s="2"/>
      <c r="AM139" s="2"/>
      <c r="AN139" s="2"/>
      <c r="AO139" s="2"/>
      <c r="AP139" s="5"/>
      <c r="AQ139" s="5"/>
    </row>
    <row r="140">
      <c r="A140" s="2"/>
      <c r="B140" s="5"/>
      <c r="C140" s="2"/>
      <c r="D140" s="2" t="str">
        <f t="shared" si="72"/>
        <v>Stock 15</v>
      </c>
      <c r="E140" s="2"/>
      <c r="F140" s="2"/>
      <c r="G140" s="2"/>
      <c r="H140" s="2" t="str">
        <f t="shared" si="73"/>
        <v>SkyRockets</v>
      </c>
      <c r="I140" s="2"/>
      <c r="J140" s="39">
        <f t="shared" ref="J140:U140" si="87">if($H$140="",0,if($H$140="Sky Rockets",J35*$W$8*$AA$35,if($H$140="Steady Eddy",J35*$X$8*$AA$35,J35*$Y$8*$AA$35)))</f>
        <v>4622.13</v>
      </c>
      <c r="K140" s="39">
        <f t="shared" si="87"/>
        <v>2311.065</v>
      </c>
      <c r="L140" s="39">
        <f t="shared" si="87"/>
        <v>4350.24</v>
      </c>
      <c r="M140" s="39">
        <f t="shared" si="87"/>
        <v>3262.68</v>
      </c>
      <c r="N140" s="39">
        <f t="shared" si="87"/>
        <v>0</v>
      </c>
      <c r="O140" s="39">
        <f t="shared" si="87"/>
        <v>0</v>
      </c>
      <c r="P140" s="39">
        <f t="shared" si="87"/>
        <v>1903.23</v>
      </c>
      <c r="Q140" s="39">
        <f t="shared" si="87"/>
        <v>0</v>
      </c>
      <c r="R140" s="39">
        <f t="shared" si="87"/>
        <v>5709.69</v>
      </c>
      <c r="S140" s="39">
        <f t="shared" si="87"/>
        <v>0</v>
      </c>
      <c r="T140" s="39">
        <f t="shared" si="87"/>
        <v>2311.065</v>
      </c>
      <c r="U140" s="39">
        <f t="shared" si="87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5"/>
      <c r="AJ140" s="2"/>
      <c r="AK140" s="2"/>
      <c r="AL140" s="2"/>
      <c r="AM140" s="2"/>
      <c r="AN140" s="2"/>
      <c r="AO140" s="2"/>
      <c r="AP140" s="5"/>
      <c r="AQ140" s="5"/>
    </row>
    <row r="141">
      <c r="A141" s="2"/>
      <c r="B141" s="5"/>
      <c r="C141" s="2"/>
      <c r="D141" s="2" t="str">
        <f t="shared" si="72"/>
        <v>Stock 16</v>
      </c>
      <c r="E141" s="2"/>
      <c r="F141" s="2"/>
      <c r="G141" s="2"/>
      <c r="H141" s="2" t="str">
        <f t="shared" si="73"/>
        <v>SkyRockets</v>
      </c>
      <c r="I141" s="2"/>
      <c r="J141" s="39">
        <f t="shared" ref="J141:U141" si="88">if($H$141="",0,if($H$141="Sky Rockets",J36*$W$8*$AA$36,if($H$141="Steady Eddy",J36*$X$8*$AA$36,J36*$Y$8*$AA$36)))</f>
        <v>5061.6</v>
      </c>
      <c r="K141" s="39">
        <f t="shared" si="88"/>
        <v>2599.2</v>
      </c>
      <c r="L141" s="39">
        <f t="shared" si="88"/>
        <v>4924.8</v>
      </c>
      <c r="M141" s="39">
        <f t="shared" si="88"/>
        <v>3693.6</v>
      </c>
      <c r="N141" s="39">
        <f t="shared" si="88"/>
        <v>6703.2</v>
      </c>
      <c r="O141" s="39">
        <f t="shared" si="88"/>
        <v>6292.8</v>
      </c>
      <c r="P141" s="39">
        <f t="shared" si="88"/>
        <v>2325.6</v>
      </c>
      <c r="Q141" s="39">
        <f t="shared" si="88"/>
        <v>0</v>
      </c>
      <c r="R141" s="39">
        <f t="shared" si="88"/>
        <v>4924.8</v>
      </c>
      <c r="S141" s="39">
        <f t="shared" si="88"/>
        <v>0</v>
      </c>
      <c r="T141" s="39">
        <f t="shared" si="88"/>
        <v>2599.2</v>
      </c>
      <c r="U141" s="39">
        <f t="shared" si="88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5"/>
      <c r="AJ141" s="2"/>
      <c r="AK141" s="2"/>
      <c r="AL141" s="2"/>
      <c r="AM141" s="2"/>
      <c r="AN141" s="2"/>
      <c r="AO141" s="2"/>
      <c r="AP141" s="5"/>
      <c r="AQ141" s="5"/>
    </row>
    <row r="142">
      <c r="A142" s="2"/>
      <c r="B142" s="5"/>
      <c r="C142" s="2"/>
      <c r="D142" s="2" t="str">
        <f t="shared" si="72"/>
        <v>Stock 17</v>
      </c>
      <c r="E142" s="2"/>
      <c r="F142" s="2"/>
      <c r="G142" s="2"/>
      <c r="H142" s="2" t="str">
        <f t="shared" si="73"/>
        <v>Slow Burn</v>
      </c>
      <c r="I142" s="2"/>
      <c r="J142" s="39">
        <f t="shared" ref="J142:U142" si="89">if($H$142="",0,if($H$142="Sky Rockets",J37*$W$8*$AA$37,if($H$142="Steady Eddy",J37*$X$8*$AA$37,J37*$Y$8*$AA$37)))</f>
        <v>4955.58</v>
      </c>
      <c r="K142" s="39">
        <f t="shared" si="89"/>
        <v>1514.205</v>
      </c>
      <c r="L142" s="39">
        <f t="shared" si="89"/>
        <v>4817.925</v>
      </c>
      <c r="M142" s="39">
        <f t="shared" si="89"/>
        <v>3579.03</v>
      </c>
      <c r="N142" s="39">
        <f t="shared" si="89"/>
        <v>5643.855</v>
      </c>
      <c r="O142" s="39">
        <f t="shared" si="89"/>
        <v>6194.475</v>
      </c>
      <c r="P142" s="39">
        <f t="shared" si="89"/>
        <v>2202.48</v>
      </c>
      <c r="Q142" s="39">
        <f t="shared" si="89"/>
        <v>0</v>
      </c>
      <c r="R142" s="39">
        <f t="shared" si="89"/>
        <v>3441.375</v>
      </c>
      <c r="S142" s="39">
        <f t="shared" si="89"/>
        <v>825.93</v>
      </c>
      <c r="T142" s="39">
        <f t="shared" si="89"/>
        <v>1514.205</v>
      </c>
      <c r="U142" s="39">
        <f t="shared" si="89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5"/>
      <c r="AJ142" s="2"/>
      <c r="AK142" s="2"/>
      <c r="AL142" s="2"/>
      <c r="AM142" s="2"/>
      <c r="AN142" s="2"/>
      <c r="AO142" s="2"/>
      <c r="AP142" s="5"/>
      <c r="AQ142" s="5"/>
    </row>
    <row r="143">
      <c r="A143" s="2"/>
      <c r="B143" s="5"/>
      <c r="C143" s="2"/>
      <c r="D143" s="2" t="str">
        <f t="shared" si="72"/>
        <v>Stock 18</v>
      </c>
      <c r="E143" s="2"/>
      <c r="F143" s="2"/>
      <c r="G143" s="2"/>
      <c r="H143" s="2" t="str">
        <f t="shared" si="73"/>
        <v>Slow Burn</v>
      </c>
      <c r="I143" s="2"/>
      <c r="J143" s="39">
        <f t="shared" ref="J143:U143" si="90">if($H$143="",0,if($H$143="Sky Rockets",J38*$W$8*$AA$38,if($H$143="Steady Eddy",J38*$X$8*$AA$38,J38*$Y$8*$AA$38)))</f>
        <v>4432.32</v>
      </c>
      <c r="K143" s="39">
        <f t="shared" si="90"/>
        <v>1662.12</v>
      </c>
      <c r="L143" s="39">
        <f t="shared" si="90"/>
        <v>4709.34</v>
      </c>
      <c r="M143" s="39">
        <f t="shared" si="90"/>
        <v>3047.22</v>
      </c>
      <c r="N143" s="39">
        <f t="shared" si="90"/>
        <v>5817.42</v>
      </c>
      <c r="O143" s="39">
        <f t="shared" si="90"/>
        <v>6094.44</v>
      </c>
      <c r="P143" s="39">
        <f t="shared" si="90"/>
        <v>1662.12</v>
      </c>
      <c r="Q143" s="39">
        <f t="shared" si="90"/>
        <v>1662.12</v>
      </c>
      <c r="R143" s="39">
        <f t="shared" si="90"/>
        <v>3324.24</v>
      </c>
      <c r="S143" s="39">
        <f t="shared" si="90"/>
        <v>277.02</v>
      </c>
      <c r="T143" s="39">
        <f t="shared" si="90"/>
        <v>1662.12</v>
      </c>
      <c r="U143" s="39">
        <f t="shared" si="90"/>
        <v>554.04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5"/>
      <c r="AJ143" s="2"/>
      <c r="AK143" s="2"/>
      <c r="AL143" s="2"/>
      <c r="AM143" s="2"/>
      <c r="AN143" s="2"/>
      <c r="AO143" s="2"/>
      <c r="AP143" s="5"/>
      <c r="AQ143" s="5"/>
    </row>
    <row r="144">
      <c r="A144" s="2"/>
      <c r="B144" s="5"/>
      <c r="C144" s="2"/>
      <c r="D144" s="2" t="str">
        <f t="shared" si="72"/>
        <v>Stock 19</v>
      </c>
      <c r="E144" s="2"/>
      <c r="F144" s="2"/>
      <c r="G144" s="2"/>
      <c r="H144" s="2" t="str">
        <f t="shared" si="73"/>
        <v>SkyRockets</v>
      </c>
      <c r="I144" s="2"/>
      <c r="J144" s="39">
        <f t="shared" ref="J144:U144" si="91">if($H$144="",0,if($H$144="Sky Rockets",J39*$W$8*$AA$39,if($H$144="Steady Eddy",J39*$X$8*$AA$39,J39*$Y$8*$AA$39)))</f>
        <v>4320.315</v>
      </c>
      <c r="K144" s="39">
        <f t="shared" si="91"/>
        <v>1951.11</v>
      </c>
      <c r="L144" s="39">
        <f t="shared" si="91"/>
        <v>5156.505</v>
      </c>
      <c r="M144" s="39">
        <f t="shared" si="91"/>
        <v>2926.665</v>
      </c>
      <c r="N144" s="39">
        <f t="shared" si="91"/>
        <v>6132.06</v>
      </c>
      <c r="O144" s="39">
        <f t="shared" si="91"/>
        <v>6550.155</v>
      </c>
      <c r="P144" s="39">
        <f t="shared" si="91"/>
        <v>1533.015</v>
      </c>
      <c r="Q144" s="39">
        <f t="shared" si="91"/>
        <v>1951.11</v>
      </c>
      <c r="R144" s="39">
        <f t="shared" si="91"/>
        <v>2369.205</v>
      </c>
      <c r="S144" s="39">
        <f t="shared" si="91"/>
        <v>139.365</v>
      </c>
      <c r="T144" s="39">
        <f t="shared" si="91"/>
        <v>1951.11</v>
      </c>
      <c r="U144" s="39">
        <f t="shared" si="91"/>
        <v>975.555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5"/>
      <c r="AJ144" s="2"/>
      <c r="AK144" s="2"/>
      <c r="AL144" s="2"/>
      <c r="AM144" s="2"/>
      <c r="AN144" s="2"/>
      <c r="AO144" s="2"/>
      <c r="AP144" s="5"/>
      <c r="AQ144" s="5"/>
    </row>
    <row r="145">
      <c r="A145" s="2"/>
      <c r="B145" s="5"/>
      <c r="C145" s="2"/>
      <c r="D145" s="2" t="str">
        <f t="shared" si="72"/>
        <v>Stock 20</v>
      </c>
      <c r="E145" s="2"/>
      <c r="F145" s="2"/>
      <c r="G145" s="2"/>
      <c r="H145" s="2" t="str">
        <f t="shared" si="73"/>
        <v>Steady Eddy</v>
      </c>
      <c r="I145" s="2"/>
      <c r="J145" s="39">
        <f t="shared" ref="J145:U145" si="92">if($H$145="",0,if($H$145="Sky Rockets",J40*$W$8*$AA$40,if($H$145="Steady Eddy",J40*$X$8*$AA$40,J40*$Y$8*$AA$40)))</f>
        <v>4767.48</v>
      </c>
      <c r="K145" s="39">
        <f t="shared" si="92"/>
        <v>2523.96</v>
      </c>
      <c r="L145" s="39">
        <f t="shared" si="92"/>
        <v>5328.36</v>
      </c>
      <c r="M145" s="39">
        <f t="shared" si="92"/>
        <v>3365.28</v>
      </c>
      <c r="N145" s="39">
        <f t="shared" si="92"/>
        <v>6730.56</v>
      </c>
      <c r="O145" s="39">
        <f t="shared" si="92"/>
        <v>6730.56</v>
      </c>
      <c r="P145" s="39">
        <f t="shared" si="92"/>
        <v>1963.08</v>
      </c>
      <c r="Q145" s="39">
        <f t="shared" si="92"/>
        <v>2523.96</v>
      </c>
      <c r="R145" s="39">
        <f t="shared" si="92"/>
        <v>5328.36</v>
      </c>
      <c r="S145" s="39">
        <f t="shared" si="92"/>
        <v>560.88</v>
      </c>
      <c r="T145" s="39">
        <f t="shared" si="92"/>
        <v>2523.96</v>
      </c>
      <c r="U145" s="39">
        <f t="shared" si="92"/>
        <v>1121.76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5"/>
      <c r="AJ145" s="2"/>
      <c r="AK145" s="2"/>
      <c r="AL145" s="2"/>
      <c r="AM145" s="2"/>
      <c r="AN145" s="2"/>
      <c r="AO145" s="2"/>
      <c r="AP145" s="5"/>
      <c r="AQ145" s="5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5"/>
      <c r="AJ146" s="2"/>
      <c r="AK146" s="2"/>
      <c r="AL146" s="2"/>
      <c r="AM146" s="2"/>
      <c r="AN146" s="2"/>
      <c r="AO146" s="2"/>
      <c r="AP146" s="5"/>
      <c r="AQ146" s="5"/>
    </row>
    <row r="147">
      <c r="A147" s="2"/>
      <c r="B147" s="5"/>
      <c r="C147" s="2"/>
      <c r="D147" s="2" t="str">
        <f>D124</f>
        <v>Calculations</v>
      </c>
      <c r="E147" s="2"/>
      <c r="F147" s="2"/>
      <c r="G147" s="2"/>
      <c r="H147" s="2">
        <f>U8</f>
        <v>60</v>
      </c>
      <c r="I147" s="2"/>
      <c r="J147" s="78">
        <f t="shared" ref="J147:U147" si="93">sum(J126:J145)</f>
        <v>92034.765</v>
      </c>
      <c r="K147" s="78">
        <f t="shared" si="93"/>
        <v>33315.93</v>
      </c>
      <c r="L147" s="78">
        <f t="shared" si="93"/>
        <v>80635.905</v>
      </c>
      <c r="M147" s="78">
        <f t="shared" si="93"/>
        <v>48392.145</v>
      </c>
      <c r="N147" s="78">
        <f t="shared" si="93"/>
        <v>67692.915</v>
      </c>
      <c r="O147" s="78">
        <f t="shared" si="93"/>
        <v>86078.835</v>
      </c>
      <c r="P147" s="78">
        <f t="shared" si="93"/>
        <v>25396.065</v>
      </c>
      <c r="Q147" s="78">
        <f t="shared" si="93"/>
        <v>24518.835</v>
      </c>
      <c r="R147" s="78">
        <f t="shared" si="93"/>
        <v>67144.86</v>
      </c>
      <c r="S147" s="78">
        <f t="shared" si="93"/>
        <v>25293.465</v>
      </c>
      <c r="T147" s="78">
        <f t="shared" si="93"/>
        <v>30808.215</v>
      </c>
      <c r="U147" s="78">
        <f t="shared" si="93"/>
        <v>11434.77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5"/>
      <c r="AJ147" s="2"/>
      <c r="AK147" s="2"/>
      <c r="AL147" s="2"/>
      <c r="AM147" s="2"/>
      <c r="AN147" s="2"/>
      <c r="AO147" s="2"/>
      <c r="AP147" s="5"/>
      <c r="AQ147" s="5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5"/>
      <c r="AJ148" s="2"/>
      <c r="AK148" s="2"/>
      <c r="AL148" s="2"/>
      <c r="AM148" s="2"/>
      <c r="AN148" s="2"/>
      <c r="AO148" s="2"/>
      <c r="AP148" s="5"/>
      <c r="AQ148" s="5"/>
    </row>
    <row r="149">
      <c r="A149" s="2"/>
      <c r="B149" s="5"/>
      <c r="C149" s="2"/>
      <c r="D149" s="2"/>
      <c r="E149" s="2"/>
      <c r="F149" s="3" t="s">
        <v>89</v>
      </c>
      <c r="G149" s="2"/>
      <c r="H149" s="2"/>
      <c r="I149" s="2"/>
      <c r="J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5"/>
      <c r="AJ149" s="2"/>
      <c r="AK149" s="2"/>
      <c r="AL149" s="2"/>
      <c r="AM149" s="2"/>
      <c r="AN149" s="2"/>
      <c r="AO149" s="2"/>
      <c r="AP149" s="5"/>
      <c r="AQ149" s="5"/>
    </row>
    <row r="150">
      <c r="A150" s="2"/>
      <c r="B150" s="5"/>
      <c r="C150" s="2"/>
      <c r="D150" s="2" t="str">
        <f t="shared" ref="D150:D169" si="95">D103</f>
        <v>Stock 1</v>
      </c>
      <c r="E150" s="2"/>
      <c r="F150" s="2"/>
      <c r="G150" s="2"/>
      <c r="H150" s="2" t="str">
        <f t="shared" ref="H150:H169" si="96">H126</f>
        <v>SkyRockets</v>
      </c>
      <c r="I150" s="2"/>
      <c r="J150" s="39">
        <f t="shared" ref="J150:U150" si="94">if($H$150="",0,if($H$150="Sky Rockets",J21*$W$9*$AB$21,if($H$150="Steady Eddy",J21*$X$9*$AB$21,J21*$Y$9*$AB$21)))</f>
        <v>4969.44</v>
      </c>
      <c r="K150" s="39">
        <f t="shared" si="94"/>
        <v>1753.92</v>
      </c>
      <c r="L150" s="39">
        <f t="shared" si="94"/>
        <v>5115.6</v>
      </c>
      <c r="M150" s="39">
        <f t="shared" si="94"/>
        <v>3507.84</v>
      </c>
      <c r="N150" s="39">
        <f t="shared" si="94"/>
        <v>1753.92</v>
      </c>
      <c r="O150" s="39">
        <f t="shared" si="94"/>
        <v>6723.36</v>
      </c>
      <c r="P150" s="39">
        <f t="shared" si="94"/>
        <v>2046.24</v>
      </c>
      <c r="Q150" s="39">
        <f t="shared" si="94"/>
        <v>1753.92</v>
      </c>
      <c r="R150" s="39">
        <f t="shared" si="94"/>
        <v>5261.76</v>
      </c>
      <c r="S150" s="39">
        <f t="shared" si="94"/>
        <v>584.64</v>
      </c>
      <c r="T150" s="39">
        <f t="shared" si="94"/>
        <v>292.32</v>
      </c>
      <c r="U150" s="39">
        <f t="shared" si="94"/>
        <v>2338.56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5"/>
      <c r="AJ150" s="2"/>
      <c r="AK150" s="2"/>
      <c r="AL150" s="2"/>
      <c r="AM150" s="2"/>
      <c r="AN150" s="2"/>
      <c r="AO150" s="2"/>
      <c r="AP150" s="5"/>
      <c r="AQ150" s="5"/>
    </row>
    <row r="151">
      <c r="A151" s="2"/>
      <c r="B151" s="5"/>
      <c r="C151" s="2"/>
      <c r="D151" s="2" t="str">
        <f t="shared" si="95"/>
        <v>Stock 2</v>
      </c>
      <c r="E151" s="2"/>
      <c r="F151" s="2"/>
      <c r="G151" s="2"/>
      <c r="H151" s="2" t="str">
        <f t="shared" si="96"/>
        <v>Steady Eddy</v>
      </c>
      <c r="I151" s="2"/>
      <c r="J151" s="39">
        <f t="shared" ref="J151:U151" si="97">if($H$151="",0,if($H$151="Sky Rockets",J22*$W$9*$AB$22,if($H$151="Steady Eddy",J22*$X$9*$AB$22,J22*$Y$9*$AB$22)))</f>
        <v>2428.272</v>
      </c>
      <c r="K151" s="39">
        <f t="shared" si="97"/>
        <v>1030.176</v>
      </c>
      <c r="L151" s="39">
        <f t="shared" si="97"/>
        <v>2575.44</v>
      </c>
      <c r="M151" s="39">
        <f t="shared" si="97"/>
        <v>1692.432</v>
      </c>
      <c r="N151" s="39">
        <f t="shared" si="97"/>
        <v>1030.176</v>
      </c>
      <c r="O151" s="39">
        <f t="shared" si="97"/>
        <v>3311.28</v>
      </c>
      <c r="P151" s="39">
        <f t="shared" si="97"/>
        <v>956.592</v>
      </c>
      <c r="Q151" s="39">
        <f t="shared" si="97"/>
        <v>0</v>
      </c>
      <c r="R151" s="39">
        <f t="shared" si="97"/>
        <v>1839.6</v>
      </c>
      <c r="S151" s="39">
        <f t="shared" si="97"/>
        <v>220.752</v>
      </c>
      <c r="T151" s="39">
        <f t="shared" si="97"/>
        <v>0</v>
      </c>
      <c r="U151" s="39">
        <f t="shared" si="97"/>
        <v>1103.76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5"/>
      <c r="AJ151" s="2"/>
      <c r="AK151" s="2"/>
      <c r="AL151" s="2"/>
      <c r="AM151" s="2"/>
      <c r="AN151" s="2"/>
      <c r="AO151" s="2"/>
      <c r="AP151" s="5"/>
      <c r="AQ151" s="5"/>
    </row>
    <row r="152">
      <c r="A152" s="2"/>
      <c r="B152" s="5"/>
      <c r="C152" s="2"/>
      <c r="D152" s="2" t="str">
        <f t="shared" si="95"/>
        <v>Stock 3</v>
      </c>
      <c r="E152" s="2"/>
      <c r="F152" s="2"/>
      <c r="G152" s="2"/>
      <c r="H152" s="2" t="str">
        <f t="shared" si="96"/>
        <v>Slow Burn</v>
      </c>
      <c r="I152" s="2"/>
      <c r="J152" s="39">
        <f t="shared" ref="J152:U152" si="98">if($H$152="",0,if($H$152="Sky Rockets",J23*$W$9*$AB$23,if($H$152="Steady Eddy",J23*$X$9*$AB$23,J23*$Y$9*$AB$23)))</f>
        <v>5186.16</v>
      </c>
      <c r="K152" s="39">
        <f t="shared" si="98"/>
        <v>0</v>
      </c>
      <c r="L152" s="39">
        <f t="shared" si="98"/>
        <v>5037.984</v>
      </c>
      <c r="M152" s="39">
        <f t="shared" si="98"/>
        <v>0</v>
      </c>
      <c r="N152" s="39">
        <f t="shared" si="98"/>
        <v>2370.816</v>
      </c>
      <c r="O152" s="39">
        <f t="shared" si="98"/>
        <v>6519.744</v>
      </c>
      <c r="P152" s="39">
        <f t="shared" si="98"/>
        <v>2222.64</v>
      </c>
      <c r="Q152" s="39">
        <f t="shared" si="98"/>
        <v>0</v>
      </c>
      <c r="R152" s="39">
        <f t="shared" si="98"/>
        <v>0</v>
      </c>
      <c r="S152" s="39">
        <f t="shared" si="98"/>
        <v>740.88</v>
      </c>
      <c r="T152" s="39">
        <f t="shared" si="98"/>
        <v>0</v>
      </c>
      <c r="U152" s="39">
        <f t="shared" si="98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5"/>
      <c r="AJ152" s="2"/>
      <c r="AK152" s="2"/>
      <c r="AL152" s="2"/>
      <c r="AM152" s="2"/>
      <c r="AN152" s="2"/>
      <c r="AO152" s="2"/>
      <c r="AP152" s="5"/>
      <c r="AQ152" s="5"/>
    </row>
    <row r="153">
      <c r="A153" s="2"/>
      <c r="B153" s="5"/>
      <c r="C153" s="2"/>
      <c r="D153" s="2" t="str">
        <f t="shared" si="95"/>
        <v>Stock 4</v>
      </c>
      <c r="E153" s="2"/>
      <c r="F153" s="2"/>
      <c r="G153" s="2"/>
      <c r="H153" s="2" t="str">
        <f t="shared" si="96"/>
        <v>Steady Eddy</v>
      </c>
      <c r="I153" s="2"/>
      <c r="J153" s="39">
        <f t="shared" ref="J153:U153" si="99">if($H$153="",0,if($H$153="Sky Rockets",J24*$W$9*$AB$24,if($H$153="Steady Eddy",J24*$X$9*$AB$24,J24*$Y$9*$AB$24)))</f>
        <v>2834.496</v>
      </c>
      <c r="K153" s="39">
        <f t="shared" si="99"/>
        <v>0</v>
      </c>
      <c r="L153" s="39">
        <f t="shared" si="99"/>
        <v>2909.088</v>
      </c>
      <c r="M153" s="39">
        <f t="shared" si="99"/>
        <v>0</v>
      </c>
      <c r="N153" s="39">
        <f t="shared" si="99"/>
        <v>1342.656</v>
      </c>
      <c r="O153" s="39">
        <f t="shared" si="99"/>
        <v>3655.008</v>
      </c>
      <c r="P153" s="39">
        <f t="shared" si="99"/>
        <v>0</v>
      </c>
      <c r="Q153" s="39">
        <f t="shared" si="99"/>
        <v>0</v>
      </c>
      <c r="R153" s="39">
        <f t="shared" si="99"/>
        <v>0</v>
      </c>
      <c r="S153" s="39">
        <f t="shared" si="99"/>
        <v>596.736</v>
      </c>
      <c r="T153" s="39">
        <f t="shared" si="99"/>
        <v>1342.656</v>
      </c>
      <c r="U153" s="39">
        <f t="shared" si="99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5"/>
      <c r="AJ153" s="2"/>
      <c r="AK153" s="2"/>
      <c r="AL153" s="2"/>
      <c r="AM153" s="2"/>
      <c r="AN153" s="2"/>
      <c r="AO153" s="2"/>
      <c r="AP153" s="5"/>
      <c r="AQ153" s="5"/>
    </row>
    <row r="154">
      <c r="A154" s="2"/>
      <c r="B154" s="5"/>
      <c r="C154" s="2"/>
      <c r="D154" s="2" t="str">
        <f t="shared" si="95"/>
        <v>Stock 5</v>
      </c>
      <c r="E154" s="2"/>
      <c r="F154" s="2"/>
      <c r="G154" s="2"/>
      <c r="H154" s="2" t="str">
        <f t="shared" si="96"/>
        <v>SkyRockets</v>
      </c>
      <c r="I154" s="2"/>
      <c r="J154" s="39">
        <f t="shared" ref="J154:U154" si="100">if($H$154="",0,if($H$154="Sky Rockets",J25*$W$9*$AB$25,if($H$154="Steady Eddy",J25*$X$9*$AB$25,J25*$Y$9*$AB$25)))</f>
        <v>5406.912</v>
      </c>
      <c r="K154" s="39">
        <f t="shared" si="100"/>
        <v>0</v>
      </c>
      <c r="L154" s="39">
        <f t="shared" si="100"/>
        <v>5707.296</v>
      </c>
      <c r="M154" s="39">
        <f t="shared" si="100"/>
        <v>3904.992</v>
      </c>
      <c r="N154" s="39">
        <f t="shared" si="100"/>
        <v>1652.112</v>
      </c>
      <c r="O154" s="39">
        <f t="shared" si="100"/>
        <v>7209.216</v>
      </c>
      <c r="P154" s="39">
        <f t="shared" si="100"/>
        <v>0</v>
      </c>
      <c r="Q154" s="39">
        <f t="shared" si="100"/>
        <v>1652.112</v>
      </c>
      <c r="R154" s="39">
        <f t="shared" si="100"/>
        <v>4205.376</v>
      </c>
      <c r="S154" s="39">
        <f t="shared" si="100"/>
        <v>901.152</v>
      </c>
      <c r="T154" s="39">
        <f t="shared" si="100"/>
        <v>2553.264</v>
      </c>
      <c r="U154" s="39">
        <f t="shared" si="100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5"/>
      <c r="AJ154" s="2"/>
      <c r="AK154" s="2"/>
      <c r="AL154" s="2"/>
      <c r="AM154" s="2"/>
      <c r="AN154" s="2"/>
      <c r="AO154" s="2"/>
      <c r="AP154" s="5"/>
      <c r="AQ154" s="5"/>
    </row>
    <row r="155">
      <c r="A155" s="2"/>
      <c r="B155" s="5"/>
      <c r="C155" s="2"/>
      <c r="D155" s="2" t="str">
        <f t="shared" si="95"/>
        <v>Stock 6</v>
      </c>
      <c r="E155" s="2"/>
      <c r="F155" s="2"/>
      <c r="G155" s="2"/>
      <c r="H155" s="2" t="str">
        <f t="shared" si="96"/>
        <v>Slow Burn</v>
      </c>
      <c r="I155" s="2"/>
      <c r="J155" s="39">
        <f t="shared" ref="J155:U155" si="101">if($H$155="",0,if($H$155="Sky Rockets",J26*$W$9*$AB$26,if($H$155="Steady Eddy",J26*$X$9*$AB$26,J26*$Y$9*$AB$26)))</f>
        <v>5292</v>
      </c>
      <c r="K155" s="39">
        <f t="shared" si="101"/>
        <v>1965.6</v>
      </c>
      <c r="L155" s="39">
        <f t="shared" si="101"/>
        <v>0</v>
      </c>
      <c r="M155" s="39">
        <f t="shared" si="101"/>
        <v>3780</v>
      </c>
      <c r="N155" s="39">
        <f t="shared" si="101"/>
        <v>0</v>
      </c>
      <c r="O155" s="39">
        <f t="shared" si="101"/>
        <v>7106.4</v>
      </c>
      <c r="P155" s="39">
        <f t="shared" si="101"/>
        <v>0</v>
      </c>
      <c r="Q155" s="39">
        <f t="shared" si="101"/>
        <v>1965.6</v>
      </c>
      <c r="R155" s="39">
        <f t="shared" si="101"/>
        <v>5594.4</v>
      </c>
      <c r="S155" s="39">
        <f t="shared" si="101"/>
        <v>0</v>
      </c>
      <c r="T155" s="39">
        <f t="shared" si="101"/>
        <v>1965.6</v>
      </c>
      <c r="U155" s="39">
        <f t="shared" si="101"/>
        <v>2570.4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5"/>
      <c r="AJ155" s="2"/>
      <c r="AK155" s="2"/>
      <c r="AL155" s="2"/>
      <c r="AM155" s="2"/>
      <c r="AN155" s="2"/>
      <c r="AO155" s="2"/>
      <c r="AP155" s="5"/>
      <c r="AQ155" s="5"/>
    </row>
    <row r="156">
      <c r="A156" s="2"/>
      <c r="B156" s="5"/>
      <c r="C156" s="2"/>
      <c r="D156" s="2" t="str">
        <f t="shared" si="95"/>
        <v>Stock 7</v>
      </c>
      <c r="E156" s="2"/>
      <c r="F156" s="2"/>
      <c r="G156" s="2"/>
      <c r="H156" s="2" t="str">
        <f t="shared" si="96"/>
        <v>SkyRockets</v>
      </c>
      <c r="I156" s="2"/>
      <c r="J156" s="39">
        <f t="shared" ref="J156:U156" si="102">if($H$156="",0,if($H$156="Sky Rockets",J27*$W$9*$AB$27,if($H$156="Steady Eddy",J27*$X$9*$AB$27,J27*$Y$9*$AB$27)))</f>
        <v>5175.072</v>
      </c>
      <c r="K156" s="39">
        <f t="shared" si="102"/>
        <v>2283.12</v>
      </c>
      <c r="L156" s="39">
        <f t="shared" si="102"/>
        <v>0</v>
      </c>
      <c r="M156" s="39">
        <f t="shared" si="102"/>
        <v>3652.992</v>
      </c>
      <c r="N156" s="39">
        <f t="shared" si="102"/>
        <v>0</v>
      </c>
      <c r="O156" s="39">
        <f t="shared" si="102"/>
        <v>0</v>
      </c>
      <c r="P156" s="39">
        <f t="shared" si="102"/>
        <v>0</v>
      </c>
      <c r="Q156" s="39">
        <f t="shared" si="102"/>
        <v>2283.12</v>
      </c>
      <c r="R156" s="39">
        <f t="shared" si="102"/>
        <v>5022.864</v>
      </c>
      <c r="S156" s="39">
        <f t="shared" si="102"/>
        <v>0</v>
      </c>
      <c r="T156" s="39">
        <f t="shared" si="102"/>
        <v>2283.12</v>
      </c>
      <c r="U156" s="39">
        <f t="shared" si="102"/>
        <v>456.624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5"/>
      <c r="AJ156" s="2"/>
      <c r="AK156" s="2"/>
      <c r="AL156" s="2"/>
      <c r="AM156" s="2"/>
      <c r="AN156" s="2"/>
      <c r="AO156" s="2"/>
      <c r="AP156" s="5"/>
      <c r="AQ156" s="5"/>
    </row>
    <row r="157">
      <c r="A157" s="2"/>
      <c r="B157" s="5"/>
      <c r="C157" s="2"/>
      <c r="D157" s="2" t="str">
        <f t="shared" si="95"/>
        <v>Stock 8</v>
      </c>
      <c r="E157" s="2"/>
      <c r="F157" s="2"/>
      <c r="G157" s="2"/>
      <c r="H157" s="2" t="str">
        <f t="shared" si="96"/>
        <v>SkyRockets</v>
      </c>
      <c r="I157" s="2"/>
      <c r="J157" s="39">
        <f t="shared" ref="J157:U157" si="103">if($H$157="",0,if($H$157="Sky Rockets",J28*$W$9*$AB$28,if($H$157="Steady Eddy",J28*$X$9*$AB$28,J28*$Y$9*$AB$28)))</f>
        <v>5668.992</v>
      </c>
      <c r="K157" s="39">
        <f t="shared" si="103"/>
        <v>2604.672</v>
      </c>
      <c r="L157" s="39">
        <f t="shared" si="103"/>
        <v>0</v>
      </c>
      <c r="M157" s="39">
        <f t="shared" si="103"/>
        <v>4136.832</v>
      </c>
      <c r="N157" s="39">
        <f t="shared" si="103"/>
        <v>5668.992</v>
      </c>
      <c r="O157" s="39">
        <f t="shared" si="103"/>
        <v>0</v>
      </c>
      <c r="P157" s="39">
        <f t="shared" si="103"/>
        <v>0</v>
      </c>
      <c r="Q157" s="39">
        <f t="shared" si="103"/>
        <v>2604.672</v>
      </c>
      <c r="R157" s="39">
        <f t="shared" si="103"/>
        <v>0</v>
      </c>
      <c r="S157" s="39">
        <f t="shared" si="103"/>
        <v>4136.832</v>
      </c>
      <c r="T157" s="39">
        <f t="shared" si="103"/>
        <v>2604.672</v>
      </c>
      <c r="U157" s="39">
        <f t="shared" si="103"/>
        <v>766.08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5"/>
      <c r="AJ157" s="2"/>
      <c r="AK157" s="2"/>
      <c r="AL157" s="2"/>
      <c r="AM157" s="2"/>
      <c r="AN157" s="2"/>
      <c r="AO157" s="2"/>
      <c r="AP157" s="5"/>
      <c r="AQ157" s="5"/>
    </row>
    <row r="158">
      <c r="A158" s="2"/>
      <c r="B158" s="5"/>
      <c r="C158" s="2"/>
      <c r="D158" s="2" t="str">
        <f t="shared" si="95"/>
        <v>Stock 9</v>
      </c>
      <c r="E158" s="2"/>
      <c r="F158" s="2"/>
      <c r="G158" s="2"/>
      <c r="H158" s="2" t="str">
        <f t="shared" si="96"/>
        <v>Steady Eddy</v>
      </c>
      <c r="I158" s="2"/>
      <c r="J158" s="39">
        <f t="shared" ref="J158:U158" si="104">if($H$158="",0,if($H$158="Sky Rockets",J29*$W$9*$AB$29,if($H$158="Steady Eddy",J29*$X$9*$AB$29,J29*$Y$9*$AB$29)))</f>
        <v>2621.808</v>
      </c>
      <c r="K158" s="39">
        <f t="shared" si="104"/>
        <v>925.344</v>
      </c>
      <c r="L158" s="39">
        <f t="shared" si="104"/>
        <v>2853.144</v>
      </c>
      <c r="M158" s="39">
        <f t="shared" si="104"/>
        <v>1850.688</v>
      </c>
      <c r="N158" s="39">
        <f t="shared" si="104"/>
        <v>2467.584</v>
      </c>
      <c r="O158" s="39">
        <f t="shared" si="104"/>
        <v>0</v>
      </c>
      <c r="P158" s="39">
        <f t="shared" si="104"/>
        <v>0</v>
      </c>
      <c r="Q158" s="39">
        <f t="shared" si="104"/>
        <v>925.344</v>
      </c>
      <c r="R158" s="39">
        <f t="shared" si="104"/>
        <v>0</v>
      </c>
      <c r="S158" s="39">
        <f t="shared" si="104"/>
        <v>1850.688</v>
      </c>
      <c r="T158" s="39">
        <f t="shared" si="104"/>
        <v>925.344</v>
      </c>
      <c r="U158" s="39">
        <f t="shared" si="104"/>
        <v>539.784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5"/>
      <c r="AJ158" s="2"/>
      <c r="AK158" s="2"/>
      <c r="AL158" s="2"/>
      <c r="AM158" s="2"/>
      <c r="AN158" s="2"/>
      <c r="AO158" s="2"/>
      <c r="AP158" s="5"/>
      <c r="AQ158" s="5"/>
    </row>
    <row r="159">
      <c r="A159" s="2"/>
      <c r="B159" s="5"/>
      <c r="C159" s="2"/>
      <c r="D159" s="2" t="str">
        <f t="shared" si="95"/>
        <v>Stock 10</v>
      </c>
      <c r="E159" s="2"/>
      <c r="F159" s="2"/>
      <c r="G159" s="2"/>
      <c r="H159" s="2" t="str">
        <f t="shared" si="96"/>
        <v>Steady Eddy</v>
      </c>
      <c r="I159" s="2"/>
      <c r="J159" s="39">
        <f t="shared" ref="J159:U159" si="105">if($H$159="",0,if($H$159="Sky Rockets",J30*$W$9*$AB$30,if($H$159="Steady Eddy",J30*$X$9*$AB$30,J30*$Y$9*$AB$30)))</f>
        <v>2561.328</v>
      </c>
      <c r="K159" s="39">
        <f t="shared" si="105"/>
        <v>1086.624</v>
      </c>
      <c r="L159" s="39">
        <f t="shared" si="105"/>
        <v>2406.096</v>
      </c>
      <c r="M159" s="39">
        <f t="shared" si="105"/>
        <v>1785.168</v>
      </c>
      <c r="N159" s="39">
        <f t="shared" si="105"/>
        <v>2638.944</v>
      </c>
      <c r="O159" s="39">
        <f t="shared" si="105"/>
        <v>2406.096</v>
      </c>
      <c r="P159" s="39">
        <f t="shared" si="105"/>
        <v>0</v>
      </c>
      <c r="Q159" s="39">
        <f t="shared" si="105"/>
        <v>1086.624</v>
      </c>
      <c r="R159" s="39">
        <f t="shared" si="105"/>
        <v>3182.256</v>
      </c>
      <c r="S159" s="39">
        <f t="shared" si="105"/>
        <v>1785.168</v>
      </c>
      <c r="T159" s="39">
        <f t="shared" si="105"/>
        <v>0</v>
      </c>
      <c r="U159" s="39">
        <f t="shared" si="105"/>
        <v>77.616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5"/>
      <c r="AJ159" s="2"/>
      <c r="AK159" s="2"/>
      <c r="AL159" s="2"/>
      <c r="AM159" s="2"/>
      <c r="AN159" s="2"/>
      <c r="AO159" s="2"/>
      <c r="AP159" s="5"/>
      <c r="AQ159" s="5"/>
    </row>
    <row r="160">
      <c r="A160" s="2"/>
      <c r="B160" s="5"/>
      <c r="C160" s="2"/>
      <c r="D160" s="2" t="str">
        <f t="shared" si="95"/>
        <v>Stock 11</v>
      </c>
      <c r="E160" s="2"/>
      <c r="F160" s="2"/>
      <c r="G160" s="2"/>
      <c r="H160" s="2" t="str">
        <f t="shared" si="96"/>
        <v>Steady Eddy</v>
      </c>
      <c r="I160" s="2"/>
      <c r="J160" s="39">
        <f t="shared" ref="J160:U160" si="106">if($H$160="",0,if($H$160="Sky Rockets",J31*$W$9*$AB$31,if($H$160="Steady Eddy",J31*$X$9*$AB$31,J31*$Y$9*$AB$31)))</f>
        <v>2734.2</v>
      </c>
      <c r="K160" s="39">
        <f t="shared" si="106"/>
        <v>1249.92</v>
      </c>
      <c r="L160" s="39">
        <f t="shared" si="106"/>
        <v>2734.2</v>
      </c>
      <c r="M160" s="39">
        <f t="shared" si="106"/>
        <v>0</v>
      </c>
      <c r="N160" s="39">
        <f t="shared" si="106"/>
        <v>2812.32</v>
      </c>
      <c r="O160" s="39">
        <f t="shared" si="106"/>
        <v>2734.2</v>
      </c>
      <c r="P160" s="39">
        <f t="shared" si="106"/>
        <v>1171.8</v>
      </c>
      <c r="Q160" s="39">
        <f t="shared" si="106"/>
        <v>1249.92</v>
      </c>
      <c r="R160" s="39">
        <f t="shared" si="106"/>
        <v>4296.6</v>
      </c>
      <c r="S160" s="39">
        <f t="shared" si="106"/>
        <v>1953</v>
      </c>
      <c r="T160" s="39">
        <f t="shared" si="106"/>
        <v>0</v>
      </c>
      <c r="U160" s="39">
        <f t="shared" si="106"/>
        <v>390.6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5"/>
      <c r="AJ160" s="2"/>
      <c r="AK160" s="2"/>
      <c r="AL160" s="2"/>
      <c r="AM160" s="2"/>
      <c r="AN160" s="2"/>
      <c r="AO160" s="2"/>
      <c r="AP160" s="5"/>
      <c r="AQ160" s="5"/>
    </row>
    <row r="161">
      <c r="A161" s="2"/>
      <c r="B161" s="5"/>
      <c r="C161" s="2"/>
      <c r="D161" s="2" t="str">
        <f t="shared" si="95"/>
        <v>Stock 12</v>
      </c>
      <c r="E161" s="2"/>
      <c r="F161" s="2"/>
      <c r="G161" s="2"/>
      <c r="H161" s="2" t="str">
        <f t="shared" si="96"/>
        <v>Steady Eddy</v>
      </c>
      <c r="I161" s="2"/>
      <c r="J161" s="39">
        <f t="shared" ref="J161:U161" si="107">if($H$161="",0,if($H$161="Sky Rockets",J32*$W$9*$AB$32,if($H$161="Steady Eddy",J32*$X$9*$AB$32,J32*$Y$9*$AB$32)))</f>
        <v>2987.712</v>
      </c>
      <c r="K161" s="39">
        <f t="shared" si="107"/>
        <v>1415.232</v>
      </c>
      <c r="L161" s="39">
        <f t="shared" si="107"/>
        <v>3066.336</v>
      </c>
      <c r="M161" s="39">
        <f t="shared" si="107"/>
        <v>0</v>
      </c>
      <c r="N161" s="39">
        <f t="shared" si="107"/>
        <v>2987.712</v>
      </c>
      <c r="O161" s="39">
        <f t="shared" si="107"/>
        <v>3066.336</v>
      </c>
      <c r="P161" s="39">
        <f t="shared" si="107"/>
        <v>1415.232</v>
      </c>
      <c r="Q161" s="39">
        <f t="shared" si="107"/>
        <v>1415.232</v>
      </c>
      <c r="R161" s="39">
        <f t="shared" si="107"/>
        <v>5425.056</v>
      </c>
      <c r="S161" s="39">
        <f t="shared" si="107"/>
        <v>2201.472</v>
      </c>
      <c r="T161" s="39">
        <f t="shared" si="107"/>
        <v>1415.232</v>
      </c>
      <c r="U161" s="39">
        <f t="shared" si="107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5"/>
      <c r="AJ161" s="2"/>
      <c r="AK161" s="2"/>
      <c r="AL161" s="2"/>
      <c r="AM161" s="2"/>
      <c r="AN161" s="2"/>
      <c r="AO161" s="2"/>
      <c r="AP161" s="5"/>
      <c r="AQ161" s="5"/>
    </row>
    <row r="162">
      <c r="A162" s="2"/>
      <c r="B162" s="5"/>
      <c r="C162" s="2"/>
      <c r="D162" s="2" t="str">
        <f t="shared" si="95"/>
        <v>Stock 13</v>
      </c>
      <c r="E162" s="2"/>
      <c r="F162" s="2"/>
      <c r="G162" s="2"/>
      <c r="H162" s="2" t="str">
        <f t="shared" si="96"/>
        <v>Steady Eddy</v>
      </c>
      <c r="I162" s="2"/>
      <c r="J162" s="39">
        <f t="shared" ref="J162:U162" si="108">if($H$162="",0,if($H$162="Sky Rockets",J33*$W$9*$AB$33,if($H$162="Steady Eddy",J33*$X$9*$AB$33,J33*$Y$9*$AB$33)))</f>
        <v>2848.608</v>
      </c>
      <c r="K162" s="39">
        <f t="shared" si="108"/>
        <v>1028.664</v>
      </c>
      <c r="L162" s="39">
        <f t="shared" si="108"/>
        <v>3006.864</v>
      </c>
      <c r="M162" s="39">
        <f t="shared" si="108"/>
        <v>0</v>
      </c>
      <c r="N162" s="39">
        <f t="shared" si="108"/>
        <v>2611.224</v>
      </c>
      <c r="O162" s="39">
        <f t="shared" si="108"/>
        <v>3006.864</v>
      </c>
      <c r="P162" s="39">
        <f t="shared" si="108"/>
        <v>1266.048</v>
      </c>
      <c r="Q162" s="39">
        <f t="shared" si="108"/>
        <v>1028.664</v>
      </c>
      <c r="R162" s="39">
        <f t="shared" si="108"/>
        <v>0</v>
      </c>
      <c r="S162" s="39">
        <f t="shared" si="108"/>
        <v>2057.328</v>
      </c>
      <c r="T162" s="39">
        <f t="shared" si="108"/>
        <v>1028.664</v>
      </c>
      <c r="U162" s="39">
        <f t="shared" si="108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5"/>
      <c r="AJ162" s="2"/>
      <c r="AK162" s="2"/>
      <c r="AL162" s="2"/>
      <c r="AM162" s="2"/>
      <c r="AN162" s="2"/>
      <c r="AO162" s="2"/>
      <c r="AP162" s="5"/>
      <c r="AQ162" s="5"/>
    </row>
    <row r="163">
      <c r="A163" s="2"/>
      <c r="B163" s="5"/>
      <c r="C163" s="2"/>
      <c r="D163" s="2" t="str">
        <f t="shared" si="95"/>
        <v>Stock 14</v>
      </c>
      <c r="E163" s="2"/>
      <c r="F163" s="2"/>
      <c r="G163" s="2"/>
      <c r="H163" s="2" t="str">
        <f t="shared" si="96"/>
        <v>SkyRockets</v>
      </c>
      <c r="I163" s="2"/>
      <c r="J163" s="39">
        <f t="shared" ref="J163:U163" si="109">if($H$163="",0,if($H$163="Sky Rockets",J34*$W$9*$AB$34,if($H$163="Steady Eddy",J34*$X$9*$AB$34,J34*$Y$9*$AB$34)))</f>
        <v>5574.24</v>
      </c>
      <c r="K163" s="39">
        <f t="shared" si="109"/>
        <v>2388.96</v>
      </c>
      <c r="L163" s="39">
        <f t="shared" si="109"/>
        <v>5574.24</v>
      </c>
      <c r="M163" s="39">
        <f t="shared" si="109"/>
        <v>3981.6</v>
      </c>
      <c r="N163" s="39">
        <f t="shared" si="109"/>
        <v>0</v>
      </c>
      <c r="O163" s="39">
        <f t="shared" si="109"/>
        <v>0</v>
      </c>
      <c r="P163" s="39">
        <f t="shared" si="109"/>
        <v>2388.96</v>
      </c>
      <c r="Q163" s="39">
        <f t="shared" si="109"/>
        <v>0</v>
      </c>
      <c r="R163" s="39">
        <f t="shared" si="109"/>
        <v>0</v>
      </c>
      <c r="S163" s="39">
        <f t="shared" si="109"/>
        <v>0</v>
      </c>
      <c r="T163" s="39">
        <f t="shared" si="109"/>
        <v>2388.96</v>
      </c>
      <c r="U163" s="39">
        <f t="shared" si="109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5"/>
      <c r="AJ163" s="2"/>
      <c r="AK163" s="2"/>
      <c r="AL163" s="2"/>
      <c r="AM163" s="2"/>
      <c r="AN163" s="2"/>
      <c r="AO163" s="2"/>
      <c r="AP163" s="5"/>
      <c r="AQ163" s="5"/>
    </row>
    <row r="164">
      <c r="A164" s="2"/>
      <c r="B164" s="5"/>
      <c r="C164" s="2"/>
      <c r="D164" s="2" t="str">
        <f t="shared" si="95"/>
        <v>Stock 15</v>
      </c>
      <c r="E164" s="2"/>
      <c r="F164" s="2"/>
      <c r="G164" s="2"/>
      <c r="H164" s="2" t="str">
        <f t="shared" si="96"/>
        <v>SkyRockets</v>
      </c>
      <c r="I164" s="2"/>
      <c r="J164" s="39">
        <f t="shared" ref="J164:U164" si="110">if($H$164="",0,if($H$164="Sky Rockets",J35*$W$9*$AB$35,if($H$164="Steady Eddy",J35*$X$9*$AB$35,J35*$Y$9*$AB$35)))</f>
        <v>5449.248</v>
      </c>
      <c r="K164" s="39">
        <f t="shared" si="110"/>
        <v>2724.624</v>
      </c>
      <c r="L164" s="39">
        <f t="shared" si="110"/>
        <v>5128.704</v>
      </c>
      <c r="M164" s="39">
        <f t="shared" si="110"/>
        <v>3846.528</v>
      </c>
      <c r="N164" s="39">
        <f t="shared" si="110"/>
        <v>0</v>
      </c>
      <c r="O164" s="39">
        <f t="shared" si="110"/>
        <v>0</v>
      </c>
      <c r="P164" s="39">
        <f t="shared" si="110"/>
        <v>2243.808</v>
      </c>
      <c r="Q164" s="39">
        <f t="shared" si="110"/>
        <v>0</v>
      </c>
      <c r="R164" s="39">
        <f t="shared" si="110"/>
        <v>6731.424</v>
      </c>
      <c r="S164" s="39">
        <f t="shared" si="110"/>
        <v>0</v>
      </c>
      <c r="T164" s="39">
        <f t="shared" si="110"/>
        <v>2724.624</v>
      </c>
      <c r="U164" s="39">
        <f t="shared" si="110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5"/>
      <c r="AJ164" s="2"/>
      <c r="AK164" s="2"/>
      <c r="AL164" s="2"/>
      <c r="AM164" s="2"/>
      <c r="AN164" s="2"/>
      <c r="AO164" s="2"/>
      <c r="AP164" s="5"/>
      <c r="AQ164" s="5"/>
    </row>
    <row r="165">
      <c r="A165" s="2"/>
      <c r="B165" s="5"/>
      <c r="C165" s="2"/>
      <c r="D165" s="2" t="str">
        <f t="shared" si="95"/>
        <v>Stock 16</v>
      </c>
      <c r="E165" s="2"/>
      <c r="F165" s="2"/>
      <c r="G165" s="2"/>
      <c r="H165" s="2" t="str">
        <f t="shared" si="96"/>
        <v>SkyRockets</v>
      </c>
      <c r="I165" s="2"/>
      <c r="J165" s="39">
        <f t="shared" ref="J165:U165" si="111">if($H$165="",0,if($H$165="Sky Rockets",J36*$W$9*$AB$36,if($H$165="Steady Eddy",J36*$X$9*$AB$36,J36*$Y$9*$AB$36)))</f>
        <v>5967.36</v>
      </c>
      <c r="K165" s="39">
        <f t="shared" si="111"/>
        <v>3064.32</v>
      </c>
      <c r="L165" s="39">
        <f t="shared" si="111"/>
        <v>5806.08</v>
      </c>
      <c r="M165" s="39">
        <f t="shared" si="111"/>
        <v>4354.56</v>
      </c>
      <c r="N165" s="39">
        <f t="shared" si="111"/>
        <v>7902.72</v>
      </c>
      <c r="O165" s="39">
        <f t="shared" si="111"/>
        <v>7418.88</v>
      </c>
      <c r="P165" s="39">
        <f t="shared" si="111"/>
        <v>2741.76</v>
      </c>
      <c r="Q165" s="39">
        <f t="shared" si="111"/>
        <v>0</v>
      </c>
      <c r="R165" s="39">
        <f t="shared" si="111"/>
        <v>5806.08</v>
      </c>
      <c r="S165" s="39">
        <f t="shared" si="111"/>
        <v>0</v>
      </c>
      <c r="T165" s="39">
        <f t="shared" si="111"/>
        <v>3064.32</v>
      </c>
      <c r="U165" s="39">
        <f t="shared" si="111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5"/>
      <c r="AJ165" s="2"/>
      <c r="AK165" s="2"/>
      <c r="AL165" s="2"/>
      <c r="AM165" s="2"/>
      <c r="AN165" s="2"/>
      <c r="AO165" s="2"/>
      <c r="AP165" s="5"/>
      <c r="AQ165" s="5"/>
    </row>
    <row r="166">
      <c r="A166" s="2"/>
      <c r="B166" s="5"/>
      <c r="C166" s="2"/>
      <c r="D166" s="2" t="str">
        <f t="shared" si="95"/>
        <v>Stock 17</v>
      </c>
      <c r="E166" s="2"/>
      <c r="F166" s="2"/>
      <c r="G166" s="2"/>
      <c r="H166" s="2" t="str">
        <f t="shared" si="96"/>
        <v>Slow Burn</v>
      </c>
      <c r="I166" s="2"/>
      <c r="J166" s="39">
        <f t="shared" ref="J166:U166" si="112">if($H$166="",0,if($H$166="Sky Rockets",J37*$W$9*$AB$37,if($H$166="Steady Eddy",J37*$X$9*$AB$37,J37*$Y$9*$AB$37)))</f>
        <v>5842.368</v>
      </c>
      <c r="K166" s="39">
        <f t="shared" si="112"/>
        <v>1785.168</v>
      </c>
      <c r="L166" s="39">
        <f t="shared" si="112"/>
        <v>5680.08</v>
      </c>
      <c r="M166" s="39">
        <f t="shared" si="112"/>
        <v>4219.488</v>
      </c>
      <c r="N166" s="39">
        <f t="shared" si="112"/>
        <v>6653.808</v>
      </c>
      <c r="O166" s="39">
        <f t="shared" si="112"/>
        <v>7302.96</v>
      </c>
      <c r="P166" s="39">
        <f t="shared" si="112"/>
        <v>2596.608</v>
      </c>
      <c r="Q166" s="39">
        <f t="shared" si="112"/>
        <v>0</v>
      </c>
      <c r="R166" s="39">
        <f t="shared" si="112"/>
        <v>4057.2</v>
      </c>
      <c r="S166" s="39">
        <f t="shared" si="112"/>
        <v>973.728</v>
      </c>
      <c r="T166" s="39">
        <f t="shared" si="112"/>
        <v>1785.168</v>
      </c>
      <c r="U166" s="39">
        <f t="shared" si="112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5"/>
      <c r="AJ166" s="2"/>
      <c r="AK166" s="2"/>
      <c r="AL166" s="2"/>
      <c r="AM166" s="2"/>
      <c r="AN166" s="2"/>
      <c r="AO166" s="2"/>
      <c r="AP166" s="5"/>
      <c r="AQ166" s="5"/>
    </row>
    <row r="167">
      <c r="A167" s="2"/>
      <c r="B167" s="5"/>
      <c r="C167" s="2"/>
      <c r="D167" s="2" t="str">
        <f t="shared" si="95"/>
        <v>Stock 18</v>
      </c>
      <c r="E167" s="2"/>
      <c r="F167" s="2"/>
      <c r="G167" s="2"/>
      <c r="H167" s="2" t="str">
        <f t="shared" si="96"/>
        <v>Slow Burn</v>
      </c>
      <c r="I167" s="2"/>
      <c r="J167" s="39">
        <f t="shared" ref="J167:U167" si="113">if($H$167="",0,if($H$167="Sky Rockets",J38*$W$9*$AB$38,if($H$167="Steady Eddy",J38*$X$9*$AB$38,J38*$Y$9*$AB$38)))</f>
        <v>5225.472</v>
      </c>
      <c r="K167" s="39">
        <f t="shared" si="113"/>
        <v>1959.552</v>
      </c>
      <c r="L167" s="39">
        <f t="shared" si="113"/>
        <v>5552.064</v>
      </c>
      <c r="M167" s="39">
        <f t="shared" si="113"/>
        <v>3592.512</v>
      </c>
      <c r="N167" s="39">
        <f t="shared" si="113"/>
        <v>6858.432</v>
      </c>
      <c r="O167" s="39">
        <f t="shared" si="113"/>
        <v>7185.024</v>
      </c>
      <c r="P167" s="39">
        <f t="shared" si="113"/>
        <v>1959.552</v>
      </c>
      <c r="Q167" s="39">
        <f t="shared" si="113"/>
        <v>1959.552</v>
      </c>
      <c r="R167" s="39">
        <f t="shared" si="113"/>
        <v>3919.104</v>
      </c>
      <c r="S167" s="39">
        <f t="shared" si="113"/>
        <v>326.592</v>
      </c>
      <c r="T167" s="39">
        <f t="shared" si="113"/>
        <v>1959.552</v>
      </c>
      <c r="U167" s="39">
        <f t="shared" si="113"/>
        <v>653.184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5"/>
      <c r="AJ167" s="2"/>
      <c r="AK167" s="2"/>
      <c r="AL167" s="2"/>
      <c r="AM167" s="2"/>
      <c r="AN167" s="2"/>
      <c r="AO167" s="2"/>
      <c r="AP167" s="5"/>
      <c r="AQ167" s="5"/>
    </row>
    <row r="168">
      <c r="A168" s="2"/>
      <c r="B168" s="5"/>
      <c r="C168" s="2"/>
      <c r="D168" s="2" t="str">
        <f t="shared" si="95"/>
        <v>Stock 19</v>
      </c>
      <c r="E168" s="2"/>
      <c r="F168" s="2"/>
      <c r="G168" s="2"/>
      <c r="H168" s="2" t="str">
        <f t="shared" si="96"/>
        <v>SkyRockets</v>
      </c>
      <c r="I168" s="2"/>
      <c r="J168" s="39">
        <f t="shared" ref="J168:U168" si="114">if($H$168="",0,if($H$168="Sky Rockets",J39*$W$9*$AB$39,if($H$168="Steady Eddy",J39*$X$9*$AB$39,J39*$Y$9*$AB$39)))</f>
        <v>5093.424</v>
      </c>
      <c r="K168" s="39">
        <f t="shared" si="114"/>
        <v>2300.256</v>
      </c>
      <c r="L168" s="39">
        <f t="shared" si="114"/>
        <v>6079.248</v>
      </c>
      <c r="M168" s="39">
        <f t="shared" si="114"/>
        <v>3450.384</v>
      </c>
      <c r="N168" s="39">
        <f t="shared" si="114"/>
        <v>7229.376</v>
      </c>
      <c r="O168" s="39">
        <f t="shared" si="114"/>
        <v>7722.288</v>
      </c>
      <c r="P168" s="39">
        <f t="shared" si="114"/>
        <v>1807.344</v>
      </c>
      <c r="Q168" s="39">
        <f t="shared" si="114"/>
        <v>2300.256</v>
      </c>
      <c r="R168" s="39">
        <f t="shared" si="114"/>
        <v>2793.168</v>
      </c>
      <c r="S168" s="39">
        <f t="shared" si="114"/>
        <v>164.304</v>
      </c>
      <c r="T168" s="39">
        <f t="shared" si="114"/>
        <v>2300.256</v>
      </c>
      <c r="U168" s="39">
        <f t="shared" si="114"/>
        <v>1150.128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5"/>
      <c r="AJ168" s="2"/>
      <c r="AK168" s="2"/>
      <c r="AL168" s="2"/>
      <c r="AM168" s="2"/>
      <c r="AN168" s="2"/>
      <c r="AO168" s="2"/>
      <c r="AP168" s="5"/>
      <c r="AQ168" s="5"/>
    </row>
    <row r="169">
      <c r="A169" s="2"/>
      <c r="B169" s="5"/>
      <c r="C169" s="2"/>
      <c r="D169" s="2" t="str">
        <f t="shared" si="95"/>
        <v>Stock 20</v>
      </c>
      <c r="E169" s="2"/>
      <c r="F169" s="2"/>
      <c r="G169" s="2"/>
      <c r="H169" s="2" t="str">
        <f t="shared" si="96"/>
        <v>Steady Eddy</v>
      </c>
      <c r="I169" s="2"/>
      <c r="J169" s="39">
        <f t="shared" ref="J169:U169" si="115">if($H$169="",0,if($H$169="Sky Rockets",J40*$W$9*$AB$40,if($H$169="Steady Eddy",J40*$X$9*$AB$40,J40*$Y$9*$AB$40)))</f>
        <v>2810.304</v>
      </c>
      <c r="K169" s="39">
        <f t="shared" si="115"/>
        <v>1487.808</v>
      </c>
      <c r="L169" s="39">
        <f t="shared" si="115"/>
        <v>3140.928</v>
      </c>
      <c r="M169" s="39">
        <f t="shared" si="115"/>
        <v>1983.744</v>
      </c>
      <c r="N169" s="39">
        <f t="shared" si="115"/>
        <v>3967.488</v>
      </c>
      <c r="O169" s="39">
        <f t="shared" si="115"/>
        <v>3967.488</v>
      </c>
      <c r="P169" s="39">
        <f t="shared" si="115"/>
        <v>1157.184</v>
      </c>
      <c r="Q169" s="39">
        <f t="shared" si="115"/>
        <v>1487.808</v>
      </c>
      <c r="R169" s="39">
        <f t="shared" si="115"/>
        <v>3140.928</v>
      </c>
      <c r="S169" s="39">
        <f t="shared" si="115"/>
        <v>330.624</v>
      </c>
      <c r="T169" s="39">
        <f t="shared" si="115"/>
        <v>1487.808</v>
      </c>
      <c r="U169" s="39">
        <f t="shared" si="115"/>
        <v>661.248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5"/>
      <c r="AJ169" s="2"/>
      <c r="AK169" s="2"/>
      <c r="AL169" s="2"/>
      <c r="AM169" s="2"/>
      <c r="AN169" s="2"/>
      <c r="AO169" s="2"/>
      <c r="AP169" s="5"/>
      <c r="AQ169" s="5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5"/>
      <c r="AJ170" s="2"/>
      <c r="AK170" s="2"/>
      <c r="AL170" s="2"/>
      <c r="AM170" s="2"/>
      <c r="AN170" s="2"/>
      <c r="AO170" s="2"/>
      <c r="AP170" s="5"/>
      <c r="AQ170" s="5"/>
    </row>
    <row r="171">
      <c r="A171" s="2"/>
      <c r="B171" s="5"/>
      <c r="C171" s="2"/>
      <c r="D171" s="3"/>
      <c r="E171" s="2"/>
      <c r="F171" s="2"/>
      <c r="G171" s="2"/>
      <c r="H171" s="2"/>
      <c r="I171" s="2"/>
      <c r="J171" s="78">
        <f t="shared" ref="J171:U171" si="116">sum(J150:J169)</f>
        <v>86677.416</v>
      </c>
      <c r="K171" s="78">
        <f t="shared" si="116"/>
        <v>31053.96</v>
      </c>
      <c r="L171" s="78">
        <f t="shared" si="116"/>
        <v>72373.392</v>
      </c>
      <c r="M171" s="78">
        <f t="shared" si="116"/>
        <v>49739.76</v>
      </c>
      <c r="N171" s="78">
        <f t="shared" si="116"/>
        <v>59948.28</v>
      </c>
      <c r="O171" s="78">
        <f t="shared" si="116"/>
        <v>79335.144</v>
      </c>
      <c r="P171" s="78">
        <f t="shared" si="116"/>
        <v>23973.768</v>
      </c>
      <c r="Q171" s="78">
        <f t="shared" si="116"/>
        <v>21712.824</v>
      </c>
      <c r="R171" s="78">
        <f t="shared" si="116"/>
        <v>61275.816</v>
      </c>
      <c r="S171" s="78">
        <f t="shared" si="116"/>
        <v>18823.896</v>
      </c>
      <c r="T171" s="78">
        <f t="shared" si="116"/>
        <v>30121.56</v>
      </c>
      <c r="U171" s="78">
        <f t="shared" si="116"/>
        <v>10707.984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5"/>
      <c r="AJ171" s="2"/>
      <c r="AK171" s="2"/>
      <c r="AL171" s="2"/>
      <c r="AM171" s="2"/>
      <c r="AN171" s="2"/>
      <c r="AO171" s="2"/>
      <c r="AP171" s="5"/>
      <c r="AQ171" s="5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5"/>
      <c r="AJ172" s="2"/>
      <c r="AK172" s="2"/>
      <c r="AL172" s="2"/>
      <c r="AM172" s="2"/>
      <c r="AN172" s="2"/>
      <c r="AO172" s="2"/>
      <c r="AP172" s="5"/>
      <c r="AQ172" s="5"/>
    </row>
    <row r="173">
      <c r="A173" s="2"/>
      <c r="B173" s="5"/>
      <c r="C173" s="2"/>
      <c r="D173" s="2"/>
      <c r="E173" s="2"/>
      <c r="F173" s="3" t="s">
        <v>96</v>
      </c>
      <c r="G173" s="2"/>
      <c r="H173" s="2"/>
      <c r="I173" s="2"/>
      <c r="J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5"/>
      <c r="AJ173" s="2"/>
      <c r="AK173" s="2"/>
      <c r="AL173" s="2"/>
      <c r="AM173" s="2"/>
      <c r="AN173" s="2"/>
      <c r="AO173" s="2"/>
      <c r="AP173" s="5"/>
      <c r="AQ173" s="5"/>
    </row>
    <row r="174">
      <c r="A174" s="2"/>
      <c r="B174" s="5"/>
      <c r="C174" s="2"/>
      <c r="D174" s="2" t="str">
        <f t="shared" ref="D174:D193" si="118">D150</f>
        <v>Stock 1</v>
      </c>
      <c r="E174" s="2"/>
      <c r="F174" s="2"/>
      <c r="G174" s="2"/>
      <c r="H174" s="2" t="str">
        <f t="shared" ref="H174:H193" si="119">H150</f>
        <v>SkyRockets</v>
      </c>
      <c r="I174" s="2"/>
      <c r="J174" s="39">
        <f t="shared" ref="J174:U174" si="117">if($H$174="",0,if($H$174="Sky Rockets",J21*$W$10*$AC$21,if($H$174="Steady Eddy",J21*$X$10*$AC$21,J21*$Y$10*$AC$21)))</f>
        <v>2188.92</v>
      </c>
      <c r="K174" s="39">
        <f t="shared" si="117"/>
        <v>772.56</v>
      </c>
      <c r="L174" s="39">
        <f t="shared" si="117"/>
        <v>2253.3</v>
      </c>
      <c r="M174" s="39">
        <f t="shared" si="117"/>
        <v>1545.12</v>
      </c>
      <c r="N174" s="39">
        <f t="shared" si="117"/>
        <v>772.56</v>
      </c>
      <c r="O174" s="39">
        <f t="shared" si="117"/>
        <v>2961.48</v>
      </c>
      <c r="P174" s="39">
        <f t="shared" si="117"/>
        <v>901.32</v>
      </c>
      <c r="Q174" s="39">
        <f t="shared" si="117"/>
        <v>772.56</v>
      </c>
      <c r="R174" s="39">
        <f t="shared" si="117"/>
        <v>2317.68</v>
      </c>
      <c r="S174" s="39">
        <f t="shared" si="117"/>
        <v>257.52</v>
      </c>
      <c r="T174" s="39">
        <f t="shared" si="117"/>
        <v>128.76</v>
      </c>
      <c r="U174" s="39">
        <f t="shared" si="117"/>
        <v>1030.08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5"/>
      <c r="AJ174" s="2"/>
      <c r="AK174" s="2"/>
      <c r="AL174" s="2"/>
      <c r="AM174" s="2"/>
      <c r="AN174" s="2"/>
      <c r="AO174" s="2"/>
      <c r="AP174" s="5"/>
      <c r="AQ174" s="5"/>
    </row>
    <row r="175">
      <c r="A175" s="2"/>
      <c r="B175" s="5"/>
      <c r="C175" s="2"/>
      <c r="D175" s="2" t="str">
        <f t="shared" si="118"/>
        <v>Stock 2</v>
      </c>
      <c r="E175" s="2"/>
      <c r="F175" s="2"/>
      <c r="G175" s="2"/>
      <c r="H175" s="2" t="str">
        <f t="shared" si="119"/>
        <v>Steady Eddy</v>
      </c>
      <c r="I175" s="2"/>
      <c r="J175" s="39">
        <f t="shared" ref="J175:U175" si="120">if($H$175="",0,if($H$175="Sky Rockets",J22*$W$10*$AC$22,if($H$175="Steady Eddy",J22*$X$10*$AC$22,J22*$Y$10*$AC$22)))</f>
        <v>3208.788</v>
      </c>
      <c r="K175" s="39">
        <f t="shared" si="120"/>
        <v>1361.304</v>
      </c>
      <c r="L175" s="39">
        <f t="shared" si="120"/>
        <v>3403.26</v>
      </c>
      <c r="M175" s="39">
        <f t="shared" si="120"/>
        <v>2236.428</v>
      </c>
      <c r="N175" s="39">
        <f t="shared" si="120"/>
        <v>1361.304</v>
      </c>
      <c r="O175" s="39">
        <f t="shared" si="120"/>
        <v>4375.62</v>
      </c>
      <c r="P175" s="39">
        <f t="shared" si="120"/>
        <v>1264.068</v>
      </c>
      <c r="Q175" s="39">
        <f t="shared" si="120"/>
        <v>0</v>
      </c>
      <c r="R175" s="39">
        <f t="shared" si="120"/>
        <v>2430.9</v>
      </c>
      <c r="S175" s="39">
        <f t="shared" si="120"/>
        <v>291.708</v>
      </c>
      <c r="T175" s="39">
        <f t="shared" si="120"/>
        <v>0</v>
      </c>
      <c r="U175" s="39">
        <f t="shared" si="120"/>
        <v>1458.54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5"/>
      <c r="AJ175" s="2"/>
      <c r="AK175" s="2"/>
      <c r="AL175" s="2"/>
      <c r="AM175" s="2"/>
      <c r="AN175" s="2"/>
      <c r="AO175" s="2"/>
      <c r="AP175" s="5"/>
      <c r="AQ175" s="5"/>
    </row>
    <row r="176">
      <c r="A176" s="2"/>
      <c r="B176" s="5"/>
      <c r="C176" s="2"/>
      <c r="D176" s="2" t="str">
        <f t="shared" si="118"/>
        <v>Stock 3</v>
      </c>
      <c r="E176" s="2"/>
      <c r="F176" s="2"/>
      <c r="G176" s="2"/>
      <c r="H176" s="2" t="str">
        <f t="shared" si="119"/>
        <v>Slow Burn</v>
      </c>
      <c r="I176" s="2"/>
      <c r="J176" s="39">
        <f t="shared" ref="J176:U176" si="121">if($H$176="",0,if($H$176="Sky Rockets",J23*$W$10*$AC$23,if($H$176="Steady Eddy",J23*$X$10*$AC$23,J23*$Y$10*$AC$23)))</f>
        <v>2284.38</v>
      </c>
      <c r="K176" s="39">
        <f t="shared" si="121"/>
        <v>0</v>
      </c>
      <c r="L176" s="39">
        <f t="shared" si="121"/>
        <v>2219.112</v>
      </c>
      <c r="M176" s="39">
        <f t="shared" si="121"/>
        <v>0</v>
      </c>
      <c r="N176" s="39">
        <f t="shared" si="121"/>
        <v>1044.288</v>
      </c>
      <c r="O176" s="39">
        <f t="shared" si="121"/>
        <v>2871.792</v>
      </c>
      <c r="P176" s="39">
        <f t="shared" si="121"/>
        <v>979.02</v>
      </c>
      <c r="Q176" s="39">
        <f t="shared" si="121"/>
        <v>0</v>
      </c>
      <c r="R176" s="39">
        <f t="shared" si="121"/>
        <v>0</v>
      </c>
      <c r="S176" s="39">
        <f t="shared" si="121"/>
        <v>326.34</v>
      </c>
      <c r="T176" s="39">
        <f t="shared" si="121"/>
        <v>0</v>
      </c>
      <c r="U176" s="39">
        <f t="shared" si="121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5"/>
      <c r="AJ176" s="2"/>
      <c r="AK176" s="2"/>
      <c r="AL176" s="2"/>
      <c r="AM176" s="2"/>
      <c r="AN176" s="2"/>
      <c r="AO176" s="2"/>
      <c r="AP176" s="5"/>
      <c r="AQ176" s="5"/>
    </row>
    <row r="177">
      <c r="A177" s="2"/>
      <c r="B177" s="5"/>
      <c r="C177" s="2"/>
      <c r="D177" s="2" t="str">
        <f t="shared" si="118"/>
        <v>Stock 4</v>
      </c>
      <c r="E177" s="2"/>
      <c r="F177" s="2"/>
      <c r="G177" s="2"/>
      <c r="H177" s="2" t="str">
        <f t="shared" si="119"/>
        <v>Steady Eddy</v>
      </c>
      <c r="I177" s="2"/>
      <c r="J177" s="39">
        <f t="shared" ref="J177:U177" si="122">if($H$177="",0,if($H$177="Sky Rockets",J24*$W$10*$AC$24,if($H$177="Steady Eddy",J24*$X$10*$AC$24,J24*$Y$10*$AC$24)))</f>
        <v>3745.584</v>
      </c>
      <c r="K177" s="39">
        <f t="shared" si="122"/>
        <v>0</v>
      </c>
      <c r="L177" s="39">
        <f t="shared" si="122"/>
        <v>3844.152</v>
      </c>
      <c r="M177" s="39">
        <f t="shared" si="122"/>
        <v>0</v>
      </c>
      <c r="N177" s="39">
        <f t="shared" si="122"/>
        <v>1774.224</v>
      </c>
      <c r="O177" s="39">
        <f t="shared" si="122"/>
        <v>4829.832</v>
      </c>
      <c r="P177" s="39">
        <f t="shared" si="122"/>
        <v>0</v>
      </c>
      <c r="Q177" s="39">
        <f t="shared" si="122"/>
        <v>0</v>
      </c>
      <c r="R177" s="39">
        <f t="shared" si="122"/>
        <v>0</v>
      </c>
      <c r="S177" s="39">
        <f t="shared" si="122"/>
        <v>788.544</v>
      </c>
      <c r="T177" s="39">
        <f t="shared" si="122"/>
        <v>1774.224</v>
      </c>
      <c r="U177" s="39">
        <f t="shared" si="122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5"/>
      <c r="AJ177" s="2"/>
      <c r="AK177" s="2"/>
      <c r="AL177" s="2"/>
      <c r="AM177" s="2"/>
      <c r="AN177" s="2"/>
      <c r="AO177" s="2"/>
      <c r="AP177" s="5"/>
      <c r="AQ177" s="5"/>
    </row>
    <row r="178">
      <c r="A178" s="2"/>
      <c r="B178" s="5"/>
      <c r="C178" s="2"/>
      <c r="D178" s="2" t="str">
        <f t="shared" si="118"/>
        <v>Stock 5</v>
      </c>
      <c r="E178" s="2"/>
      <c r="F178" s="2"/>
      <c r="G178" s="2"/>
      <c r="H178" s="2" t="str">
        <f t="shared" si="119"/>
        <v>SkyRockets</v>
      </c>
      <c r="I178" s="2"/>
      <c r="J178" s="39">
        <f t="shared" ref="J178:U178" si="123">if($H$178="",0,if($H$178="Sky Rockets",J25*$W$10*$AC$25,if($H$178="Steady Eddy",J25*$X$10*$AC$25,J25*$Y$10*$AC$25)))</f>
        <v>2381.616</v>
      </c>
      <c r="K178" s="39">
        <f t="shared" si="123"/>
        <v>0</v>
      </c>
      <c r="L178" s="39">
        <f t="shared" si="123"/>
        <v>2513.928</v>
      </c>
      <c r="M178" s="39">
        <f t="shared" si="123"/>
        <v>1720.056</v>
      </c>
      <c r="N178" s="39">
        <f t="shared" si="123"/>
        <v>727.716</v>
      </c>
      <c r="O178" s="39">
        <f t="shared" si="123"/>
        <v>3175.488</v>
      </c>
      <c r="P178" s="39">
        <f t="shared" si="123"/>
        <v>0</v>
      </c>
      <c r="Q178" s="39">
        <f t="shared" si="123"/>
        <v>727.716</v>
      </c>
      <c r="R178" s="39">
        <f t="shared" si="123"/>
        <v>1852.368</v>
      </c>
      <c r="S178" s="39">
        <f t="shared" si="123"/>
        <v>396.936</v>
      </c>
      <c r="T178" s="39">
        <f t="shared" si="123"/>
        <v>1124.652</v>
      </c>
      <c r="U178" s="39">
        <f t="shared" si="123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5"/>
      <c r="AJ178" s="2"/>
      <c r="AK178" s="2"/>
      <c r="AL178" s="2"/>
      <c r="AM178" s="2"/>
      <c r="AN178" s="2"/>
      <c r="AO178" s="2"/>
      <c r="AP178" s="5"/>
      <c r="AQ178" s="5"/>
    </row>
    <row r="179">
      <c r="A179" s="2"/>
      <c r="B179" s="5"/>
      <c r="C179" s="2"/>
      <c r="D179" s="2" t="str">
        <f t="shared" si="118"/>
        <v>Stock 6</v>
      </c>
      <c r="E179" s="2"/>
      <c r="F179" s="2"/>
      <c r="G179" s="2"/>
      <c r="H179" s="2" t="str">
        <f t="shared" si="119"/>
        <v>Slow Burn</v>
      </c>
      <c r="I179" s="2"/>
      <c r="J179" s="39">
        <f t="shared" ref="J179:U179" si="124">if($H$179="",0,if($H$179="Sky Rockets",J26*$W$10*$AC$26,if($H$179="Steady Eddy",J26*$X$10*$AC$26,J26*$Y$10*$AC$26)))</f>
        <v>2331</v>
      </c>
      <c r="K179" s="39">
        <f t="shared" si="124"/>
        <v>865.8</v>
      </c>
      <c r="L179" s="39">
        <f t="shared" si="124"/>
        <v>0</v>
      </c>
      <c r="M179" s="39">
        <f t="shared" si="124"/>
        <v>1665</v>
      </c>
      <c r="N179" s="39">
        <f t="shared" si="124"/>
        <v>0</v>
      </c>
      <c r="O179" s="39">
        <f t="shared" si="124"/>
        <v>3130.2</v>
      </c>
      <c r="P179" s="39">
        <f t="shared" si="124"/>
        <v>0</v>
      </c>
      <c r="Q179" s="39">
        <f t="shared" si="124"/>
        <v>865.8</v>
      </c>
      <c r="R179" s="39">
        <f t="shared" si="124"/>
        <v>2464.2</v>
      </c>
      <c r="S179" s="39">
        <f t="shared" si="124"/>
        <v>0</v>
      </c>
      <c r="T179" s="39">
        <f t="shared" si="124"/>
        <v>865.8</v>
      </c>
      <c r="U179" s="39">
        <f t="shared" si="124"/>
        <v>1132.2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5"/>
      <c r="AJ179" s="2"/>
      <c r="AK179" s="2"/>
      <c r="AL179" s="2"/>
      <c r="AM179" s="2"/>
      <c r="AN179" s="2"/>
      <c r="AO179" s="2"/>
      <c r="AP179" s="5"/>
      <c r="AQ179" s="5"/>
    </row>
    <row r="180">
      <c r="A180" s="2"/>
      <c r="B180" s="5"/>
      <c r="C180" s="2"/>
      <c r="D180" s="2" t="str">
        <f t="shared" si="118"/>
        <v>Stock 7</v>
      </c>
      <c r="E180" s="2"/>
      <c r="F180" s="2"/>
      <c r="G180" s="2"/>
      <c r="H180" s="2" t="str">
        <f t="shared" si="119"/>
        <v>SkyRockets</v>
      </c>
      <c r="I180" s="2"/>
      <c r="J180" s="39">
        <f t="shared" ref="J180:U180" si="125">if($H$180="",0,if($H$180="Sky Rockets",J27*$W$10*$AC$27,if($H$180="Steady Eddy",J27*$X$10*$AC$27,J27*$Y$10*$AC$27)))</f>
        <v>2279.496</v>
      </c>
      <c r="K180" s="39">
        <f t="shared" si="125"/>
        <v>1005.66</v>
      </c>
      <c r="L180" s="39">
        <f t="shared" si="125"/>
        <v>0</v>
      </c>
      <c r="M180" s="39">
        <f t="shared" si="125"/>
        <v>1609.056</v>
      </c>
      <c r="N180" s="39">
        <f t="shared" si="125"/>
        <v>0</v>
      </c>
      <c r="O180" s="39">
        <f t="shared" si="125"/>
        <v>0</v>
      </c>
      <c r="P180" s="39">
        <f t="shared" si="125"/>
        <v>0</v>
      </c>
      <c r="Q180" s="39">
        <f t="shared" si="125"/>
        <v>1005.66</v>
      </c>
      <c r="R180" s="39">
        <f t="shared" si="125"/>
        <v>2212.452</v>
      </c>
      <c r="S180" s="39">
        <f t="shared" si="125"/>
        <v>0</v>
      </c>
      <c r="T180" s="39">
        <f t="shared" si="125"/>
        <v>1005.66</v>
      </c>
      <c r="U180" s="39">
        <f t="shared" si="125"/>
        <v>201.132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5"/>
      <c r="AJ180" s="2"/>
      <c r="AK180" s="2"/>
      <c r="AL180" s="2"/>
      <c r="AM180" s="2"/>
      <c r="AN180" s="2"/>
      <c r="AO180" s="2"/>
      <c r="AP180" s="5"/>
      <c r="AQ180" s="5"/>
    </row>
    <row r="181">
      <c r="A181" s="2"/>
      <c r="B181" s="5"/>
      <c r="C181" s="2"/>
      <c r="D181" s="2" t="str">
        <f t="shared" si="118"/>
        <v>Stock 8</v>
      </c>
      <c r="E181" s="2"/>
      <c r="F181" s="2"/>
      <c r="G181" s="2"/>
      <c r="H181" s="2" t="str">
        <f t="shared" si="119"/>
        <v>SkyRockets</v>
      </c>
      <c r="I181" s="2"/>
      <c r="J181" s="39">
        <f t="shared" ref="J181:U181" si="126">if($H$181="",0,if($H$181="Sky Rockets",J28*$W$10*$AC$28,if($H$181="Steady Eddy",J28*$X$10*$AC$28,J28*$Y$10*$AC$28)))</f>
        <v>2497.056</v>
      </c>
      <c r="K181" s="39">
        <f t="shared" si="126"/>
        <v>1147.296</v>
      </c>
      <c r="L181" s="39">
        <f t="shared" si="126"/>
        <v>0</v>
      </c>
      <c r="M181" s="39">
        <f t="shared" si="126"/>
        <v>1822.176</v>
      </c>
      <c r="N181" s="39">
        <f t="shared" si="126"/>
        <v>2497.056</v>
      </c>
      <c r="O181" s="39">
        <f t="shared" si="126"/>
        <v>0</v>
      </c>
      <c r="P181" s="39">
        <f t="shared" si="126"/>
        <v>0</v>
      </c>
      <c r="Q181" s="39">
        <f t="shared" si="126"/>
        <v>1147.296</v>
      </c>
      <c r="R181" s="39">
        <f t="shared" si="126"/>
        <v>0</v>
      </c>
      <c r="S181" s="39">
        <f t="shared" si="126"/>
        <v>1822.176</v>
      </c>
      <c r="T181" s="39">
        <f t="shared" si="126"/>
        <v>1147.296</v>
      </c>
      <c r="U181" s="39">
        <f t="shared" si="126"/>
        <v>337.44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5"/>
      <c r="AJ181" s="2"/>
      <c r="AK181" s="2"/>
      <c r="AL181" s="2"/>
      <c r="AM181" s="2"/>
      <c r="AN181" s="2"/>
      <c r="AO181" s="2"/>
      <c r="AP181" s="5"/>
      <c r="AQ181" s="5"/>
    </row>
    <row r="182">
      <c r="A182" s="2"/>
      <c r="B182" s="5"/>
      <c r="C182" s="2"/>
      <c r="D182" s="2" t="str">
        <f t="shared" si="118"/>
        <v>Stock 9</v>
      </c>
      <c r="E182" s="2"/>
      <c r="F182" s="2"/>
      <c r="G182" s="2"/>
      <c r="H182" s="2" t="str">
        <f t="shared" si="119"/>
        <v>Steady Eddy</v>
      </c>
      <c r="I182" s="2"/>
      <c r="J182" s="39">
        <f t="shared" ref="J182:U182" si="127">if($H$182="",0,if($H$182="Sky Rockets",J29*$W$10*$AC$29,if($H$182="Steady Eddy",J29*$X$10*$AC$29,J29*$Y$10*$AC$29)))</f>
        <v>3464.532</v>
      </c>
      <c r="K182" s="39">
        <f t="shared" si="127"/>
        <v>1222.776</v>
      </c>
      <c r="L182" s="39">
        <f t="shared" si="127"/>
        <v>3770.226</v>
      </c>
      <c r="M182" s="39">
        <f t="shared" si="127"/>
        <v>2445.552</v>
      </c>
      <c r="N182" s="39">
        <f t="shared" si="127"/>
        <v>3260.736</v>
      </c>
      <c r="O182" s="39">
        <f t="shared" si="127"/>
        <v>0</v>
      </c>
      <c r="P182" s="39">
        <f t="shared" si="127"/>
        <v>0</v>
      </c>
      <c r="Q182" s="39">
        <f t="shared" si="127"/>
        <v>1222.776</v>
      </c>
      <c r="R182" s="39">
        <f t="shared" si="127"/>
        <v>0</v>
      </c>
      <c r="S182" s="39">
        <f t="shared" si="127"/>
        <v>2445.552</v>
      </c>
      <c r="T182" s="39">
        <f t="shared" si="127"/>
        <v>1222.776</v>
      </c>
      <c r="U182" s="39">
        <f t="shared" si="127"/>
        <v>713.286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5"/>
      <c r="AJ182" s="2"/>
      <c r="AK182" s="2"/>
      <c r="AL182" s="2"/>
      <c r="AM182" s="2"/>
      <c r="AN182" s="2"/>
      <c r="AO182" s="2"/>
      <c r="AP182" s="5"/>
      <c r="AQ182" s="5"/>
    </row>
    <row r="183">
      <c r="A183" s="2"/>
      <c r="B183" s="5"/>
      <c r="C183" s="2"/>
      <c r="D183" s="2" t="str">
        <f t="shared" si="118"/>
        <v>Stock 10</v>
      </c>
      <c r="E183" s="2"/>
      <c r="F183" s="2"/>
      <c r="G183" s="2"/>
      <c r="H183" s="2" t="str">
        <f t="shared" si="119"/>
        <v>Steady Eddy</v>
      </c>
      <c r="I183" s="2"/>
      <c r="J183" s="39">
        <f t="shared" ref="J183:U183" si="128">if($H$183="",0,if($H$183="Sky Rockets",J30*$W$10*$AC$30,if($H$183="Steady Eddy",J30*$X$10*$AC$30,J30*$Y$10*$AC$30)))</f>
        <v>3384.612</v>
      </c>
      <c r="K183" s="39">
        <f t="shared" si="128"/>
        <v>1435.896</v>
      </c>
      <c r="L183" s="39">
        <f t="shared" si="128"/>
        <v>3179.484</v>
      </c>
      <c r="M183" s="39">
        <f t="shared" si="128"/>
        <v>2358.972</v>
      </c>
      <c r="N183" s="39">
        <f t="shared" si="128"/>
        <v>3487.176</v>
      </c>
      <c r="O183" s="39">
        <f t="shared" si="128"/>
        <v>3179.484</v>
      </c>
      <c r="P183" s="39">
        <f t="shared" si="128"/>
        <v>0</v>
      </c>
      <c r="Q183" s="39">
        <f t="shared" si="128"/>
        <v>1435.896</v>
      </c>
      <c r="R183" s="39">
        <f t="shared" si="128"/>
        <v>4205.124</v>
      </c>
      <c r="S183" s="39">
        <f t="shared" si="128"/>
        <v>2358.972</v>
      </c>
      <c r="T183" s="39">
        <f t="shared" si="128"/>
        <v>0</v>
      </c>
      <c r="U183" s="39">
        <f t="shared" si="128"/>
        <v>102.564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5"/>
      <c r="AJ183" s="2"/>
      <c r="AK183" s="2"/>
      <c r="AL183" s="2"/>
      <c r="AM183" s="2"/>
      <c r="AN183" s="2"/>
      <c r="AO183" s="2"/>
      <c r="AP183" s="5"/>
      <c r="AQ183" s="5"/>
    </row>
    <row r="184">
      <c r="A184" s="2"/>
      <c r="B184" s="5"/>
      <c r="C184" s="2"/>
      <c r="D184" s="2" t="str">
        <f t="shared" si="118"/>
        <v>Stock 11</v>
      </c>
      <c r="E184" s="2"/>
      <c r="F184" s="2"/>
      <c r="G184" s="2"/>
      <c r="H184" s="2" t="str">
        <f t="shared" si="119"/>
        <v>Steady Eddy</v>
      </c>
      <c r="I184" s="2"/>
      <c r="J184" s="39">
        <f t="shared" ref="J184:U184" si="129">if($H$184="",0,if($H$184="Sky Rockets",J31*$W$10*$AC$31,if($H$184="Steady Eddy",J31*$X$10*$AC$31,J31*$Y$10*$AC$31)))</f>
        <v>3613.05</v>
      </c>
      <c r="K184" s="39">
        <f t="shared" si="129"/>
        <v>1651.68</v>
      </c>
      <c r="L184" s="39">
        <f t="shared" si="129"/>
        <v>3613.05</v>
      </c>
      <c r="M184" s="39">
        <f t="shared" si="129"/>
        <v>0</v>
      </c>
      <c r="N184" s="39">
        <f t="shared" si="129"/>
        <v>3716.28</v>
      </c>
      <c r="O184" s="39">
        <f t="shared" si="129"/>
        <v>3613.05</v>
      </c>
      <c r="P184" s="39">
        <f t="shared" si="129"/>
        <v>1548.45</v>
      </c>
      <c r="Q184" s="39">
        <f t="shared" si="129"/>
        <v>1651.68</v>
      </c>
      <c r="R184" s="39">
        <f t="shared" si="129"/>
        <v>5677.65</v>
      </c>
      <c r="S184" s="39">
        <f t="shared" si="129"/>
        <v>2580.75</v>
      </c>
      <c r="T184" s="39">
        <f t="shared" si="129"/>
        <v>0</v>
      </c>
      <c r="U184" s="39">
        <f t="shared" si="129"/>
        <v>516.15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5"/>
      <c r="AJ184" s="2"/>
      <c r="AK184" s="2"/>
      <c r="AL184" s="2"/>
      <c r="AM184" s="2"/>
      <c r="AN184" s="2"/>
      <c r="AO184" s="2"/>
      <c r="AP184" s="5"/>
      <c r="AQ184" s="5"/>
    </row>
    <row r="185">
      <c r="A185" s="2"/>
      <c r="B185" s="5"/>
      <c r="C185" s="2"/>
      <c r="D185" s="2" t="str">
        <f t="shared" si="118"/>
        <v>Stock 12</v>
      </c>
      <c r="E185" s="2"/>
      <c r="F185" s="2"/>
      <c r="G185" s="2"/>
      <c r="H185" s="2" t="str">
        <f t="shared" si="119"/>
        <v>Steady Eddy</v>
      </c>
      <c r="I185" s="2"/>
      <c r="J185" s="39">
        <f t="shared" ref="J185:U185" si="130">if($H$185="",0,if($H$185="Sky Rockets",J32*$W$10*$AC$32,if($H$185="Steady Eddy",J32*$X$10*$AC$32,J32*$Y$10*$AC$32)))</f>
        <v>3948.048</v>
      </c>
      <c r="K185" s="39">
        <f t="shared" si="130"/>
        <v>1870.128</v>
      </c>
      <c r="L185" s="39">
        <f t="shared" si="130"/>
        <v>4051.944</v>
      </c>
      <c r="M185" s="39">
        <f t="shared" si="130"/>
        <v>0</v>
      </c>
      <c r="N185" s="39">
        <f t="shared" si="130"/>
        <v>3948.048</v>
      </c>
      <c r="O185" s="39">
        <f t="shared" si="130"/>
        <v>4051.944</v>
      </c>
      <c r="P185" s="39">
        <f t="shared" si="130"/>
        <v>1870.128</v>
      </c>
      <c r="Q185" s="39">
        <f t="shared" si="130"/>
        <v>1870.128</v>
      </c>
      <c r="R185" s="39">
        <f t="shared" si="130"/>
        <v>7168.824</v>
      </c>
      <c r="S185" s="39">
        <f t="shared" si="130"/>
        <v>2909.088</v>
      </c>
      <c r="T185" s="39">
        <f t="shared" si="130"/>
        <v>1870.128</v>
      </c>
      <c r="U185" s="39">
        <f t="shared" si="130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5"/>
      <c r="AJ185" s="2"/>
      <c r="AK185" s="2"/>
      <c r="AL185" s="2"/>
      <c r="AM185" s="2"/>
      <c r="AN185" s="2"/>
      <c r="AO185" s="2"/>
      <c r="AP185" s="5"/>
      <c r="AQ185" s="5"/>
    </row>
    <row r="186">
      <c r="A186" s="2"/>
      <c r="B186" s="5"/>
      <c r="C186" s="2"/>
      <c r="D186" s="2" t="str">
        <f t="shared" si="118"/>
        <v>Stock 13</v>
      </c>
      <c r="E186" s="2"/>
      <c r="F186" s="2"/>
      <c r="G186" s="2"/>
      <c r="H186" s="2" t="str">
        <f t="shared" si="119"/>
        <v>Steady Eddy</v>
      </c>
      <c r="I186" s="2"/>
      <c r="J186" s="39">
        <f t="shared" ref="J186:U186" si="131">if($H$186="",0,if($H$186="Sky Rockets",J33*$W$10*$AC$33,if($H$186="Steady Eddy",J33*$X$10*$AC$33,J33*$Y$10*$AC$33)))</f>
        <v>3764.232</v>
      </c>
      <c r="K186" s="39">
        <f t="shared" si="131"/>
        <v>1359.306</v>
      </c>
      <c r="L186" s="39">
        <f t="shared" si="131"/>
        <v>3973.356</v>
      </c>
      <c r="M186" s="39">
        <f t="shared" si="131"/>
        <v>0</v>
      </c>
      <c r="N186" s="39">
        <f t="shared" si="131"/>
        <v>3450.546</v>
      </c>
      <c r="O186" s="39">
        <f t="shared" si="131"/>
        <v>3973.356</v>
      </c>
      <c r="P186" s="39">
        <f t="shared" si="131"/>
        <v>1672.992</v>
      </c>
      <c r="Q186" s="39">
        <f t="shared" si="131"/>
        <v>1359.306</v>
      </c>
      <c r="R186" s="39">
        <f t="shared" si="131"/>
        <v>0</v>
      </c>
      <c r="S186" s="39">
        <f t="shared" si="131"/>
        <v>2718.612</v>
      </c>
      <c r="T186" s="39">
        <f t="shared" si="131"/>
        <v>1359.306</v>
      </c>
      <c r="U186" s="39">
        <f t="shared" si="131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5"/>
      <c r="AJ186" s="2"/>
      <c r="AK186" s="2"/>
      <c r="AL186" s="2"/>
      <c r="AM186" s="2"/>
      <c r="AN186" s="2"/>
      <c r="AO186" s="2"/>
      <c r="AP186" s="5"/>
      <c r="AQ186" s="5"/>
    </row>
    <row r="187">
      <c r="A187" s="2"/>
      <c r="B187" s="5"/>
      <c r="C187" s="2"/>
      <c r="D187" s="2" t="str">
        <f t="shared" si="118"/>
        <v>Stock 14</v>
      </c>
      <c r="E187" s="2"/>
      <c r="F187" s="2"/>
      <c r="G187" s="2"/>
      <c r="H187" s="2" t="str">
        <f t="shared" si="119"/>
        <v>SkyRockets</v>
      </c>
      <c r="I187" s="2"/>
      <c r="J187" s="39">
        <f t="shared" ref="J187:U187" si="132">if($H$187="",0,if($H$187="Sky Rockets",J34*$W$10*$AC$34,if($H$187="Steady Eddy",J34*$X$10*$AC$34,J34*$Y$10*$AC$34)))</f>
        <v>2455.32</v>
      </c>
      <c r="K187" s="39">
        <f t="shared" si="132"/>
        <v>1052.28</v>
      </c>
      <c r="L187" s="39">
        <f t="shared" si="132"/>
        <v>2455.32</v>
      </c>
      <c r="M187" s="39">
        <f t="shared" si="132"/>
        <v>1753.8</v>
      </c>
      <c r="N187" s="39">
        <f t="shared" si="132"/>
        <v>0</v>
      </c>
      <c r="O187" s="39">
        <f t="shared" si="132"/>
        <v>0</v>
      </c>
      <c r="P187" s="39">
        <f t="shared" si="132"/>
        <v>1052.28</v>
      </c>
      <c r="Q187" s="39">
        <f t="shared" si="132"/>
        <v>0</v>
      </c>
      <c r="R187" s="39">
        <f t="shared" si="132"/>
        <v>0</v>
      </c>
      <c r="S187" s="39">
        <f t="shared" si="132"/>
        <v>0</v>
      </c>
      <c r="T187" s="39">
        <f t="shared" si="132"/>
        <v>1052.28</v>
      </c>
      <c r="U187" s="39">
        <f t="shared" si="132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5"/>
      <c r="AJ187" s="2"/>
      <c r="AK187" s="2"/>
      <c r="AL187" s="2"/>
      <c r="AM187" s="2"/>
      <c r="AN187" s="2"/>
      <c r="AO187" s="2"/>
      <c r="AP187" s="5"/>
      <c r="AQ187" s="5"/>
    </row>
    <row r="188">
      <c r="A188" s="2"/>
      <c r="B188" s="5"/>
      <c r="C188" s="2"/>
      <c r="D188" s="2" t="str">
        <f t="shared" si="118"/>
        <v>Stock 15</v>
      </c>
      <c r="E188" s="2"/>
      <c r="F188" s="2"/>
      <c r="G188" s="2"/>
      <c r="H188" s="2" t="str">
        <f t="shared" si="119"/>
        <v>SkyRockets</v>
      </c>
      <c r="I188" s="2"/>
      <c r="J188" s="39">
        <f t="shared" ref="J188:U188" si="133">if($H$188="",0,if($H$188="Sky Rockets",J35*$W$10*$AC$35,if($H$188="Steady Eddy",J35*$X$10*$AC$35,J35*$Y$10*$AC$35)))</f>
        <v>2400.264</v>
      </c>
      <c r="K188" s="39">
        <f t="shared" si="133"/>
        <v>1200.132</v>
      </c>
      <c r="L188" s="39">
        <f t="shared" si="133"/>
        <v>2259.072</v>
      </c>
      <c r="M188" s="39">
        <f t="shared" si="133"/>
        <v>1694.304</v>
      </c>
      <c r="N188" s="39">
        <f t="shared" si="133"/>
        <v>0</v>
      </c>
      <c r="O188" s="39">
        <f t="shared" si="133"/>
        <v>0</v>
      </c>
      <c r="P188" s="39">
        <f t="shared" si="133"/>
        <v>988.344</v>
      </c>
      <c r="Q188" s="39">
        <f t="shared" si="133"/>
        <v>0</v>
      </c>
      <c r="R188" s="39">
        <f t="shared" si="133"/>
        <v>2965.032</v>
      </c>
      <c r="S188" s="39">
        <f t="shared" si="133"/>
        <v>0</v>
      </c>
      <c r="T188" s="39">
        <f t="shared" si="133"/>
        <v>1200.132</v>
      </c>
      <c r="U188" s="39">
        <f t="shared" si="133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5"/>
      <c r="AJ188" s="2"/>
      <c r="AK188" s="2"/>
      <c r="AL188" s="2"/>
      <c r="AM188" s="2"/>
      <c r="AN188" s="2"/>
      <c r="AO188" s="2"/>
      <c r="AP188" s="5"/>
      <c r="AQ188" s="5"/>
    </row>
    <row r="189">
      <c r="A189" s="2"/>
      <c r="B189" s="5"/>
      <c r="C189" s="2"/>
      <c r="D189" s="2" t="str">
        <f t="shared" si="118"/>
        <v>Stock 16</v>
      </c>
      <c r="E189" s="2"/>
      <c r="F189" s="2"/>
      <c r="G189" s="2"/>
      <c r="H189" s="2" t="str">
        <f t="shared" si="119"/>
        <v>SkyRockets</v>
      </c>
      <c r="I189" s="2"/>
      <c r="J189" s="39">
        <f t="shared" ref="J189:U189" si="134">if($H$189="",0,if($H$189="Sky Rockets",J36*$W$10*$AC$36,if($H$189="Steady Eddy",J36*$X$10*$AC$36,J36*$Y$10*$AC$36)))</f>
        <v>2628.48</v>
      </c>
      <c r="K189" s="39">
        <f t="shared" si="134"/>
        <v>1349.76</v>
      </c>
      <c r="L189" s="39">
        <f t="shared" si="134"/>
        <v>2557.44</v>
      </c>
      <c r="M189" s="39">
        <f t="shared" si="134"/>
        <v>1918.08</v>
      </c>
      <c r="N189" s="39">
        <f t="shared" si="134"/>
        <v>3480.96</v>
      </c>
      <c r="O189" s="39">
        <f t="shared" si="134"/>
        <v>3267.84</v>
      </c>
      <c r="P189" s="39">
        <f t="shared" si="134"/>
        <v>1207.68</v>
      </c>
      <c r="Q189" s="39">
        <f t="shared" si="134"/>
        <v>0</v>
      </c>
      <c r="R189" s="39">
        <f t="shared" si="134"/>
        <v>2557.44</v>
      </c>
      <c r="S189" s="39">
        <f t="shared" si="134"/>
        <v>0</v>
      </c>
      <c r="T189" s="39">
        <f t="shared" si="134"/>
        <v>1349.76</v>
      </c>
      <c r="U189" s="39">
        <f t="shared" si="134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5"/>
      <c r="AJ189" s="2"/>
      <c r="AK189" s="2"/>
      <c r="AL189" s="2"/>
      <c r="AM189" s="2"/>
      <c r="AN189" s="2"/>
      <c r="AO189" s="2"/>
      <c r="AP189" s="5"/>
      <c r="AQ189" s="5"/>
    </row>
    <row r="190">
      <c r="A190" s="2"/>
      <c r="B190" s="5"/>
      <c r="C190" s="2"/>
      <c r="D190" s="2" t="str">
        <f t="shared" si="118"/>
        <v>Stock 17</v>
      </c>
      <c r="E190" s="2"/>
      <c r="F190" s="2"/>
      <c r="G190" s="2"/>
      <c r="H190" s="2" t="str">
        <f t="shared" si="119"/>
        <v>Slow Burn</v>
      </c>
      <c r="I190" s="2"/>
      <c r="J190" s="39">
        <f t="shared" ref="J190:U190" si="135">if($H$190="",0,if($H$190="Sky Rockets",J37*$W$10*$AC$37,if($H$190="Steady Eddy",J37*$X$10*$AC$37,J37*$Y$10*$AC$37)))</f>
        <v>2573.424</v>
      </c>
      <c r="K190" s="39">
        <f t="shared" si="135"/>
        <v>786.324</v>
      </c>
      <c r="L190" s="39">
        <f t="shared" si="135"/>
        <v>2501.94</v>
      </c>
      <c r="M190" s="39">
        <f t="shared" si="135"/>
        <v>1858.584</v>
      </c>
      <c r="N190" s="39">
        <f t="shared" si="135"/>
        <v>2930.844</v>
      </c>
      <c r="O190" s="39">
        <f t="shared" si="135"/>
        <v>3216.78</v>
      </c>
      <c r="P190" s="39">
        <f t="shared" si="135"/>
        <v>1143.744</v>
      </c>
      <c r="Q190" s="39">
        <f t="shared" si="135"/>
        <v>0</v>
      </c>
      <c r="R190" s="39">
        <f t="shared" si="135"/>
        <v>1787.1</v>
      </c>
      <c r="S190" s="39">
        <f t="shared" si="135"/>
        <v>428.904</v>
      </c>
      <c r="T190" s="39">
        <f t="shared" si="135"/>
        <v>786.324</v>
      </c>
      <c r="U190" s="39">
        <f t="shared" si="135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5"/>
      <c r="AJ190" s="2"/>
      <c r="AK190" s="2"/>
      <c r="AL190" s="2"/>
      <c r="AM190" s="2"/>
      <c r="AN190" s="2"/>
      <c r="AO190" s="2"/>
      <c r="AP190" s="5"/>
      <c r="AQ190" s="5"/>
    </row>
    <row r="191">
      <c r="A191" s="2"/>
      <c r="B191" s="5"/>
      <c r="C191" s="2"/>
      <c r="D191" s="2" t="str">
        <f t="shared" si="118"/>
        <v>Stock 18</v>
      </c>
      <c r="E191" s="2"/>
      <c r="F191" s="2"/>
      <c r="G191" s="2"/>
      <c r="H191" s="2" t="str">
        <f t="shared" si="119"/>
        <v>Slow Burn</v>
      </c>
      <c r="I191" s="2"/>
      <c r="J191" s="39">
        <f t="shared" ref="J191:U191" si="136">if($H$191="",0,if($H$191="Sky Rockets",J38*$W$10*$AC$38,if($H$191="Steady Eddy",J38*$X$10*$AC$38,J38*$Y$10*$AC$38)))</f>
        <v>2301.696</v>
      </c>
      <c r="K191" s="39">
        <f t="shared" si="136"/>
        <v>863.136</v>
      </c>
      <c r="L191" s="39">
        <f t="shared" si="136"/>
        <v>2445.552</v>
      </c>
      <c r="M191" s="39">
        <f t="shared" si="136"/>
        <v>1582.416</v>
      </c>
      <c r="N191" s="39">
        <f t="shared" si="136"/>
        <v>3020.976</v>
      </c>
      <c r="O191" s="39">
        <f t="shared" si="136"/>
        <v>3164.832</v>
      </c>
      <c r="P191" s="39">
        <f t="shared" si="136"/>
        <v>863.136</v>
      </c>
      <c r="Q191" s="39">
        <f t="shared" si="136"/>
        <v>863.136</v>
      </c>
      <c r="R191" s="39">
        <f t="shared" si="136"/>
        <v>1726.272</v>
      </c>
      <c r="S191" s="39">
        <f t="shared" si="136"/>
        <v>143.856</v>
      </c>
      <c r="T191" s="39">
        <f t="shared" si="136"/>
        <v>863.136</v>
      </c>
      <c r="U191" s="39">
        <f t="shared" si="136"/>
        <v>287.712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5"/>
      <c r="AJ191" s="2"/>
      <c r="AK191" s="2"/>
      <c r="AL191" s="2"/>
      <c r="AM191" s="2"/>
      <c r="AN191" s="2"/>
      <c r="AO191" s="2"/>
      <c r="AP191" s="5"/>
      <c r="AQ191" s="5"/>
    </row>
    <row r="192">
      <c r="A192" s="2"/>
      <c r="B192" s="5"/>
      <c r="C192" s="2"/>
      <c r="D192" s="2" t="str">
        <f t="shared" si="118"/>
        <v>Stock 19</v>
      </c>
      <c r="E192" s="2"/>
      <c r="F192" s="2"/>
      <c r="G192" s="2"/>
      <c r="H192" s="2" t="str">
        <f t="shared" si="119"/>
        <v>SkyRockets</v>
      </c>
      <c r="I192" s="2"/>
      <c r="J192" s="39">
        <f t="shared" ref="J192:U192" si="137">if($H$192="",0,if($H$192="Sky Rockets",J39*$W$10*$AC$39,if($H$192="Steady Eddy",J39*$X$10*$AC$39,J39*$Y$10*$AC$39)))</f>
        <v>2243.532</v>
      </c>
      <c r="K192" s="39">
        <f t="shared" si="137"/>
        <v>1013.208</v>
      </c>
      <c r="L192" s="39">
        <f t="shared" si="137"/>
        <v>2677.764</v>
      </c>
      <c r="M192" s="39">
        <f t="shared" si="137"/>
        <v>1519.812</v>
      </c>
      <c r="N192" s="39">
        <f t="shared" si="137"/>
        <v>3184.368</v>
      </c>
      <c r="O192" s="39">
        <f t="shared" si="137"/>
        <v>3401.484</v>
      </c>
      <c r="P192" s="39">
        <f t="shared" si="137"/>
        <v>796.092</v>
      </c>
      <c r="Q192" s="39">
        <f t="shared" si="137"/>
        <v>1013.208</v>
      </c>
      <c r="R192" s="39">
        <f t="shared" si="137"/>
        <v>1230.324</v>
      </c>
      <c r="S192" s="39">
        <f t="shared" si="137"/>
        <v>72.372</v>
      </c>
      <c r="T192" s="39">
        <f t="shared" si="137"/>
        <v>1013.208</v>
      </c>
      <c r="U192" s="39">
        <f t="shared" si="137"/>
        <v>506.604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5"/>
      <c r="AJ192" s="2"/>
      <c r="AK192" s="2"/>
      <c r="AL192" s="2"/>
      <c r="AM192" s="2"/>
      <c r="AN192" s="2"/>
      <c r="AO192" s="2"/>
      <c r="AP192" s="5"/>
      <c r="AQ192" s="5"/>
    </row>
    <row r="193">
      <c r="A193" s="2"/>
      <c r="B193" s="5"/>
      <c r="C193" s="2"/>
      <c r="D193" s="2" t="str">
        <f t="shared" si="118"/>
        <v>Stock 20</v>
      </c>
      <c r="E193" s="2"/>
      <c r="F193" s="2"/>
      <c r="G193" s="2"/>
      <c r="H193" s="2" t="str">
        <f t="shared" si="119"/>
        <v>Steady Eddy</v>
      </c>
      <c r="I193" s="2"/>
      <c r="J193" s="39">
        <f t="shared" ref="J193:U193" si="138">if($H$193="",0,if($H$193="Sky Rockets",(J40*$W$10)*$AC$40,if($H$193="Steady Eddy",(J40*$X$10)*$AC$40,(J40*$Y$10)*$AC$40)))</f>
        <v>3713.616</v>
      </c>
      <c r="K193" s="39">
        <f t="shared" si="138"/>
        <v>1966.032</v>
      </c>
      <c r="L193" s="39">
        <f t="shared" si="138"/>
        <v>4150.512</v>
      </c>
      <c r="M193" s="39">
        <f t="shared" si="138"/>
        <v>2621.376</v>
      </c>
      <c r="N193" s="39">
        <f t="shared" si="138"/>
        <v>5242.752</v>
      </c>
      <c r="O193" s="39">
        <f t="shared" si="138"/>
        <v>5242.752</v>
      </c>
      <c r="P193" s="39">
        <f t="shared" si="138"/>
        <v>1529.136</v>
      </c>
      <c r="Q193" s="39">
        <f t="shared" si="138"/>
        <v>1966.032</v>
      </c>
      <c r="R193" s="39">
        <f t="shared" si="138"/>
        <v>4150.512</v>
      </c>
      <c r="S193" s="39">
        <f t="shared" si="138"/>
        <v>436.896</v>
      </c>
      <c r="T193" s="39">
        <f t="shared" si="138"/>
        <v>1966.032</v>
      </c>
      <c r="U193" s="39">
        <f t="shared" si="138"/>
        <v>873.792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5"/>
      <c r="AJ193" s="2"/>
      <c r="AK193" s="2"/>
      <c r="AL193" s="2"/>
      <c r="AM193" s="2"/>
      <c r="AN193" s="2"/>
      <c r="AO193" s="2"/>
      <c r="AP193" s="5"/>
      <c r="AQ193" s="5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5"/>
      <c r="AJ194" s="2"/>
      <c r="AK194" s="2"/>
      <c r="AL194" s="2"/>
      <c r="AM194" s="2"/>
      <c r="AN194" s="2"/>
      <c r="AO194" s="2"/>
      <c r="AP194" s="5"/>
      <c r="AQ194" s="5"/>
    </row>
    <row r="195">
      <c r="A195" s="2"/>
      <c r="B195" s="5"/>
      <c r="C195" s="2"/>
      <c r="D195" s="2" t="str">
        <f>D171</f>
        <v/>
      </c>
      <c r="E195" s="2"/>
      <c r="F195" s="2"/>
      <c r="G195" s="2"/>
      <c r="H195" s="2">
        <f>Y15</f>
        <v>120</v>
      </c>
      <c r="I195" s="2"/>
      <c r="J195" s="78">
        <f t="shared" ref="J195:U195" si="139">sum(J174:J193)</f>
        <v>57407.646</v>
      </c>
      <c r="K195" s="78">
        <f t="shared" si="139"/>
        <v>20923.278</v>
      </c>
      <c r="L195" s="78">
        <f t="shared" si="139"/>
        <v>51869.412</v>
      </c>
      <c r="M195" s="78">
        <f t="shared" si="139"/>
        <v>28350.732</v>
      </c>
      <c r="N195" s="78">
        <f t="shared" si="139"/>
        <v>43899.834</v>
      </c>
      <c r="O195" s="78">
        <f t="shared" si="139"/>
        <v>54455.934</v>
      </c>
      <c r="P195" s="78">
        <f t="shared" si="139"/>
        <v>15816.39</v>
      </c>
      <c r="Q195" s="78">
        <f t="shared" si="139"/>
        <v>15901.194</v>
      </c>
      <c r="R195" s="78">
        <f t="shared" si="139"/>
        <v>42745.878</v>
      </c>
      <c r="S195" s="78">
        <f t="shared" si="139"/>
        <v>17978.226</v>
      </c>
      <c r="T195" s="78">
        <f t="shared" si="139"/>
        <v>18729.474</v>
      </c>
      <c r="U195" s="78">
        <f t="shared" si="139"/>
        <v>7159.5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5"/>
      <c r="AJ195" s="2"/>
      <c r="AK195" s="2"/>
      <c r="AL195" s="2"/>
      <c r="AM195" s="2"/>
      <c r="AN195" s="2"/>
      <c r="AO195" s="2"/>
      <c r="AP195" s="5"/>
      <c r="AQ195" s="5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5"/>
      <c r="AJ196" s="2"/>
      <c r="AK196" s="2"/>
      <c r="AL196" s="2"/>
      <c r="AM196" s="2"/>
      <c r="AN196" s="2"/>
      <c r="AO196" s="2"/>
      <c r="AP196" s="5"/>
      <c r="AQ196" s="5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5"/>
      <c r="AJ197" s="2"/>
      <c r="AK197" s="2"/>
      <c r="AL197" s="2"/>
      <c r="AM197" s="2"/>
      <c r="AN197" s="2"/>
      <c r="AO197" s="2"/>
      <c r="AP197" s="5"/>
      <c r="AQ197" s="5"/>
    </row>
    <row r="198">
      <c r="A198" s="2"/>
      <c r="B198" s="5"/>
      <c r="C198" s="2"/>
      <c r="D198" s="2"/>
      <c r="E198" s="2"/>
      <c r="F198" s="2"/>
      <c r="G198" s="13"/>
      <c r="H198" s="13" t="s">
        <v>110</v>
      </c>
      <c r="I198" s="2"/>
      <c r="J198" s="39">
        <f t="shared" ref="J198:U198" si="140">sum(J200:J203)</f>
        <v>43020.75</v>
      </c>
      <c r="K198" s="39">
        <f t="shared" si="140"/>
        <v>107790.42</v>
      </c>
      <c r="L198" s="39">
        <f t="shared" si="140"/>
        <v>159703.821</v>
      </c>
      <c r="M198" s="39">
        <f t="shared" si="140"/>
        <v>189363.006</v>
      </c>
      <c r="N198" s="39">
        <f t="shared" si="140"/>
        <v>175482.405</v>
      </c>
      <c r="O198" s="39">
        <f t="shared" si="140"/>
        <v>210518.787</v>
      </c>
      <c r="P198" s="39">
        <f t="shared" si="140"/>
        <v>186217.317</v>
      </c>
      <c r="Q198" s="39">
        <f t="shared" si="140"/>
        <v>160871.793</v>
      </c>
      <c r="R198" s="39">
        <f t="shared" si="140"/>
        <v>135443.382</v>
      </c>
      <c r="S198" s="39">
        <f t="shared" si="140"/>
        <v>119323.074</v>
      </c>
      <c r="T198" s="39">
        <f t="shared" si="140"/>
        <v>116245.665</v>
      </c>
      <c r="U198" s="39">
        <f t="shared" si="140"/>
        <v>97757.649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5"/>
      <c r="AJ198" s="2"/>
      <c r="AK198" s="2"/>
      <c r="AL198" s="2"/>
      <c r="AM198" s="2"/>
      <c r="AN198" s="2"/>
      <c r="AO198" s="2"/>
      <c r="AP198" s="5"/>
      <c r="AQ198" s="5"/>
    </row>
    <row r="199">
      <c r="A199" s="2"/>
      <c r="B199" s="5"/>
      <c r="C199" s="2"/>
      <c r="D199" s="2"/>
      <c r="E199" s="2"/>
      <c r="F199" s="2"/>
      <c r="G199" s="13"/>
      <c r="H199" s="13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5"/>
      <c r="AJ199" s="2"/>
      <c r="AK199" s="2"/>
      <c r="AL199" s="2"/>
      <c r="AM199" s="2"/>
      <c r="AN199" s="2"/>
      <c r="AO199" s="2"/>
      <c r="AP199" s="5"/>
      <c r="AQ199" s="5"/>
    </row>
    <row r="200">
      <c r="A200" s="2"/>
      <c r="B200" s="5"/>
      <c r="C200" s="2"/>
      <c r="D200" s="2"/>
      <c r="E200" s="2"/>
      <c r="F200" s="2"/>
      <c r="G200" s="13">
        <v>1.0</v>
      </c>
      <c r="H200" s="13">
        <v>30.0</v>
      </c>
      <c r="I200" s="2"/>
      <c r="J200" s="39">
        <f t="shared" ref="J200:U200" si="141">J124</f>
        <v>43020.75</v>
      </c>
      <c r="K200" s="39">
        <f t="shared" si="141"/>
        <v>15755.655</v>
      </c>
      <c r="L200" s="39">
        <f t="shared" si="141"/>
        <v>39710.475</v>
      </c>
      <c r="M200" s="39">
        <f t="shared" si="141"/>
        <v>20265.495</v>
      </c>
      <c r="N200" s="39">
        <f t="shared" si="141"/>
        <v>33793.59</v>
      </c>
      <c r="O200" s="39">
        <f t="shared" si="141"/>
        <v>41216.7</v>
      </c>
      <c r="P200" s="39">
        <f t="shared" si="141"/>
        <v>11839.47</v>
      </c>
      <c r="Q200" s="39">
        <f t="shared" si="141"/>
        <v>12240.75</v>
      </c>
      <c r="R200" s="39">
        <f t="shared" si="141"/>
        <v>32494.845</v>
      </c>
      <c r="S200" s="39">
        <f t="shared" si="141"/>
        <v>14649</v>
      </c>
      <c r="T200" s="39">
        <f t="shared" si="141"/>
        <v>13775.19</v>
      </c>
      <c r="U200" s="39">
        <f t="shared" si="141"/>
        <v>5379.66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5"/>
      <c r="AJ200" s="2"/>
      <c r="AK200" s="2"/>
      <c r="AL200" s="2"/>
      <c r="AM200" s="2"/>
      <c r="AN200" s="2"/>
      <c r="AO200" s="2"/>
      <c r="AP200" s="5"/>
      <c r="AQ200" s="5"/>
    </row>
    <row r="201">
      <c r="A201" s="2"/>
      <c r="B201" s="5"/>
      <c r="C201" s="2"/>
      <c r="D201" s="2"/>
      <c r="E201" s="2"/>
      <c r="F201" s="2"/>
      <c r="G201" s="13">
        <v>2.0</v>
      </c>
      <c r="H201" s="13">
        <v>60.0</v>
      </c>
      <c r="I201" s="2"/>
      <c r="J201" s="4"/>
      <c r="K201" s="39">
        <f t="shared" ref="K201:W201" si="142">J147</f>
        <v>92034.765</v>
      </c>
      <c r="L201" s="39">
        <f t="shared" si="142"/>
        <v>33315.93</v>
      </c>
      <c r="M201" s="39">
        <f t="shared" si="142"/>
        <v>80635.905</v>
      </c>
      <c r="N201" s="39">
        <f t="shared" si="142"/>
        <v>48392.145</v>
      </c>
      <c r="O201" s="39">
        <f t="shared" si="142"/>
        <v>67692.915</v>
      </c>
      <c r="P201" s="39">
        <f t="shared" si="142"/>
        <v>86078.835</v>
      </c>
      <c r="Q201" s="39">
        <f t="shared" si="142"/>
        <v>25396.065</v>
      </c>
      <c r="R201" s="39">
        <f t="shared" si="142"/>
        <v>24518.835</v>
      </c>
      <c r="S201" s="39">
        <f t="shared" si="142"/>
        <v>67144.86</v>
      </c>
      <c r="T201" s="39">
        <f t="shared" si="142"/>
        <v>25293.465</v>
      </c>
      <c r="U201" s="39">
        <f t="shared" si="142"/>
        <v>30808.215</v>
      </c>
      <c r="V201" s="39">
        <f t="shared" si="142"/>
        <v>11434.77</v>
      </c>
      <c r="W201" s="4" t="str">
        <f t="shared" si="142"/>
        <v/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5"/>
      <c r="AJ201" s="2"/>
      <c r="AK201" s="2"/>
      <c r="AL201" s="2"/>
      <c r="AM201" s="2"/>
      <c r="AN201" s="2"/>
      <c r="AO201" s="2"/>
      <c r="AP201" s="5"/>
      <c r="AQ201" s="5"/>
    </row>
    <row r="202">
      <c r="A202" s="2"/>
      <c r="B202" s="5"/>
      <c r="C202" s="2"/>
      <c r="D202" s="2"/>
      <c r="E202" s="2"/>
      <c r="F202" s="2"/>
      <c r="G202" s="13">
        <v>3.0</v>
      </c>
      <c r="H202" s="13">
        <v>90.0</v>
      </c>
      <c r="I202" s="4"/>
      <c r="J202" s="4"/>
      <c r="K202" s="4"/>
      <c r="L202" s="39">
        <f t="shared" ref="L202:W202" si="143">J171</f>
        <v>86677.416</v>
      </c>
      <c r="M202" s="39">
        <f t="shared" si="143"/>
        <v>31053.96</v>
      </c>
      <c r="N202" s="39">
        <f t="shared" si="143"/>
        <v>72373.392</v>
      </c>
      <c r="O202" s="39">
        <f t="shared" si="143"/>
        <v>49739.76</v>
      </c>
      <c r="P202" s="39">
        <f t="shared" si="143"/>
        <v>59948.28</v>
      </c>
      <c r="Q202" s="39">
        <f t="shared" si="143"/>
        <v>79335.144</v>
      </c>
      <c r="R202" s="39">
        <f t="shared" si="143"/>
        <v>23973.768</v>
      </c>
      <c r="S202" s="39">
        <f t="shared" si="143"/>
        <v>21712.824</v>
      </c>
      <c r="T202" s="39">
        <f t="shared" si="143"/>
        <v>61275.816</v>
      </c>
      <c r="U202" s="39">
        <f t="shared" si="143"/>
        <v>18823.896</v>
      </c>
      <c r="V202" s="39">
        <f t="shared" si="143"/>
        <v>30121.56</v>
      </c>
      <c r="W202" s="39">
        <f t="shared" si="143"/>
        <v>10707.984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5"/>
      <c r="AJ202" s="2"/>
      <c r="AK202" s="2"/>
      <c r="AL202" s="2"/>
      <c r="AM202" s="2"/>
      <c r="AN202" s="2"/>
      <c r="AO202" s="2"/>
      <c r="AP202" s="5"/>
      <c r="AQ202" s="5"/>
    </row>
    <row r="203">
      <c r="A203" s="2"/>
      <c r="B203" s="5"/>
      <c r="C203" s="2"/>
      <c r="D203" s="2"/>
      <c r="E203" s="2"/>
      <c r="F203" s="2"/>
      <c r="G203" s="13">
        <v>4.0</v>
      </c>
      <c r="H203" s="13">
        <v>120.0</v>
      </c>
      <c r="I203" s="4"/>
      <c r="J203" s="4"/>
      <c r="K203" s="4"/>
      <c r="L203" s="4"/>
      <c r="M203" s="39">
        <f t="shared" ref="M203:X203" si="144">J195</f>
        <v>57407.646</v>
      </c>
      <c r="N203" s="39">
        <f t="shared" si="144"/>
        <v>20923.278</v>
      </c>
      <c r="O203" s="39">
        <f t="shared" si="144"/>
        <v>51869.412</v>
      </c>
      <c r="P203" s="39">
        <f t="shared" si="144"/>
        <v>28350.732</v>
      </c>
      <c r="Q203" s="39">
        <f t="shared" si="144"/>
        <v>43899.834</v>
      </c>
      <c r="R203" s="39">
        <f t="shared" si="144"/>
        <v>54455.934</v>
      </c>
      <c r="S203" s="39">
        <f t="shared" si="144"/>
        <v>15816.39</v>
      </c>
      <c r="T203" s="39">
        <f t="shared" si="144"/>
        <v>15901.194</v>
      </c>
      <c r="U203" s="39">
        <f t="shared" si="144"/>
        <v>42745.878</v>
      </c>
      <c r="V203" s="39">
        <f t="shared" si="144"/>
        <v>17978.226</v>
      </c>
      <c r="W203" s="39">
        <f t="shared" si="144"/>
        <v>18729.474</v>
      </c>
      <c r="X203" s="39">
        <f t="shared" si="144"/>
        <v>7159.5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5"/>
      <c r="AJ203" s="2"/>
      <c r="AK203" s="2"/>
      <c r="AL203" s="2"/>
      <c r="AM203" s="2"/>
      <c r="AN203" s="2"/>
      <c r="AO203" s="2"/>
      <c r="AP203" s="5"/>
      <c r="AQ203" s="5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5"/>
      <c r="AJ204" s="2"/>
      <c r="AK204" s="2"/>
      <c r="AL204" s="2"/>
      <c r="AM204" s="2"/>
      <c r="AN204" s="2"/>
      <c r="AO204" s="2"/>
      <c r="AP204" s="5"/>
      <c r="AQ204" s="5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9">
        <f t="shared" ref="M205:X205" si="145">M203+L202+K201+J200</f>
        <v>279140.577</v>
      </c>
      <c r="N205" s="39">
        <f t="shared" si="145"/>
        <v>101048.823</v>
      </c>
      <c r="O205" s="39">
        <f t="shared" si="145"/>
        <v>244589.184</v>
      </c>
      <c r="P205" s="39">
        <f t="shared" si="145"/>
        <v>146748.132</v>
      </c>
      <c r="Q205" s="39">
        <f t="shared" si="145"/>
        <v>205334.619</v>
      </c>
      <c r="R205" s="39">
        <f t="shared" si="145"/>
        <v>261086.613</v>
      </c>
      <c r="S205" s="39">
        <f t="shared" si="145"/>
        <v>77025.693</v>
      </c>
      <c r="T205" s="39">
        <f t="shared" si="145"/>
        <v>74373.603</v>
      </c>
      <c r="U205" s="39">
        <f t="shared" si="145"/>
        <v>203661.399</v>
      </c>
      <c r="V205" s="39">
        <f t="shared" si="145"/>
        <v>76744.587</v>
      </c>
      <c r="W205" s="39">
        <f t="shared" si="145"/>
        <v>93434.439</v>
      </c>
      <c r="X205" s="39">
        <f t="shared" si="145"/>
        <v>34681.914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5"/>
      <c r="AJ205" s="2"/>
      <c r="AK205" s="2"/>
      <c r="AL205" s="2"/>
      <c r="AM205" s="2"/>
      <c r="AN205" s="2"/>
      <c r="AO205" s="2"/>
      <c r="AP205" s="5"/>
      <c r="AQ205" s="5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5"/>
      <c r="AJ206" s="2"/>
      <c r="AK206" s="2"/>
      <c r="AL206" s="2"/>
      <c r="AM206" s="2"/>
      <c r="AN206" s="2"/>
      <c r="AO206" s="2"/>
      <c r="AP206" s="5"/>
      <c r="AQ206" s="5"/>
    </row>
    <row r="207">
      <c r="A207" s="2"/>
      <c r="B207" s="5"/>
      <c r="C207" s="2"/>
      <c r="D207" s="2"/>
      <c r="E207" s="2"/>
      <c r="F207" s="2"/>
      <c r="G207" s="2"/>
      <c r="H207" s="124" t="s">
        <v>111</v>
      </c>
      <c r="I207" s="125"/>
      <c r="J207" s="126">
        <f t="shared" ref="J207:U207" si="146">if(J44="Sea",$K$3,if(J44="Air",$L$3,if(J44="Express",$M$3,0)))</f>
        <v>149</v>
      </c>
      <c r="K207" s="126">
        <f t="shared" si="146"/>
        <v>154</v>
      </c>
      <c r="L207" s="126">
        <f t="shared" si="146"/>
        <v>144</v>
      </c>
      <c r="M207" s="126">
        <f t="shared" si="146"/>
        <v>144</v>
      </c>
      <c r="N207" s="126">
        <f t="shared" si="146"/>
        <v>154</v>
      </c>
      <c r="O207" s="126">
        <f t="shared" si="146"/>
        <v>149</v>
      </c>
      <c r="P207" s="126">
        <f t="shared" si="146"/>
        <v>144</v>
      </c>
      <c r="Q207" s="126">
        <f t="shared" si="146"/>
        <v>154</v>
      </c>
      <c r="R207" s="126">
        <f t="shared" si="146"/>
        <v>149</v>
      </c>
      <c r="S207" s="126">
        <f t="shared" si="146"/>
        <v>144</v>
      </c>
      <c r="T207" s="126">
        <f t="shared" si="146"/>
        <v>154</v>
      </c>
      <c r="U207" s="126">
        <f t="shared" si="146"/>
        <v>144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5"/>
      <c r="AJ207" s="2"/>
      <c r="AK207" s="2"/>
      <c r="AL207" s="2"/>
      <c r="AM207" s="2"/>
      <c r="AN207" s="2"/>
      <c r="AO207" s="2"/>
      <c r="AP207" s="5"/>
      <c r="AQ207" s="5"/>
    </row>
    <row r="208">
      <c r="A208" s="2"/>
      <c r="B208" s="5"/>
      <c r="C208" s="2"/>
      <c r="D208" s="3" t="s">
        <v>112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5"/>
      <c r="AJ208" s="2"/>
      <c r="AK208" s="2"/>
      <c r="AL208" s="2"/>
      <c r="AM208" s="2"/>
      <c r="AN208" s="2"/>
      <c r="AO208" s="2"/>
      <c r="AP208" s="5"/>
      <c r="AQ208" s="5"/>
    </row>
    <row r="209">
      <c r="A209" s="2"/>
      <c r="B209" s="5"/>
      <c r="C209" s="2"/>
      <c r="D209" s="3" t="s">
        <v>113</v>
      </c>
      <c r="H209" s="127">
        <v>30.0</v>
      </c>
      <c r="I209" s="128"/>
      <c r="J209" s="129">
        <f t="shared" ref="J209:U209" si="147">if(J$207&lt;=$H209,J$200,0)</f>
        <v>0</v>
      </c>
      <c r="K209" s="129">
        <f t="shared" si="147"/>
        <v>0</v>
      </c>
      <c r="L209" s="129">
        <f t="shared" si="147"/>
        <v>0</v>
      </c>
      <c r="M209" s="129">
        <f t="shared" si="147"/>
        <v>0</v>
      </c>
      <c r="N209" s="129">
        <f t="shared" si="147"/>
        <v>0</v>
      </c>
      <c r="O209" s="129">
        <f t="shared" si="147"/>
        <v>0</v>
      </c>
      <c r="P209" s="129">
        <f t="shared" si="147"/>
        <v>0</v>
      </c>
      <c r="Q209" s="129">
        <f t="shared" si="147"/>
        <v>0</v>
      </c>
      <c r="R209" s="129">
        <f t="shared" si="147"/>
        <v>0</v>
      </c>
      <c r="S209" s="129">
        <f t="shared" si="147"/>
        <v>0</v>
      </c>
      <c r="T209" s="129">
        <f t="shared" si="147"/>
        <v>0</v>
      </c>
      <c r="U209" s="129">
        <f t="shared" si="147"/>
        <v>0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5"/>
      <c r="AJ209" s="2"/>
      <c r="AK209" s="2"/>
      <c r="AL209" s="2"/>
      <c r="AM209" s="2"/>
      <c r="AN209" s="2"/>
      <c r="AO209" s="2"/>
      <c r="AP209" s="5"/>
      <c r="AQ209" s="5"/>
    </row>
    <row r="210">
      <c r="A210" s="2"/>
      <c r="B210" s="5"/>
      <c r="C210" s="2"/>
      <c r="D210" s="2"/>
      <c r="E210" s="2"/>
      <c r="F210" s="2"/>
      <c r="G210" s="2"/>
      <c r="H210" s="127">
        <v>60.0</v>
      </c>
      <c r="I210" s="128"/>
      <c r="J210" s="129"/>
      <c r="K210" s="129">
        <f t="shared" ref="K210:V210" si="148">if(and(J$207&gt;$H$209,J$207&lt;=$H$210),J$200,0)</f>
        <v>0</v>
      </c>
      <c r="L210" s="129">
        <f t="shared" si="148"/>
        <v>0</v>
      </c>
      <c r="M210" s="129">
        <f t="shared" si="148"/>
        <v>0</v>
      </c>
      <c r="N210" s="129">
        <f t="shared" si="148"/>
        <v>0</v>
      </c>
      <c r="O210" s="129">
        <f t="shared" si="148"/>
        <v>0</v>
      </c>
      <c r="P210" s="129">
        <f t="shared" si="148"/>
        <v>0</v>
      </c>
      <c r="Q210" s="129">
        <f t="shared" si="148"/>
        <v>0</v>
      </c>
      <c r="R210" s="129">
        <f t="shared" si="148"/>
        <v>0</v>
      </c>
      <c r="S210" s="129">
        <f t="shared" si="148"/>
        <v>0</v>
      </c>
      <c r="T210" s="129">
        <f t="shared" si="148"/>
        <v>0</v>
      </c>
      <c r="U210" s="129">
        <f t="shared" si="148"/>
        <v>0</v>
      </c>
      <c r="V210" s="129">
        <f t="shared" si="148"/>
        <v>0</v>
      </c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2"/>
      <c r="AH210" s="2"/>
      <c r="AI210" s="5"/>
      <c r="AJ210" s="2"/>
      <c r="AK210" s="2"/>
      <c r="AL210" s="2"/>
      <c r="AM210" s="2"/>
      <c r="AN210" s="2"/>
      <c r="AO210" s="2"/>
      <c r="AP210" s="5"/>
      <c r="AQ210" s="5"/>
    </row>
    <row r="211">
      <c r="A211" s="2"/>
      <c r="B211" s="5"/>
      <c r="C211" s="2"/>
      <c r="D211" s="2"/>
      <c r="E211" s="2"/>
      <c r="F211" s="2"/>
      <c r="G211" s="2"/>
      <c r="H211" s="127">
        <v>90.0</v>
      </c>
      <c r="I211" s="129"/>
      <c r="J211" s="129"/>
      <c r="K211" s="129"/>
      <c r="L211" s="129">
        <f t="shared" ref="L211:W211" si="149">if(and(J$207&gt;$H$210,J$207&lt;=$H$211),J$200,0)</f>
        <v>0</v>
      </c>
      <c r="M211" s="129">
        <f t="shared" si="149"/>
        <v>0</v>
      </c>
      <c r="N211" s="129">
        <f t="shared" si="149"/>
        <v>0</v>
      </c>
      <c r="O211" s="129">
        <f t="shared" si="149"/>
        <v>0</v>
      </c>
      <c r="P211" s="129">
        <f t="shared" si="149"/>
        <v>0</v>
      </c>
      <c r="Q211" s="129">
        <f t="shared" si="149"/>
        <v>0</v>
      </c>
      <c r="R211" s="129">
        <f t="shared" si="149"/>
        <v>0</v>
      </c>
      <c r="S211" s="129">
        <f t="shared" si="149"/>
        <v>0</v>
      </c>
      <c r="T211" s="129">
        <f t="shared" si="149"/>
        <v>0</v>
      </c>
      <c r="U211" s="129">
        <f t="shared" si="149"/>
        <v>0</v>
      </c>
      <c r="V211" s="129">
        <f t="shared" si="149"/>
        <v>0</v>
      </c>
      <c r="W211" s="129">
        <f t="shared" si="149"/>
        <v>0</v>
      </c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2"/>
      <c r="AH211" s="2"/>
      <c r="AI211" s="5"/>
      <c r="AJ211" s="2"/>
      <c r="AK211" s="2"/>
      <c r="AL211" s="2"/>
      <c r="AM211" s="2"/>
      <c r="AN211" s="2"/>
      <c r="AO211" s="2"/>
      <c r="AP211" s="5"/>
      <c r="AQ211" s="5"/>
    </row>
    <row r="212">
      <c r="A212" s="2"/>
      <c r="B212" s="5"/>
      <c r="C212" s="2"/>
      <c r="D212" s="2"/>
      <c r="E212" s="2"/>
      <c r="F212" s="2"/>
      <c r="G212" s="2"/>
      <c r="H212" s="127">
        <v>120.0</v>
      </c>
      <c r="I212" s="129"/>
      <c r="J212" s="129"/>
      <c r="K212" s="129"/>
      <c r="L212" s="129"/>
      <c r="M212" s="129">
        <f t="shared" ref="M212:X212" si="150">if(and(J$207&gt;$H$211,J$207&lt;=$H$212),J$200,0)</f>
        <v>0</v>
      </c>
      <c r="N212" s="129">
        <f t="shared" si="150"/>
        <v>0</v>
      </c>
      <c r="O212" s="129">
        <f t="shared" si="150"/>
        <v>0</v>
      </c>
      <c r="P212" s="129">
        <f t="shared" si="150"/>
        <v>0</v>
      </c>
      <c r="Q212" s="129">
        <f t="shared" si="150"/>
        <v>0</v>
      </c>
      <c r="R212" s="129">
        <f t="shared" si="150"/>
        <v>0</v>
      </c>
      <c r="S212" s="129">
        <f t="shared" si="150"/>
        <v>0</v>
      </c>
      <c r="T212" s="129">
        <f t="shared" si="150"/>
        <v>0</v>
      </c>
      <c r="U212" s="129">
        <f t="shared" si="150"/>
        <v>0</v>
      </c>
      <c r="V212" s="129">
        <f t="shared" si="150"/>
        <v>0</v>
      </c>
      <c r="W212" s="129">
        <f t="shared" si="150"/>
        <v>0</v>
      </c>
      <c r="X212" s="129">
        <f t="shared" si="150"/>
        <v>0</v>
      </c>
      <c r="Y212" s="130"/>
      <c r="Z212" s="130"/>
      <c r="AA212" s="130"/>
      <c r="AB212" s="130"/>
      <c r="AC212" s="130"/>
      <c r="AD212" s="130"/>
      <c r="AE212" s="130"/>
      <c r="AF212" s="130"/>
      <c r="AG212" s="2"/>
      <c r="AH212" s="2"/>
      <c r="AI212" s="5"/>
      <c r="AJ212" s="2"/>
      <c r="AK212" s="2"/>
      <c r="AL212" s="2"/>
      <c r="AM212" s="2"/>
      <c r="AN212" s="2"/>
      <c r="AO212" s="2"/>
      <c r="AP212" s="5"/>
      <c r="AQ212" s="5"/>
    </row>
    <row r="213">
      <c r="A213" s="2"/>
      <c r="B213" s="5"/>
      <c r="C213" s="2"/>
      <c r="D213" s="2"/>
      <c r="E213" s="2"/>
      <c r="F213" s="2"/>
      <c r="G213" s="2"/>
      <c r="H213" s="127">
        <v>150.0</v>
      </c>
      <c r="I213" s="129"/>
      <c r="J213" s="129"/>
      <c r="K213" s="129"/>
      <c r="L213" s="129"/>
      <c r="M213" s="129"/>
      <c r="N213" s="131">
        <f t="shared" ref="N213:Y213" si="151">if(and(J$207&gt;$H$212,J$207&lt;=$H$213),J$200,0)</f>
        <v>43020.75</v>
      </c>
      <c r="O213" s="129">
        <f t="shared" si="151"/>
        <v>0</v>
      </c>
      <c r="P213" s="131">
        <f t="shared" si="151"/>
        <v>39710.475</v>
      </c>
      <c r="Q213" s="131">
        <f t="shared" si="151"/>
        <v>20265.495</v>
      </c>
      <c r="R213" s="129">
        <f t="shared" si="151"/>
        <v>0</v>
      </c>
      <c r="S213" s="131">
        <f t="shared" si="151"/>
        <v>41216.7</v>
      </c>
      <c r="T213" s="131">
        <f t="shared" si="151"/>
        <v>11839.47</v>
      </c>
      <c r="U213" s="129">
        <f t="shared" si="151"/>
        <v>0</v>
      </c>
      <c r="V213" s="131">
        <f t="shared" si="151"/>
        <v>32494.845</v>
      </c>
      <c r="W213" s="131">
        <f t="shared" si="151"/>
        <v>14649</v>
      </c>
      <c r="X213" s="129">
        <f t="shared" si="151"/>
        <v>0</v>
      </c>
      <c r="Y213" s="131">
        <f t="shared" si="151"/>
        <v>5379.66</v>
      </c>
      <c r="Z213" s="130"/>
      <c r="AA213" s="130"/>
      <c r="AB213" s="130"/>
      <c r="AC213" s="130"/>
      <c r="AD213" s="130"/>
      <c r="AE213" s="130"/>
      <c r="AF213" s="130"/>
      <c r="AG213" s="2"/>
      <c r="AH213" s="2"/>
      <c r="AI213" s="5"/>
      <c r="AJ213" s="2"/>
      <c r="AK213" s="2"/>
      <c r="AL213" s="2"/>
      <c r="AM213" s="2"/>
      <c r="AN213" s="2"/>
      <c r="AO213" s="2"/>
      <c r="AP213" s="5"/>
      <c r="AQ213" s="5"/>
    </row>
    <row r="214">
      <c r="A214" s="2"/>
      <c r="B214" s="5"/>
      <c r="C214" s="2"/>
      <c r="D214" s="2"/>
      <c r="E214" s="2"/>
      <c r="F214" s="2"/>
      <c r="G214" s="2"/>
      <c r="H214" s="127">
        <v>180.0</v>
      </c>
      <c r="I214" s="129"/>
      <c r="J214" s="129"/>
      <c r="K214" s="129"/>
      <c r="L214" s="129"/>
      <c r="M214" s="129"/>
      <c r="N214" s="129"/>
      <c r="O214" s="129">
        <f t="shared" ref="O214:Z214" si="152">if(and(J$207&gt;$H$213,J$207&lt;=$H$214),J$200,0)</f>
        <v>0</v>
      </c>
      <c r="P214" s="131">
        <f t="shared" si="152"/>
        <v>15755.655</v>
      </c>
      <c r="Q214" s="129">
        <f t="shared" si="152"/>
        <v>0</v>
      </c>
      <c r="R214" s="129">
        <f t="shared" si="152"/>
        <v>0</v>
      </c>
      <c r="S214" s="131">
        <f t="shared" si="152"/>
        <v>33793.59</v>
      </c>
      <c r="T214" s="129">
        <f t="shared" si="152"/>
        <v>0</v>
      </c>
      <c r="U214" s="129">
        <f t="shared" si="152"/>
        <v>0</v>
      </c>
      <c r="V214" s="131">
        <f t="shared" si="152"/>
        <v>12240.75</v>
      </c>
      <c r="W214" s="129">
        <f t="shared" si="152"/>
        <v>0</v>
      </c>
      <c r="X214" s="129">
        <f t="shared" si="152"/>
        <v>0</v>
      </c>
      <c r="Y214" s="131">
        <f t="shared" si="152"/>
        <v>13775.19</v>
      </c>
      <c r="Z214" s="129">
        <f t="shared" si="152"/>
        <v>0</v>
      </c>
      <c r="AA214" s="132"/>
      <c r="AB214" s="130"/>
      <c r="AC214" s="130"/>
      <c r="AD214" s="130"/>
      <c r="AE214" s="130"/>
      <c r="AF214" s="130"/>
      <c r="AG214" s="2"/>
      <c r="AH214" s="2"/>
      <c r="AI214" s="5"/>
      <c r="AJ214" s="2"/>
      <c r="AK214" s="2"/>
      <c r="AL214" s="2"/>
      <c r="AM214" s="2"/>
      <c r="AN214" s="2"/>
      <c r="AO214" s="2"/>
      <c r="AP214" s="5"/>
      <c r="AQ214" s="5"/>
    </row>
    <row r="215">
      <c r="A215" s="2"/>
      <c r="B215" s="5"/>
      <c r="C215" s="2"/>
      <c r="D215" s="2"/>
      <c r="E215" s="2"/>
      <c r="F215" s="2"/>
      <c r="G215" s="2"/>
      <c r="H215" s="127">
        <v>210.0</v>
      </c>
      <c r="I215" s="128"/>
      <c r="J215" s="129"/>
      <c r="K215" s="129"/>
      <c r="L215" s="129"/>
      <c r="M215" s="129"/>
      <c r="N215" s="129"/>
      <c r="O215" s="129"/>
      <c r="P215" s="129">
        <f t="shared" ref="P215:AA215" si="153">if(and(J$207&gt;$H$214,J$207&lt;=$H$215),J$200,0)</f>
        <v>0</v>
      </c>
      <c r="Q215" s="129">
        <f t="shared" si="153"/>
        <v>0</v>
      </c>
      <c r="R215" s="129">
        <f t="shared" si="153"/>
        <v>0</v>
      </c>
      <c r="S215" s="129">
        <f t="shared" si="153"/>
        <v>0</v>
      </c>
      <c r="T215" s="129">
        <f t="shared" si="153"/>
        <v>0</v>
      </c>
      <c r="U215" s="129">
        <f t="shared" si="153"/>
        <v>0</v>
      </c>
      <c r="V215" s="129">
        <f t="shared" si="153"/>
        <v>0</v>
      </c>
      <c r="W215" s="129">
        <f t="shared" si="153"/>
        <v>0</v>
      </c>
      <c r="X215" s="129">
        <f t="shared" si="153"/>
        <v>0</v>
      </c>
      <c r="Y215" s="129">
        <f t="shared" si="153"/>
        <v>0</v>
      </c>
      <c r="Z215" s="129">
        <f t="shared" si="153"/>
        <v>0</v>
      </c>
      <c r="AA215" s="129">
        <f t="shared" si="153"/>
        <v>0</v>
      </c>
      <c r="AB215" s="130"/>
      <c r="AC215" s="130"/>
      <c r="AD215" s="130"/>
      <c r="AE215" s="130"/>
      <c r="AF215" s="130"/>
      <c r="AG215" s="2"/>
      <c r="AH215" s="2"/>
      <c r="AI215" s="5"/>
      <c r="AJ215" s="2"/>
      <c r="AK215" s="2"/>
      <c r="AL215" s="2"/>
      <c r="AM215" s="2"/>
      <c r="AN215" s="2"/>
      <c r="AO215" s="2"/>
      <c r="AP215" s="5"/>
      <c r="AQ215" s="5"/>
    </row>
    <row r="216">
      <c r="A216" s="2"/>
      <c r="B216" s="5"/>
      <c r="C216" s="2"/>
      <c r="D216" s="2"/>
      <c r="E216" s="2"/>
      <c r="F216" s="2"/>
      <c r="G216" s="2"/>
      <c r="H216" s="127">
        <v>240.0</v>
      </c>
      <c r="I216" s="128"/>
      <c r="J216" s="129"/>
      <c r="K216" s="129"/>
      <c r="L216" s="129"/>
      <c r="M216" s="129"/>
      <c r="N216" s="129"/>
      <c r="O216" s="129"/>
      <c r="P216" s="129"/>
      <c r="Q216" s="129">
        <f t="shared" ref="Q216:AB216" si="154">if(and(J$207&gt;$H$215,J$207&lt;=$H$216),J$200,0)</f>
        <v>0</v>
      </c>
      <c r="R216" s="129">
        <f t="shared" si="154"/>
        <v>0</v>
      </c>
      <c r="S216" s="129">
        <f t="shared" si="154"/>
        <v>0</v>
      </c>
      <c r="T216" s="129">
        <f t="shared" si="154"/>
        <v>0</v>
      </c>
      <c r="U216" s="129">
        <f t="shared" si="154"/>
        <v>0</v>
      </c>
      <c r="V216" s="129">
        <f t="shared" si="154"/>
        <v>0</v>
      </c>
      <c r="W216" s="129">
        <f t="shared" si="154"/>
        <v>0</v>
      </c>
      <c r="X216" s="129">
        <f t="shared" si="154"/>
        <v>0</v>
      </c>
      <c r="Y216" s="129">
        <f t="shared" si="154"/>
        <v>0</v>
      </c>
      <c r="Z216" s="129">
        <f t="shared" si="154"/>
        <v>0</v>
      </c>
      <c r="AA216" s="129">
        <f t="shared" si="154"/>
        <v>0</v>
      </c>
      <c r="AB216" s="129">
        <f t="shared" si="154"/>
        <v>0</v>
      </c>
      <c r="AC216" s="130"/>
      <c r="AD216" s="130"/>
      <c r="AE216" s="130"/>
      <c r="AF216" s="130"/>
      <c r="AG216" s="2"/>
      <c r="AH216" s="2"/>
      <c r="AI216" s="5"/>
      <c r="AJ216" s="2"/>
      <c r="AK216" s="2"/>
      <c r="AL216" s="2"/>
      <c r="AM216" s="2"/>
      <c r="AN216" s="2"/>
      <c r="AO216" s="2"/>
      <c r="AP216" s="5"/>
      <c r="AQ216" s="5"/>
    </row>
    <row r="217">
      <c r="A217" s="2"/>
      <c r="B217" s="5"/>
      <c r="C217" s="2"/>
      <c r="D217" s="2"/>
      <c r="E217" s="2"/>
      <c r="F217" s="2"/>
      <c r="G217" s="2"/>
      <c r="H217" s="127">
        <v>270.0</v>
      </c>
      <c r="I217" s="128"/>
      <c r="J217" s="129"/>
      <c r="K217" s="129"/>
      <c r="L217" s="129"/>
      <c r="M217" s="129"/>
      <c r="N217" s="129"/>
      <c r="O217" s="129"/>
      <c r="P217" s="129"/>
      <c r="Q217" s="129"/>
      <c r="R217" s="129">
        <f t="shared" ref="R217:AC217" si="155">if(and(J$207&gt;$H$216,J$207&lt;=$H$217),J$200,0)</f>
        <v>0</v>
      </c>
      <c r="S217" s="129">
        <f t="shared" si="155"/>
        <v>0</v>
      </c>
      <c r="T217" s="129">
        <f t="shared" si="155"/>
        <v>0</v>
      </c>
      <c r="U217" s="129">
        <f t="shared" si="155"/>
        <v>0</v>
      </c>
      <c r="V217" s="129">
        <f t="shared" si="155"/>
        <v>0</v>
      </c>
      <c r="W217" s="129">
        <f t="shared" si="155"/>
        <v>0</v>
      </c>
      <c r="X217" s="129">
        <f t="shared" si="155"/>
        <v>0</v>
      </c>
      <c r="Y217" s="129">
        <f t="shared" si="155"/>
        <v>0</v>
      </c>
      <c r="Z217" s="129">
        <f t="shared" si="155"/>
        <v>0</v>
      </c>
      <c r="AA217" s="129">
        <f t="shared" si="155"/>
        <v>0</v>
      </c>
      <c r="AB217" s="129">
        <f t="shared" si="155"/>
        <v>0</v>
      </c>
      <c r="AC217" s="129">
        <f t="shared" si="155"/>
        <v>0</v>
      </c>
      <c r="AD217" s="130"/>
      <c r="AE217" s="130"/>
      <c r="AF217" s="130"/>
      <c r="AG217" s="2"/>
      <c r="AH217" s="2"/>
      <c r="AI217" s="5"/>
      <c r="AJ217" s="2"/>
      <c r="AK217" s="2"/>
      <c r="AL217" s="2"/>
      <c r="AM217" s="2"/>
      <c r="AN217" s="2"/>
      <c r="AO217" s="2"/>
      <c r="AP217" s="5"/>
      <c r="AQ217" s="5"/>
    </row>
    <row r="218">
      <c r="A218" s="2"/>
      <c r="B218" s="5"/>
      <c r="C218" s="2"/>
      <c r="D218" s="2"/>
      <c r="E218" s="2"/>
      <c r="F218" s="2"/>
      <c r="G218" s="2"/>
      <c r="H218" s="127">
        <v>300.0</v>
      </c>
      <c r="I218" s="128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>
        <f t="shared" ref="S218:AD218" si="156">if(and(J$207&gt;$H$217,J$207&lt;=$H$218),J$200,0)</f>
        <v>0</v>
      </c>
      <c r="T218" s="129">
        <f t="shared" si="156"/>
        <v>0</v>
      </c>
      <c r="U218" s="129">
        <f t="shared" si="156"/>
        <v>0</v>
      </c>
      <c r="V218" s="129">
        <f t="shared" si="156"/>
        <v>0</v>
      </c>
      <c r="W218" s="129">
        <f t="shared" si="156"/>
        <v>0</v>
      </c>
      <c r="X218" s="129">
        <f t="shared" si="156"/>
        <v>0</v>
      </c>
      <c r="Y218" s="129">
        <f t="shared" si="156"/>
        <v>0</v>
      </c>
      <c r="Z218" s="129">
        <f t="shared" si="156"/>
        <v>0</v>
      </c>
      <c r="AA218" s="129">
        <f t="shared" si="156"/>
        <v>0</v>
      </c>
      <c r="AB218" s="129">
        <f t="shared" si="156"/>
        <v>0</v>
      </c>
      <c r="AC218" s="129">
        <f t="shared" si="156"/>
        <v>0</v>
      </c>
      <c r="AD218" s="129">
        <f t="shared" si="156"/>
        <v>0</v>
      </c>
      <c r="AE218" s="130"/>
      <c r="AF218" s="130"/>
      <c r="AG218" s="2"/>
      <c r="AH218" s="2"/>
      <c r="AI218" s="5"/>
      <c r="AJ218" s="2"/>
      <c r="AK218" s="2"/>
      <c r="AL218" s="2"/>
      <c r="AM218" s="2"/>
      <c r="AN218" s="2"/>
      <c r="AO218" s="2"/>
      <c r="AP218" s="5"/>
      <c r="AQ218" s="5"/>
    </row>
    <row r="219">
      <c r="A219" s="2"/>
      <c r="B219" s="5"/>
      <c r="C219" s="2"/>
      <c r="D219" s="2"/>
      <c r="E219" s="2"/>
      <c r="F219" s="2"/>
      <c r="G219" s="2"/>
      <c r="H219" s="127">
        <v>330.0</v>
      </c>
      <c r="I219" s="128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>
        <f t="shared" ref="T219:AE219" si="157">if(and(J$207&gt;$H$218,J$207&lt;=$H$219),J$200,0)</f>
        <v>0</v>
      </c>
      <c r="U219" s="129">
        <f t="shared" si="157"/>
        <v>0</v>
      </c>
      <c r="V219" s="129">
        <f t="shared" si="157"/>
        <v>0</v>
      </c>
      <c r="W219" s="129">
        <f t="shared" si="157"/>
        <v>0</v>
      </c>
      <c r="X219" s="129">
        <f t="shared" si="157"/>
        <v>0</v>
      </c>
      <c r="Y219" s="129">
        <f t="shared" si="157"/>
        <v>0</v>
      </c>
      <c r="Z219" s="129">
        <f t="shared" si="157"/>
        <v>0</v>
      </c>
      <c r="AA219" s="129">
        <f t="shared" si="157"/>
        <v>0</v>
      </c>
      <c r="AB219" s="129">
        <f t="shared" si="157"/>
        <v>0</v>
      </c>
      <c r="AC219" s="129">
        <f t="shared" si="157"/>
        <v>0</v>
      </c>
      <c r="AD219" s="129">
        <f t="shared" si="157"/>
        <v>0</v>
      </c>
      <c r="AE219" s="129">
        <f t="shared" si="157"/>
        <v>0</v>
      </c>
      <c r="AF219" s="130"/>
      <c r="AG219" s="2"/>
      <c r="AH219" s="2"/>
      <c r="AI219" s="5"/>
      <c r="AJ219" s="2"/>
      <c r="AK219" s="2"/>
      <c r="AL219" s="2"/>
      <c r="AM219" s="2"/>
      <c r="AN219" s="2"/>
      <c r="AO219" s="2"/>
      <c r="AP219" s="5"/>
      <c r="AQ219" s="5"/>
    </row>
    <row r="220">
      <c r="A220" s="2"/>
      <c r="B220" s="5"/>
      <c r="C220" s="2"/>
      <c r="D220" s="2"/>
      <c r="E220" s="2"/>
      <c r="F220" s="2"/>
      <c r="G220" s="2"/>
      <c r="H220" s="127">
        <v>360.0</v>
      </c>
      <c r="I220" s="128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>
        <f t="shared" ref="U220:AF220" si="158">if(and(J$207&gt;$H$219,J$207&lt;=$H$220),J$200,0)</f>
        <v>0</v>
      </c>
      <c r="V220" s="129">
        <f t="shared" si="158"/>
        <v>0</v>
      </c>
      <c r="W220" s="129">
        <f t="shared" si="158"/>
        <v>0</v>
      </c>
      <c r="X220" s="129">
        <f t="shared" si="158"/>
        <v>0</v>
      </c>
      <c r="Y220" s="129">
        <f t="shared" si="158"/>
        <v>0</v>
      </c>
      <c r="Z220" s="129">
        <f t="shared" si="158"/>
        <v>0</v>
      </c>
      <c r="AA220" s="129">
        <f t="shared" si="158"/>
        <v>0</v>
      </c>
      <c r="AB220" s="129">
        <f t="shared" si="158"/>
        <v>0</v>
      </c>
      <c r="AC220" s="129">
        <f t="shared" si="158"/>
        <v>0</v>
      </c>
      <c r="AD220" s="129">
        <f t="shared" si="158"/>
        <v>0</v>
      </c>
      <c r="AE220" s="129">
        <f t="shared" si="158"/>
        <v>0</v>
      </c>
      <c r="AF220" s="129">
        <f t="shared" si="158"/>
        <v>0</v>
      </c>
      <c r="AG220" s="2"/>
      <c r="AH220" s="2"/>
      <c r="AI220" s="5"/>
      <c r="AJ220" s="2"/>
      <c r="AK220" s="2"/>
      <c r="AL220" s="2"/>
      <c r="AM220" s="2"/>
      <c r="AN220" s="2"/>
      <c r="AO220" s="2"/>
      <c r="AP220" s="5"/>
      <c r="AQ220" s="5"/>
    </row>
    <row r="221">
      <c r="A221" s="2"/>
      <c r="B221" s="5"/>
      <c r="C221" s="2"/>
      <c r="D221" s="2"/>
      <c r="E221" s="2"/>
      <c r="F221" s="2"/>
      <c r="G221" s="2"/>
      <c r="H221" s="128"/>
      <c r="I221" s="128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5"/>
      <c r="AJ221" s="2"/>
      <c r="AK221" s="2"/>
      <c r="AL221" s="2"/>
      <c r="AM221" s="2"/>
      <c r="AN221" s="2"/>
      <c r="AO221" s="2"/>
      <c r="AP221" s="5"/>
      <c r="AQ221" s="5"/>
    </row>
    <row r="222">
      <c r="A222" s="2"/>
      <c r="B222" s="5"/>
      <c r="C222" s="2"/>
      <c r="D222" s="2"/>
      <c r="E222" s="2"/>
      <c r="F222" s="2"/>
      <c r="G222" s="2"/>
      <c r="H222" s="128"/>
      <c r="I222" s="128"/>
      <c r="J222" s="131">
        <f t="shared" ref="J222:AF222" si="159">sum(J209:J220)</f>
        <v>0</v>
      </c>
      <c r="K222" s="131">
        <f t="shared" si="159"/>
        <v>0</v>
      </c>
      <c r="L222" s="131">
        <f t="shared" si="159"/>
        <v>0</v>
      </c>
      <c r="M222" s="131">
        <f t="shared" si="159"/>
        <v>0</v>
      </c>
      <c r="N222" s="131">
        <f t="shared" si="159"/>
        <v>43020.75</v>
      </c>
      <c r="O222" s="131">
        <f t="shared" si="159"/>
        <v>0</v>
      </c>
      <c r="P222" s="131">
        <f t="shared" si="159"/>
        <v>55466.13</v>
      </c>
      <c r="Q222" s="131">
        <f t="shared" si="159"/>
        <v>20265.495</v>
      </c>
      <c r="R222" s="131">
        <f t="shared" si="159"/>
        <v>0</v>
      </c>
      <c r="S222" s="131">
        <f t="shared" si="159"/>
        <v>75010.29</v>
      </c>
      <c r="T222" s="131">
        <f t="shared" si="159"/>
        <v>11839.47</v>
      </c>
      <c r="U222" s="131">
        <f t="shared" si="159"/>
        <v>0</v>
      </c>
      <c r="V222" s="131">
        <f t="shared" si="159"/>
        <v>44735.595</v>
      </c>
      <c r="W222" s="131">
        <f t="shared" si="159"/>
        <v>14649</v>
      </c>
      <c r="X222" s="131">
        <f t="shared" si="159"/>
        <v>0</v>
      </c>
      <c r="Y222" s="131">
        <f t="shared" si="159"/>
        <v>19154.85</v>
      </c>
      <c r="Z222" s="131">
        <f t="shared" si="159"/>
        <v>0</v>
      </c>
      <c r="AA222" s="131">
        <f t="shared" si="159"/>
        <v>0</v>
      </c>
      <c r="AB222" s="131">
        <f t="shared" si="159"/>
        <v>0</v>
      </c>
      <c r="AC222" s="131">
        <f t="shared" si="159"/>
        <v>0</v>
      </c>
      <c r="AD222" s="131">
        <f t="shared" si="159"/>
        <v>0</v>
      </c>
      <c r="AE222" s="131">
        <f t="shared" si="159"/>
        <v>0</v>
      </c>
      <c r="AF222" s="131">
        <f t="shared" si="159"/>
        <v>0</v>
      </c>
      <c r="AG222" s="2"/>
      <c r="AH222" s="2"/>
      <c r="AI222" s="5"/>
      <c r="AJ222" s="2"/>
      <c r="AK222" s="2"/>
      <c r="AL222" s="2"/>
      <c r="AM222" s="2"/>
      <c r="AN222" s="2"/>
      <c r="AO222" s="2"/>
      <c r="AP222" s="5"/>
      <c r="AQ222" s="5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5"/>
      <c r="AJ223" s="2"/>
      <c r="AK223" s="2"/>
      <c r="AL223" s="2"/>
      <c r="AM223" s="2"/>
      <c r="AN223" s="2"/>
      <c r="AO223" s="2"/>
      <c r="AP223" s="5"/>
      <c r="AQ223" s="5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5"/>
      <c r="AJ224" s="2"/>
      <c r="AK224" s="2"/>
      <c r="AL224" s="2"/>
      <c r="AM224" s="2"/>
      <c r="AN224" s="2"/>
      <c r="AO224" s="2"/>
      <c r="AP224" s="5"/>
      <c r="AQ224" s="5"/>
    </row>
    <row r="225">
      <c r="A225" s="2"/>
      <c r="B225" s="5"/>
      <c r="C225" s="2"/>
      <c r="D225" s="2"/>
      <c r="E225" s="2"/>
      <c r="F225" s="2"/>
      <c r="G225" s="2"/>
      <c r="H225" s="124" t="s">
        <v>111</v>
      </c>
      <c r="I225" s="125"/>
      <c r="J225" s="126">
        <f t="shared" ref="J225:U225" si="160">J207+30</f>
        <v>179</v>
      </c>
      <c r="K225" s="126">
        <f t="shared" si="160"/>
        <v>184</v>
      </c>
      <c r="L225" s="126">
        <f t="shared" si="160"/>
        <v>174</v>
      </c>
      <c r="M225" s="126">
        <f t="shared" si="160"/>
        <v>174</v>
      </c>
      <c r="N225" s="126">
        <f t="shared" si="160"/>
        <v>184</v>
      </c>
      <c r="O225" s="126">
        <f t="shared" si="160"/>
        <v>179</v>
      </c>
      <c r="P225" s="126">
        <f t="shared" si="160"/>
        <v>174</v>
      </c>
      <c r="Q225" s="126">
        <f t="shared" si="160"/>
        <v>184</v>
      </c>
      <c r="R225" s="126">
        <f t="shared" si="160"/>
        <v>179</v>
      </c>
      <c r="S225" s="126">
        <f t="shared" si="160"/>
        <v>174</v>
      </c>
      <c r="T225" s="126">
        <f t="shared" si="160"/>
        <v>184</v>
      </c>
      <c r="U225" s="126">
        <f t="shared" si="160"/>
        <v>174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5"/>
      <c r="AJ225" s="2"/>
      <c r="AK225" s="2"/>
      <c r="AL225" s="2"/>
      <c r="AM225" s="2"/>
      <c r="AN225" s="2"/>
      <c r="AO225" s="2"/>
      <c r="AP225" s="5"/>
      <c r="AQ225" s="5"/>
    </row>
    <row r="226">
      <c r="A226" s="2"/>
      <c r="B226" s="5"/>
      <c r="C226" s="2"/>
      <c r="D226" s="3" t="s">
        <v>114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5"/>
      <c r="AJ226" s="2"/>
      <c r="AK226" s="2"/>
      <c r="AL226" s="2"/>
      <c r="AM226" s="2"/>
      <c r="AN226" s="2"/>
      <c r="AO226" s="2"/>
      <c r="AP226" s="5"/>
      <c r="AQ226" s="5"/>
    </row>
    <row r="227">
      <c r="A227" s="2"/>
      <c r="B227" s="5"/>
      <c r="C227" s="2"/>
      <c r="D227" s="3" t="s">
        <v>113</v>
      </c>
      <c r="H227" s="133">
        <v>30.0</v>
      </c>
      <c r="I227" s="128"/>
      <c r="J227" s="134"/>
      <c r="K227" s="134">
        <f>if(K$225&lt;=I227,K$201,0)</f>
        <v>0</v>
      </c>
      <c r="L227" s="134">
        <f t="shared" ref="L227:U227" si="161">if(L$225&lt;=J227,M$201,0)</f>
        <v>0</v>
      </c>
      <c r="M227" s="134">
        <f t="shared" si="161"/>
        <v>0</v>
      </c>
      <c r="N227" s="134">
        <f t="shared" si="161"/>
        <v>0</v>
      </c>
      <c r="O227" s="134">
        <f t="shared" si="161"/>
        <v>0</v>
      </c>
      <c r="P227" s="134">
        <f t="shared" si="161"/>
        <v>0</v>
      </c>
      <c r="Q227" s="134">
        <f t="shared" si="161"/>
        <v>0</v>
      </c>
      <c r="R227" s="134">
        <f t="shared" si="161"/>
        <v>0</v>
      </c>
      <c r="S227" s="134">
        <f t="shared" si="161"/>
        <v>0</v>
      </c>
      <c r="T227" s="134">
        <f t="shared" si="161"/>
        <v>0</v>
      </c>
      <c r="U227" s="134">
        <f t="shared" si="161"/>
        <v>0</v>
      </c>
      <c r="V227" s="130"/>
      <c r="W227" s="130"/>
      <c r="X227" s="130"/>
      <c r="Y227" s="130"/>
      <c r="Z227" s="130"/>
      <c r="AA227" s="130"/>
      <c r="AB227" s="2"/>
      <c r="AC227" s="2"/>
      <c r="AD227" s="2"/>
      <c r="AE227" s="2"/>
      <c r="AF227" s="2"/>
      <c r="AG227" s="2"/>
      <c r="AH227" s="2"/>
      <c r="AI227" s="5"/>
      <c r="AJ227" s="2"/>
      <c r="AK227" s="2"/>
      <c r="AL227" s="2"/>
      <c r="AM227" s="2"/>
      <c r="AN227" s="2"/>
      <c r="AO227" s="2"/>
      <c r="AP227" s="5"/>
      <c r="AQ227" s="5"/>
    </row>
    <row r="228">
      <c r="A228" s="2"/>
      <c r="B228" s="5"/>
      <c r="C228" s="2"/>
      <c r="D228" s="2"/>
      <c r="E228" s="2"/>
      <c r="F228" s="2"/>
      <c r="G228" s="2"/>
      <c r="H228" s="133">
        <v>60.0</v>
      </c>
      <c r="I228" s="128"/>
      <c r="J228" s="132"/>
      <c r="K228" s="132">
        <f t="shared" ref="K228:V228" si="162">if(and(J$225&gt;$H$227,J$225&lt;=$H$228),K$201,0)</f>
        <v>0</v>
      </c>
      <c r="L228" s="132">
        <f t="shared" si="162"/>
        <v>0</v>
      </c>
      <c r="M228" s="132">
        <f t="shared" si="162"/>
        <v>0</v>
      </c>
      <c r="N228" s="132">
        <f t="shared" si="162"/>
        <v>0</v>
      </c>
      <c r="O228" s="132">
        <f t="shared" si="162"/>
        <v>0</v>
      </c>
      <c r="P228" s="132">
        <f t="shared" si="162"/>
        <v>0</v>
      </c>
      <c r="Q228" s="132">
        <f t="shared" si="162"/>
        <v>0</v>
      </c>
      <c r="R228" s="132">
        <f t="shared" si="162"/>
        <v>0</v>
      </c>
      <c r="S228" s="132">
        <f t="shared" si="162"/>
        <v>0</v>
      </c>
      <c r="T228" s="132">
        <f t="shared" si="162"/>
        <v>0</v>
      </c>
      <c r="U228" s="132">
        <f t="shared" si="162"/>
        <v>0</v>
      </c>
      <c r="V228" s="132">
        <f t="shared" si="162"/>
        <v>0</v>
      </c>
      <c r="W228" s="130"/>
      <c r="X228" s="130"/>
      <c r="Y228" s="130"/>
      <c r="Z228" s="130"/>
      <c r="AA228" s="130"/>
      <c r="AB228" s="2"/>
      <c r="AC228" s="2"/>
      <c r="AD228" s="2"/>
      <c r="AE228" s="2"/>
      <c r="AF228" s="2"/>
      <c r="AG228" s="2"/>
      <c r="AH228" s="2"/>
      <c r="AI228" s="5"/>
      <c r="AJ228" s="2"/>
      <c r="AK228" s="2"/>
      <c r="AL228" s="2"/>
      <c r="AM228" s="2"/>
      <c r="AN228" s="2"/>
      <c r="AO228" s="2"/>
      <c r="AP228" s="5"/>
      <c r="AQ228" s="5"/>
    </row>
    <row r="229">
      <c r="A229" s="2"/>
      <c r="B229" s="5"/>
      <c r="C229" s="2"/>
      <c r="D229" s="2"/>
      <c r="E229" s="2"/>
      <c r="F229" s="2"/>
      <c r="G229" s="2"/>
      <c r="H229" s="133">
        <v>90.0</v>
      </c>
      <c r="I229" s="129"/>
      <c r="J229" s="132"/>
      <c r="K229" s="132"/>
      <c r="L229" s="132">
        <f t="shared" ref="L229:W229" si="163">if(and(J$225&gt;$H$228,J$225&lt;=$H$229),K$201,0)</f>
        <v>0</v>
      </c>
      <c r="M229" s="132">
        <f t="shared" si="163"/>
        <v>0</v>
      </c>
      <c r="N229" s="132">
        <f t="shared" si="163"/>
        <v>0</v>
      </c>
      <c r="O229" s="132">
        <f t="shared" si="163"/>
        <v>0</v>
      </c>
      <c r="P229" s="132">
        <f t="shared" si="163"/>
        <v>0</v>
      </c>
      <c r="Q229" s="132">
        <f t="shared" si="163"/>
        <v>0</v>
      </c>
      <c r="R229" s="132">
        <f t="shared" si="163"/>
        <v>0</v>
      </c>
      <c r="S229" s="132">
        <f t="shared" si="163"/>
        <v>0</v>
      </c>
      <c r="T229" s="132">
        <f t="shared" si="163"/>
        <v>0</v>
      </c>
      <c r="U229" s="132">
        <f t="shared" si="163"/>
        <v>0</v>
      </c>
      <c r="V229" s="132">
        <f t="shared" si="163"/>
        <v>0</v>
      </c>
      <c r="W229" s="132">
        <f t="shared" si="163"/>
        <v>0</v>
      </c>
      <c r="X229" s="130"/>
      <c r="Y229" s="130"/>
      <c r="Z229" s="130"/>
      <c r="AA229" s="130"/>
      <c r="AB229" s="2"/>
      <c r="AC229" s="2"/>
      <c r="AD229" s="2"/>
      <c r="AE229" s="2"/>
      <c r="AF229" s="2"/>
      <c r="AG229" s="2"/>
      <c r="AH229" s="2"/>
      <c r="AI229" s="5"/>
      <c r="AJ229" s="2"/>
      <c r="AK229" s="2"/>
      <c r="AL229" s="2"/>
      <c r="AM229" s="2"/>
      <c r="AN229" s="2"/>
      <c r="AO229" s="2"/>
      <c r="AP229" s="5"/>
      <c r="AQ229" s="5"/>
    </row>
    <row r="230">
      <c r="A230" s="2"/>
      <c r="B230" s="5"/>
      <c r="C230" s="2"/>
      <c r="D230" s="2"/>
      <c r="E230" s="2"/>
      <c r="F230" s="2"/>
      <c r="G230" s="2"/>
      <c r="H230" s="133">
        <v>120.0</v>
      </c>
      <c r="I230" s="129"/>
      <c r="J230" s="132"/>
      <c r="K230" s="132"/>
      <c r="L230" s="132"/>
      <c r="M230" s="132">
        <f t="shared" ref="M230:X230" si="164">if(and(J$225&gt;$H$229,J$225&lt;=$H$230),K$201,0)</f>
        <v>0</v>
      </c>
      <c r="N230" s="132">
        <f t="shared" si="164"/>
        <v>0</v>
      </c>
      <c r="O230" s="132">
        <f t="shared" si="164"/>
        <v>0</v>
      </c>
      <c r="P230" s="132">
        <f t="shared" si="164"/>
        <v>0</v>
      </c>
      <c r="Q230" s="132">
        <f t="shared" si="164"/>
        <v>0</v>
      </c>
      <c r="R230" s="132">
        <f t="shared" si="164"/>
        <v>0</v>
      </c>
      <c r="S230" s="132">
        <f t="shared" si="164"/>
        <v>0</v>
      </c>
      <c r="T230" s="132">
        <f t="shared" si="164"/>
        <v>0</v>
      </c>
      <c r="U230" s="132">
        <f t="shared" si="164"/>
        <v>0</v>
      </c>
      <c r="V230" s="132">
        <f t="shared" si="164"/>
        <v>0</v>
      </c>
      <c r="W230" s="132">
        <f t="shared" si="164"/>
        <v>0</v>
      </c>
      <c r="X230" s="132">
        <f t="shared" si="164"/>
        <v>0</v>
      </c>
      <c r="Y230" s="130"/>
      <c r="Z230" s="130"/>
      <c r="AA230" s="130"/>
      <c r="AB230" s="2"/>
      <c r="AC230" s="2"/>
      <c r="AD230" s="2"/>
      <c r="AE230" s="2"/>
      <c r="AF230" s="2"/>
      <c r="AG230" s="2"/>
      <c r="AH230" s="2"/>
      <c r="AI230" s="5"/>
      <c r="AJ230" s="2"/>
      <c r="AK230" s="2"/>
      <c r="AL230" s="2"/>
      <c r="AM230" s="2"/>
      <c r="AN230" s="2"/>
      <c r="AO230" s="2"/>
      <c r="AP230" s="5"/>
      <c r="AQ230" s="5"/>
    </row>
    <row r="231">
      <c r="A231" s="2"/>
      <c r="B231" s="5"/>
      <c r="C231" s="2"/>
      <c r="D231" s="2"/>
      <c r="E231" s="2"/>
      <c r="F231" s="2"/>
      <c r="G231" s="2"/>
      <c r="H231" s="133">
        <v>150.0</v>
      </c>
      <c r="I231" s="129"/>
      <c r="J231" s="132"/>
      <c r="K231" s="132"/>
      <c r="L231" s="132"/>
      <c r="M231" s="132"/>
      <c r="N231" s="132">
        <f t="shared" ref="N231:Y231" si="165">if(and(J$225&gt;$H$230,J$225&lt;=$H$231),K$201,0)</f>
        <v>0</v>
      </c>
      <c r="O231" s="132">
        <f t="shared" si="165"/>
        <v>0</v>
      </c>
      <c r="P231" s="132">
        <f t="shared" si="165"/>
        <v>0</v>
      </c>
      <c r="Q231" s="132">
        <f t="shared" si="165"/>
        <v>0</v>
      </c>
      <c r="R231" s="132">
        <f t="shared" si="165"/>
        <v>0</v>
      </c>
      <c r="S231" s="132">
        <f t="shared" si="165"/>
        <v>0</v>
      </c>
      <c r="T231" s="132">
        <f t="shared" si="165"/>
        <v>0</v>
      </c>
      <c r="U231" s="132">
        <f t="shared" si="165"/>
        <v>0</v>
      </c>
      <c r="V231" s="132">
        <f t="shared" si="165"/>
        <v>0</v>
      </c>
      <c r="W231" s="132">
        <f t="shared" si="165"/>
        <v>0</v>
      </c>
      <c r="X231" s="132">
        <f t="shared" si="165"/>
        <v>0</v>
      </c>
      <c r="Y231" s="132">
        <f t="shared" si="165"/>
        <v>0</v>
      </c>
      <c r="Z231" s="130"/>
      <c r="AA231" s="130"/>
      <c r="AB231" s="2"/>
      <c r="AC231" s="2"/>
      <c r="AD231" s="2"/>
      <c r="AE231" s="2"/>
      <c r="AF231" s="2"/>
      <c r="AG231" s="2"/>
      <c r="AH231" s="2"/>
      <c r="AI231" s="5"/>
      <c r="AJ231" s="2"/>
      <c r="AK231" s="2"/>
      <c r="AL231" s="2"/>
      <c r="AM231" s="2"/>
      <c r="AN231" s="2"/>
      <c r="AO231" s="2"/>
      <c r="AP231" s="5"/>
      <c r="AQ231" s="5"/>
    </row>
    <row r="232">
      <c r="A232" s="2"/>
      <c r="B232" s="5"/>
      <c r="C232" s="2"/>
      <c r="D232" s="2"/>
      <c r="E232" s="2"/>
      <c r="F232" s="2"/>
      <c r="G232" s="2"/>
      <c r="H232" s="133">
        <v>180.0</v>
      </c>
      <c r="I232" s="129"/>
      <c r="J232" s="132"/>
      <c r="K232" s="132"/>
      <c r="L232" s="132"/>
      <c r="M232" s="132"/>
      <c r="N232" s="132"/>
      <c r="O232" s="135">
        <f t="shared" ref="O232:Z232" si="166">if(and(J$225&gt;$H$231,J$225&lt;=$H$232),K$201,0)</f>
        <v>92034.765</v>
      </c>
      <c r="P232" s="132">
        <f t="shared" si="166"/>
        <v>0</v>
      </c>
      <c r="Q232" s="135">
        <f t="shared" si="166"/>
        <v>80635.905</v>
      </c>
      <c r="R232" s="135">
        <f t="shared" si="166"/>
        <v>48392.145</v>
      </c>
      <c r="S232" s="132">
        <f t="shared" si="166"/>
        <v>0</v>
      </c>
      <c r="T232" s="135">
        <f t="shared" si="166"/>
        <v>86078.835</v>
      </c>
      <c r="U232" s="135">
        <f t="shared" si="166"/>
        <v>25396.065</v>
      </c>
      <c r="V232" s="132">
        <f t="shared" si="166"/>
        <v>0</v>
      </c>
      <c r="W232" s="135">
        <f t="shared" si="166"/>
        <v>67144.86</v>
      </c>
      <c r="X232" s="135">
        <f t="shared" si="166"/>
        <v>25293.465</v>
      </c>
      <c r="Y232" s="132">
        <f t="shared" si="166"/>
        <v>0</v>
      </c>
      <c r="Z232" s="135">
        <f t="shared" si="166"/>
        <v>11434.77</v>
      </c>
      <c r="AA232" s="132"/>
      <c r="AB232" s="2"/>
      <c r="AC232" s="2"/>
      <c r="AD232" s="2"/>
      <c r="AE232" s="2"/>
      <c r="AF232" s="2"/>
      <c r="AG232" s="2"/>
      <c r="AH232" s="2"/>
      <c r="AI232" s="5"/>
      <c r="AJ232" s="2"/>
      <c r="AK232" s="2"/>
      <c r="AL232" s="2"/>
      <c r="AM232" s="2"/>
      <c r="AN232" s="2"/>
      <c r="AO232" s="2"/>
      <c r="AP232" s="5"/>
      <c r="AQ232" s="5"/>
    </row>
    <row r="233">
      <c r="A233" s="2"/>
      <c r="B233" s="5"/>
      <c r="C233" s="2"/>
      <c r="D233" s="2"/>
      <c r="E233" s="2"/>
      <c r="F233" s="2"/>
      <c r="G233" s="2"/>
      <c r="H233" s="133">
        <v>210.0</v>
      </c>
      <c r="I233" s="128"/>
      <c r="J233" s="132"/>
      <c r="K233" s="132"/>
      <c r="L233" s="132"/>
      <c r="M233" s="132"/>
      <c r="N233" s="132"/>
      <c r="O233" s="132"/>
      <c r="P233" s="132">
        <f t="shared" ref="P233:AA233" si="167">if(and(J$225&gt;$H$232,J$225&lt;=$H$233),K$201,0)</f>
        <v>0</v>
      </c>
      <c r="Q233" s="135">
        <f t="shared" si="167"/>
        <v>33315.93</v>
      </c>
      <c r="R233" s="132">
        <f t="shared" si="167"/>
        <v>0</v>
      </c>
      <c r="S233" s="132">
        <f t="shared" si="167"/>
        <v>0</v>
      </c>
      <c r="T233" s="135">
        <f t="shared" si="167"/>
        <v>67692.915</v>
      </c>
      <c r="U233" s="132">
        <f t="shared" si="167"/>
        <v>0</v>
      </c>
      <c r="V233" s="132">
        <f t="shared" si="167"/>
        <v>0</v>
      </c>
      <c r="W233" s="135">
        <f t="shared" si="167"/>
        <v>24518.835</v>
      </c>
      <c r="X233" s="132">
        <f t="shared" si="167"/>
        <v>0</v>
      </c>
      <c r="Y233" s="132">
        <f t="shared" si="167"/>
        <v>0</v>
      </c>
      <c r="Z233" s="135">
        <f t="shared" si="167"/>
        <v>30808.215</v>
      </c>
      <c r="AA233" s="132">
        <f t="shared" si="167"/>
        <v>0</v>
      </c>
      <c r="AB233" s="2"/>
      <c r="AC233" s="2"/>
      <c r="AD233" s="2"/>
      <c r="AE233" s="2"/>
      <c r="AF233" s="2"/>
      <c r="AG233" s="2"/>
      <c r="AH233" s="2"/>
      <c r="AI233" s="5"/>
      <c r="AJ233" s="2"/>
      <c r="AK233" s="2"/>
      <c r="AL233" s="2"/>
      <c r="AM233" s="2"/>
      <c r="AN233" s="2"/>
      <c r="AO233" s="2"/>
      <c r="AP233" s="5"/>
      <c r="AQ233" s="5"/>
    </row>
    <row r="234">
      <c r="A234" s="2"/>
      <c r="B234" s="5"/>
      <c r="C234" s="2"/>
      <c r="D234" s="2"/>
      <c r="E234" s="2"/>
      <c r="F234" s="2"/>
      <c r="G234" s="2"/>
      <c r="H234" s="133">
        <v>240.0</v>
      </c>
      <c r="I234" s="128"/>
      <c r="J234" s="132"/>
      <c r="K234" s="132"/>
      <c r="L234" s="132"/>
      <c r="M234" s="132"/>
      <c r="N234" s="132"/>
      <c r="O234" s="132"/>
      <c r="P234" s="132"/>
      <c r="Q234" s="132">
        <f t="shared" ref="Q234:AB234" si="168">if(and(J$225&gt;$H$233,J$225&lt;=$H$234),K$201,0)</f>
        <v>0</v>
      </c>
      <c r="R234" s="132">
        <f t="shared" si="168"/>
        <v>0</v>
      </c>
      <c r="S234" s="132">
        <f t="shared" si="168"/>
        <v>0</v>
      </c>
      <c r="T234" s="132">
        <f t="shared" si="168"/>
        <v>0</v>
      </c>
      <c r="U234" s="132">
        <f t="shared" si="168"/>
        <v>0</v>
      </c>
      <c r="V234" s="132">
        <f t="shared" si="168"/>
        <v>0</v>
      </c>
      <c r="W234" s="132">
        <f t="shared" si="168"/>
        <v>0</v>
      </c>
      <c r="X234" s="132">
        <f t="shared" si="168"/>
        <v>0</v>
      </c>
      <c r="Y234" s="132">
        <f t="shared" si="168"/>
        <v>0</v>
      </c>
      <c r="Z234" s="132">
        <f t="shared" si="168"/>
        <v>0</v>
      </c>
      <c r="AA234" s="132">
        <f t="shared" si="168"/>
        <v>0</v>
      </c>
      <c r="AB234" s="132">
        <f t="shared" si="168"/>
        <v>0</v>
      </c>
      <c r="AC234" s="2"/>
      <c r="AD234" s="2"/>
      <c r="AE234" s="2"/>
      <c r="AF234" s="2"/>
      <c r="AG234" s="2"/>
      <c r="AH234" s="2"/>
      <c r="AI234" s="5"/>
      <c r="AJ234" s="2"/>
      <c r="AK234" s="2"/>
      <c r="AL234" s="2"/>
      <c r="AM234" s="2"/>
      <c r="AN234" s="2"/>
      <c r="AO234" s="2"/>
      <c r="AP234" s="5"/>
      <c r="AQ234" s="5"/>
    </row>
    <row r="235">
      <c r="A235" s="2"/>
      <c r="B235" s="5"/>
      <c r="C235" s="2"/>
      <c r="D235" s="2"/>
      <c r="E235" s="2"/>
      <c r="F235" s="2"/>
      <c r="G235" s="2"/>
      <c r="H235" s="133">
        <v>270.0</v>
      </c>
      <c r="I235" s="128"/>
      <c r="J235" s="132"/>
      <c r="K235" s="132"/>
      <c r="L235" s="132"/>
      <c r="M235" s="132"/>
      <c r="N235" s="132"/>
      <c r="O235" s="132"/>
      <c r="P235" s="132"/>
      <c r="Q235" s="132"/>
      <c r="R235" s="132">
        <f t="shared" ref="R235:AC235" si="169">if(and(J$225&gt;$H$234,J$225&lt;=$H$235),K$201,0)</f>
        <v>0</v>
      </c>
      <c r="S235" s="132">
        <f t="shared" si="169"/>
        <v>0</v>
      </c>
      <c r="T235" s="132">
        <f t="shared" si="169"/>
        <v>0</v>
      </c>
      <c r="U235" s="132">
        <f t="shared" si="169"/>
        <v>0</v>
      </c>
      <c r="V235" s="132">
        <f t="shared" si="169"/>
        <v>0</v>
      </c>
      <c r="W235" s="132">
        <f t="shared" si="169"/>
        <v>0</v>
      </c>
      <c r="X235" s="132">
        <f t="shared" si="169"/>
        <v>0</v>
      </c>
      <c r="Y235" s="132">
        <f t="shared" si="169"/>
        <v>0</v>
      </c>
      <c r="Z235" s="132">
        <f t="shared" si="169"/>
        <v>0</v>
      </c>
      <c r="AA235" s="132">
        <f t="shared" si="169"/>
        <v>0</v>
      </c>
      <c r="AB235" s="132">
        <f t="shared" si="169"/>
        <v>0</v>
      </c>
      <c r="AC235" s="132">
        <f t="shared" si="169"/>
        <v>0</v>
      </c>
      <c r="AD235" s="2"/>
      <c r="AE235" s="2"/>
      <c r="AF235" s="2"/>
      <c r="AG235" s="2"/>
      <c r="AH235" s="2"/>
      <c r="AI235" s="5"/>
      <c r="AJ235" s="2"/>
      <c r="AK235" s="2"/>
      <c r="AL235" s="2"/>
      <c r="AM235" s="2"/>
      <c r="AN235" s="2"/>
      <c r="AO235" s="2"/>
      <c r="AP235" s="5"/>
      <c r="AQ235" s="5"/>
    </row>
    <row r="236">
      <c r="A236" s="2"/>
      <c r="B236" s="5"/>
      <c r="C236" s="2"/>
      <c r="D236" s="2"/>
      <c r="E236" s="2"/>
      <c r="F236" s="2"/>
      <c r="G236" s="2"/>
      <c r="H236" s="133">
        <v>300.0</v>
      </c>
      <c r="I236" s="128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>
        <f t="shared" ref="S236:AD236" si="170">if(and(J$225&gt;$H$235,J$225&lt;=$H$236),K$201,0)</f>
        <v>0</v>
      </c>
      <c r="T236" s="132">
        <f t="shared" si="170"/>
        <v>0</v>
      </c>
      <c r="U236" s="132">
        <f t="shared" si="170"/>
        <v>0</v>
      </c>
      <c r="V236" s="132">
        <f t="shared" si="170"/>
        <v>0</v>
      </c>
      <c r="W236" s="132">
        <f t="shared" si="170"/>
        <v>0</v>
      </c>
      <c r="X236" s="132">
        <f t="shared" si="170"/>
        <v>0</v>
      </c>
      <c r="Y236" s="132">
        <f t="shared" si="170"/>
        <v>0</v>
      </c>
      <c r="Z236" s="132">
        <f t="shared" si="170"/>
        <v>0</v>
      </c>
      <c r="AA236" s="132">
        <f t="shared" si="170"/>
        <v>0</v>
      </c>
      <c r="AB236" s="132">
        <f t="shared" si="170"/>
        <v>0</v>
      </c>
      <c r="AC236" s="132">
        <f t="shared" si="170"/>
        <v>0</v>
      </c>
      <c r="AD236" s="132">
        <f t="shared" si="170"/>
        <v>0</v>
      </c>
      <c r="AE236" s="2"/>
      <c r="AF236" s="2"/>
      <c r="AG236" s="2"/>
      <c r="AH236" s="2"/>
      <c r="AI236" s="5"/>
      <c r="AJ236" s="2"/>
      <c r="AK236" s="2"/>
      <c r="AL236" s="2"/>
      <c r="AM236" s="2"/>
      <c r="AN236" s="2"/>
      <c r="AO236" s="2"/>
      <c r="AP236" s="5"/>
      <c r="AQ236" s="5"/>
    </row>
    <row r="237">
      <c r="A237" s="2"/>
      <c r="B237" s="5"/>
      <c r="C237" s="2"/>
      <c r="D237" s="2"/>
      <c r="E237" s="2"/>
      <c r="F237" s="2"/>
      <c r="G237" s="2"/>
      <c r="H237" s="133">
        <v>330.0</v>
      </c>
      <c r="I237" s="128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>
        <f t="shared" ref="T237:AE237" si="171">if(and(J$225&gt;$H$236,J$225&lt;=$H$237),K$201,0)</f>
        <v>0</v>
      </c>
      <c r="U237" s="132">
        <f t="shared" si="171"/>
        <v>0</v>
      </c>
      <c r="V237" s="132">
        <f t="shared" si="171"/>
        <v>0</v>
      </c>
      <c r="W237" s="132">
        <f t="shared" si="171"/>
        <v>0</v>
      </c>
      <c r="X237" s="132">
        <f t="shared" si="171"/>
        <v>0</v>
      </c>
      <c r="Y237" s="132">
        <f t="shared" si="171"/>
        <v>0</v>
      </c>
      <c r="Z237" s="132">
        <f t="shared" si="171"/>
        <v>0</v>
      </c>
      <c r="AA237" s="132">
        <f t="shared" si="171"/>
        <v>0</v>
      </c>
      <c r="AB237" s="132">
        <f t="shared" si="171"/>
        <v>0</v>
      </c>
      <c r="AC237" s="132">
        <f t="shared" si="171"/>
        <v>0</v>
      </c>
      <c r="AD237" s="132">
        <f t="shared" si="171"/>
        <v>0</v>
      </c>
      <c r="AE237" s="132">
        <f t="shared" si="171"/>
        <v>0</v>
      </c>
      <c r="AF237" s="2"/>
      <c r="AG237" s="2"/>
      <c r="AH237" s="2"/>
      <c r="AI237" s="5"/>
      <c r="AJ237" s="2"/>
      <c r="AK237" s="2"/>
      <c r="AL237" s="2"/>
      <c r="AM237" s="2"/>
      <c r="AN237" s="2"/>
      <c r="AO237" s="2"/>
      <c r="AP237" s="5"/>
      <c r="AQ237" s="5"/>
    </row>
    <row r="238">
      <c r="A238" s="2"/>
      <c r="B238" s="5"/>
      <c r="C238" s="2"/>
      <c r="D238" s="2"/>
      <c r="E238" s="2"/>
      <c r="F238" s="2"/>
      <c r="G238" s="2"/>
      <c r="H238" s="133">
        <v>360.0</v>
      </c>
      <c r="I238" s="128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>
        <f t="shared" ref="U238:AF238" si="172">if(and(J$225&gt;$H$237,J$225&lt;=$H$238),K$201,0)</f>
        <v>0</v>
      </c>
      <c r="V238" s="132">
        <f t="shared" si="172"/>
        <v>0</v>
      </c>
      <c r="W238" s="132">
        <f t="shared" si="172"/>
        <v>0</v>
      </c>
      <c r="X238" s="132">
        <f t="shared" si="172"/>
        <v>0</v>
      </c>
      <c r="Y238" s="132">
        <f t="shared" si="172"/>
        <v>0</v>
      </c>
      <c r="Z238" s="132">
        <f t="shared" si="172"/>
        <v>0</v>
      </c>
      <c r="AA238" s="132">
        <f t="shared" si="172"/>
        <v>0</v>
      </c>
      <c r="AB238" s="132">
        <f t="shared" si="172"/>
        <v>0</v>
      </c>
      <c r="AC238" s="132">
        <f t="shared" si="172"/>
        <v>0</v>
      </c>
      <c r="AD238" s="132">
        <f t="shared" si="172"/>
        <v>0</v>
      </c>
      <c r="AE238" s="132">
        <f t="shared" si="172"/>
        <v>0</v>
      </c>
      <c r="AF238" s="132">
        <f t="shared" si="172"/>
        <v>0</v>
      </c>
      <c r="AG238" s="2"/>
      <c r="AH238" s="2"/>
      <c r="AI238" s="5"/>
      <c r="AJ238" s="2"/>
      <c r="AK238" s="2"/>
      <c r="AL238" s="2"/>
      <c r="AM238" s="2"/>
      <c r="AN238" s="2"/>
      <c r="AO238" s="2"/>
      <c r="AP238" s="5"/>
      <c r="AQ238" s="5"/>
    </row>
    <row r="239">
      <c r="A239" s="2"/>
      <c r="B239" s="5"/>
      <c r="C239" s="2"/>
      <c r="D239" s="2"/>
      <c r="E239" s="2"/>
      <c r="F239" s="2"/>
      <c r="G239" s="2"/>
      <c r="H239" s="128"/>
      <c r="I239" s="128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0"/>
      <c r="W239" s="130"/>
      <c r="X239" s="130"/>
      <c r="Y239" s="130"/>
      <c r="Z239" s="130"/>
      <c r="AA239" s="130"/>
      <c r="AB239" s="2"/>
      <c r="AC239" s="2"/>
      <c r="AD239" s="2"/>
      <c r="AE239" s="2"/>
      <c r="AF239" s="2"/>
      <c r="AG239" s="2"/>
      <c r="AH239" s="2"/>
      <c r="AI239" s="5"/>
      <c r="AJ239" s="2"/>
      <c r="AK239" s="2"/>
      <c r="AL239" s="2"/>
      <c r="AM239" s="2"/>
      <c r="AN239" s="2"/>
      <c r="AO239" s="2"/>
      <c r="AP239" s="5"/>
      <c r="AQ239" s="5"/>
    </row>
    <row r="240">
      <c r="A240" s="2"/>
      <c r="B240" s="5"/>
      <c r="C240" s="2"/>
      <c r="D240" s="2"/>
      <c r="E240" s="2"/>
      <c r="F240" s="2"/>
      <c r="G240" s="2"/>
      <c r="H240" s="128"/>
      <c r="I240" s="128"/>
      <c r="J240" s="135">
        <f t="shared" ref="J240:AF240" si="173">sum(J227:J238)</f>
        <v>0</v>
      </c>
      <c r="K240" s="135">
        <f t="shared" si="173"/>
        <v>0</v>
      </c>
      <c r="L240" s="135">
        <f t="shared" si="173"/>
        <v>0</v>
      </c>
      <c r="M240" s="135">
        <f t="shared" si="173"/>
        <v>0</v>
      </c>
      <c r="N240" s="135">
        <f t="shared" si="173"/>
        <v>0</v>
      </c>
      <c r="O240" s="135">
        <f t="shared" si="173"/>
        <v>92034.765</v>
      </c>
      <c r="P240" s="135">
        <f t="shared" si="173"/>
        <v>0</v>
      </c>
      <c r="Q240" s="135">
        <f t="shared" si="173"/>
        <v>113951.835</v>
      </c>
      <c r="R240" s="135">
        <f t="shared" si="173"/>
        <v>48392.145</v>
      </c>
      <c r="S240" s="135">
        <f t="shared" si="173"/>
        <v>0</v>
      </c>
      <c r="T240" s="135">
        <f t="shared" si="173"/>
        <v>153771.75</v>
      </c>
      <c r="U240" s="135">
        <f t="shared" si="173"/>
        <v>25396.065</v>
      </c>
      <c r="V240" s="135">
        <f t="shared" si="173"/>
        <v>0</v>
      </c>
      <c r="W240" s="135">
        <f t="shared" si="173"/>
        <v>91663.695</v>
      </c>
      <c r="X240" s="135">
        <f t="shared" si="173"/>
        <v>25293.465</v>
      </c>
      <c r="Y240" s="135">
        <f t="shared" si="173"/>
        <v>0</v>
      </c>
      <c r="Z240" s="135">
        <f t="shared" si="173"/>
        <v>42242.985</v>
      </c>
      <c r="AA240" s="135">
        <f t="shared" si="173"/>
        <v>0</v>
      </c>
      <c r="AB240" s="135">
        <f t="shared" si="173"/>
        <v>0</v>
      </c>
      <c r="AC240" s="135">
        <f t="shared" si="173"/>
        <v>0</v>
      </c>
      <c r="AD240" s="135">
        <f t="shared" si="173"/>
        <v>0</v>
      </c>
      <c r="AE240" s="135">
        <f t="shared" si="173"/>
        <v>0</v>
      </c>
      <c r="AF240" s="135">
        <f t="shared" si="173"/>
        <v>0</v>
      </c>
      <c r="AG240" s="2"/>
      <c r="AH240" s="2"/>
      <c r="AI240" s="5"/>
      <c r="AJ240" s="2"/>
      <c r="AK240" s="2"/>
      <c r="AL240" s="2"/>
      <c r="AM240" s="2"/>
      <c r="AN240" s="2"/>
      <c r="AO240" s="2"/>
      <c r="AP240" s="5"/>
      <c r="AQ240" s="5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5"/>
      <c r="AJ241" s="2"/>
      <c r="AK241" s="2"/>
      <c r="AL241" s="2"/>
      <c r="AM241" s="2"/>
      <c r="AN241" s="2"/>
      <c r="AO241" s="2"/>
      <c r="AP241" s="5"/>
      <c r="AQ241" s="5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5"/>
      <c r="AJ242" s="2"/>
      <c r="AK242" s="2"/>
      <c r="AL242" s="2"/>
      <c r="AM242" s="2"/>
      <c r="AN242" s="2"/>
      <c r="AO242" s="2"/>
      <c r="AP242" s="5"/>
      <c r="AQ242" s="5"/>
    </row>
    <row r="243">
      <c r="A243" s="2"/>
      <c r="B243" s="5"/>
      <c r="C243" s="2"/>
      <c r="D243" s="2"/>
      <c r="E243" s="2"/>
      <c r="F243" s="2"/>
      <c r="G243" s="2"/>
      <c r="H243" s="124" t="s">
        <v>111</v>
      </c>
      <c r="I243" s="125"/>
      <c r="J243" s="126">
        <f t="shared" ref="J243:U243" si="174">J225+30</f>
        <v>209</v>
      </c>
      <c r="K243" s="126">
        <f t="shared" si="174"/>
        <v>214</v>
      </c>
      <c r="L243" s="126">
        <f t="shared" si="174"/>
        <v>204</v>
      </c>
      <c r="M243" s="126">
        <f t="shared" si="174"/>
        <v>204</v>
      </c>
      <c r="N243" s="126">
        <f t="shared" si="174"/>
        <v>214</v>
      </c>
      <c r="O243" s="126">
        <f t="shared" si="174"/>
        <v>209</v>
      </c>
      <c r="P243" s="126">
        <f t="shared" si="174"/>
        <v>204</v>
      </c>
      <c r="Q243" s="126">
        <f t="shared" si="174"/>
        <v>214</v>
      </c>
      <c r="R243" s="126">
        <f t="shared" si="174"/>
        <v>209</v>
      </c>
      <c r="S243" s="126">
        <f t="shared" si="174"/>
        <v>204</v>
      </c>
      <c r="T243" s="126">
        <f t="shared" si="174"/>
        <v>214</v>
      </c>
      <c r="U243" s="126">
        <f t="shared" si="174"/>
        <v>204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5"/>
      <c r="AJ243" s="2"/>
      <c r="AK243" s="2"/>
      <c r="AL243" s="2"/>
      <c r="AM243" s="2"/>
      <c r="AN243" s="2"/>
      <c r="AO243" s="2"/>
      <c r="AP243" s="5"/>
      <c r="AQ243" s="5"/>
    </row>
    <row r="244">
      <c r="A244" s="2"/>
      <c r="B244" s="5"/>
      <c r="C244" s="2"/>
      <c r="D244" s="3" t="s">
        <v>115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5"/>
      <c r="AJ244" s="2"/>
      <c r="AK244" s="2"/>
      <c r="AL244" s="2"/>
      <c r="AM244" s="2"/>
      <c r="AN244" s="2"/>
      <c r="AO244" s="2"/>
      <c r="AP244" s="5"/>
      <c r="AQ244" s="5"/>
    </row>
    <row r="245">
      <c r="A245" s="2"/>
      <c r="B245" s="5"/>
      <c r="C245" s="2"/>
      <c r="D245" s="3" t="s">
        <v>113</v>
      </c>
      <c r="H245" s="136">
        <v>30.0</v>
      </c>
      <c r="I245" s="128"/>
      <c r="J245" s="137">
        <f t="shared" ref="J245:U245" si="175">if(J$243&lt;=$H$245,L$202,0)</f>
        <v>0</v>
      </c>
      <c r="K245" s="137">
        <f t="shared" si="175"/>
        <v>0</v>
      </c>
      <c r="L245" s="137">
        <f t="shared" si="175"/>
        <v>0</v>
      </c>
      <c r="M245" s="137">
        <f t="shared" si="175"/>
        <v>0</v>
      </c>
      <c r="N245" s="137">
        <f t="shared" si="175"/>
        <v>0</v>
      </c>
      <c r="O245" s="137">
        <f t="shared" si="175"/>
        <v>0</v>
      </c>
      <c r="P245" s="137">
        <f t="shared" si="175"/>
        <v>0</v>
      </c>
      <c r="Q245" s="137">
        <f t="shared" si="175"/>
        <v>0</v>
      </c>
      <c r="R245" s="137">
        <f t="shared" si="175"/>
        <v>0</v>
      </c>
      <c r="S245" s="137">
        <f t="shared" si="175"/>
        <v>0</v>
      </c>
      <c r="T245" s="137">
        <f t="shared" si="175"/>
        <v>0</v>
      </c>
      <c r="U245" s="137">
        <f t="shared" si="175"/>
        <v>0</v>
      </c>
      <c r="V245" s="130"/>
      <c r="W245" s="130"/>
      <c r="X245" s="130"/>
      <c r="Y245" s="130"/>
      <c r="Z245" s="130"/>
      <c r="AA245" s="130"/>
      <c r="AB245" s="2"/>
      <c r="AC245" s="2"/>
      <c r="AD245" s="2"/>
      <c r="AE245" s="2"/>
      <c r="AF245" s="2"/>
      <c r="AG245" s="2"/>
      <c r="AH245" s="2"/>
      <c r="AI245" s="5"/>
      <c r="AJ245" s="2"/>
      <c r="AK245" s="2"/>
      <c r="AL245" s="2"/>
      <c r="AM245" s="2"/>
      <c r="AN245" s="2"/>
      <c r="AO245" s="2"/>
      <c r="AP245" s="5"/>
      <c r="AQ245" s="5"/>
    </row>
    <row r="246">
      <c r="A246" s="2"/>
      <c r="B246" s="5"/>
      <c r="C246" s="2"/>
      <c r="D246" s="2"/>
      <c r="E246" s="2"/>
      <c r="F246" s="2"/>
      <c r="G246" s="2"/>
      <c r="H246" s="136">
        <v>60.0</v>
      </c>
      <c r="I246" s="128"/>
      <c r="J246" s="132"/>
      <c r="K246" s="137">
        <f t="shared" ref="K246:V246" si="176">if(and(J243&gt;$H$245,J243&lt;=$H$246),L$202,0)</f>
        <v>0</v>
      </c>
      <c r="L246" s="137">
        <f t="shared" si="176"/>
        <v>0</v>
      </c>
      <c r="M246" s="137">
        <f t="shared" si="176"/>
        <v>0</v>
      </c>
      <c r="N246" s="137">
        <f t="shared" si="176"/>
        <v>0</v>
      </c>
      <c r="O246" s="137">
        <f t="shared" si="176"/>
        <v>0</v>
      </c>
      <c r="P246" s="137">
        <f t="shared" si="176"/>
        <v>0</v>
      </c>
      <c r="Q246" s="137">
        <f t="shared" si="176"/>
        <v>0</v>
      </c>
      <c r="R246" s="137">
        <f t="shared" si="176"/>
        <v>0</v>
      </c>
      <c r="S246" s="137">
        <f t="shared" si="176"/>
        <v>0</v>
      </c>
      <c r="T246" s="137">
        <f t="shared" si="176"/>
        <v>0</v>
      </c>
      <c r="U246" s="137">
        <f t="shared" si="176"/>
        <v>0</v>
      </c>
      <c r="V246" s="137">
        <f t="shared" si="176"/>
        <v>0</v>
      </c>
      <c r="W246" s="130"/>
      <c r="X246" s="130"/>
      <c r="Y246" s="130"/>
      <c r="Z246" s="130"/>
      <c r="AA246" s="130"/>
      <c r="AB246" s="2"/>
      <c r="AC246" s="2"/>
      <c r="AD246" s="2"/>
      <c r="AE246" s="2"/>
      <c r="AF246" s="2"/>
      <c r="AG246" s="2"/>
      <c r="AH246" s="2"/>
      <c r="AI246" s="5"/>
      <c r="AJ246" s="2"/>
      <c r="AK246" s="2"/>
      <c r="AL246" s="2"/>
      <c r="AM246" s="2"/>
      <c r="AN246" s="2"/>
      <c r="AO246" s="2"/>
      <c r="AP246" s="5"/>
      <c r="AQ246" s="5"/>
    </row>
    <row r="247">
      <c r="A247" s="2"/>
      <c r="B247" s="5"/>
      <c r="C247" s="2"/>
      <c r="D247" s="2"/>
      <c r="E247" s="2"/>
      <c r="F247" s="2"/>
      <c r="G247" s="2"/>
      <c r="H247" s="136">
        <v>90.0</v>
      </c>
      <c r="I247" s="129"/>
      <c r="J247" s="132"/>
      <c r="K247" s="137"/>
      <c r="L247" s="137">
        <f t="shared" ref="L247:W247" si="177">if(and(J$243&gt;$H$246,J$243&lt;=$H$247),L$202,0)</f>
        <v>0</v>
      </c>
      <c r="M247" s="137">
        <f t="shared" si="177"/>
        <v>0</v>
      </c>
      <c r="N247" s="137">
        <f t="shared" si="177"/>
        <v>0</v>
      </c>
      <c r="O247" s="137">
        <f t="shared" si="177"/>
        <v>0</v>
      </c>
      <c r="P247" s="137">
        <f t="shared" si="177"/>
        <v>0</v>
      </c>
      <c r="Q247" s="137">
        <f t="shared" si="177"/>
        <v>0</v>
      </c>
      <c r="R247" s="137">
        <f t="shared" si="177"/>
        <v>0</v>
      </c>
      <c r="S247" s="137">
        <f t="shared" si="177"/>
        <v>0</v>
      </c>
      <c r="T247" s="137">
        <f t="shared" si="177"/>
        <v>0</v>
      </c>
      <c r="U247" s="137">
        <f t="shared" si="177"/>
        <v>0</v>
      </c>
      <c r="V247" s="137">
        <f t="shared" si="177"/>
        <v>0</v>
      </c>
      <c r="W247" s="137">
        <f t="shared" si="177"/>
        <v>0</v>
      </c>
      <c r="X247" s="130"/>
      <c r="Y247" s="130"/>
      <c r="Z247" s="130"/>
      <c r="AA247" s="130"/>
      <c r="AB247" s="2"/>
      <c r="AC247" s="2"/>
      <c r="AD247" s="2"/>
      <c r="AE247" s="2"/>
      <c r="AF247" s="2"/>
      <c r="AG247" s="2"/>
      <c r="AH247" s="2"/>
      <c r="AI247" s="5"/>
      <c r="AJ247" s="2"/>
      <c r="AK247" s="2"/>
      <c r="AL247" s="2"/>
      <c r="AM247" s="2"/>
      <c r="AN247" s="2"/>
      <c r="AO247" s="2"/>
      <c r="AP247" s="5"/>
      <c r="AQ247" s="5"/>
    </row>
    <row r="248">
      <c r="A248" s="2"/>
      <c r="B248" s="5"/>
      <c r="C248" s="2"/>
      <c r="D248" s="2"/>
      <c r="E248" s="2"/>
      <c r="F248" s="2"/>
      <c r="G248" s="2"/>
      <c r="H248" s="136">
        <v>120.0</v>
      </c>
      <c r="I248" s="129"/>
      <c r="J248" s="132"/>
      <c r="K248" s="137"/>
      <c r="L248" s="137"/>
      <c r="M248" s="137">
        <f t="shared" ref="M248:X248" si="178">if(and(J$243&gt;$H$247,J$243&lt;=$H$248),L$202,0)</f>
        <v>0</v>
      </c>
      <c r="N248" s="137">
        <f t="shared" si="178"/>
        <v>0</v>
      </c>
      <c r="O248" s="137">
        <f t="shared" si="178"/>
        <v>0</v>
      </c>
      <c r="P248" s="137">
        <f t="shared" si="178"/>
        <v>0</v>
      </c>
      <c r="Q248" s="137">
        <f t="shared" si="178"/>
        <v>0</v>
      </c>
      <c r="R248" s="137">
        <f t="shared" si="178"/>
        <v>0</v>
      </c>
      <c r="S248" s="137">
        <f t="shared" si="178"/>
        <v>0</v>
      </c>
      <c r="T248" s="137">
        <f t="shared" si="178"/>
        <v>0</v>
      </c>
      <c r="U248" s="137">
        <f t="shared" si="178"/>
        <v>0</v>
      </c>
      <c r="V248" s="137">
        <f t="shared" si="178"/>
        <v>0</v>
      </c>
      <c r="W248" s="137">
        <f t="shared" si="178"/>
        <v>0</v>
      </c>
      <c r="X248" s="137">
        <f t="shared" si="178"/>
        <v>0</v>
      </c>
      <c r="Y248" s="130"/>
      <c r="Z248" s="130"/>
      <c r="AA248" s="130"/>
      <c r="AB248" s="2"/>
      <c r="AC248" s="2"/>
      <c r="AD248" s="2"/>
      <c r="AE248" s="2"/>
      <c r="AF248" s="2"/>
      <c r="AG248" s="2"/>
      <c r="AH248" s="2"/>
      <c r="AI248" s="5"/>
      <c r="AJ248" s="2"/>
      <c r="AK248" s="2"/>
      <c r="AL248" s="2"/>
      <c r="AM248" s="2"/>
      <c r="AN248" s="2"/>
      <c r="AO248" s="2"/>
      <c r="AP248" s="5"/>
      <c r="AQ248" s="5"/>
    </row>
    <row r="249">
      <c r="A249" s="2"/>
      <c r="B249" s="5"/>
      <c r="C249" s="2"/>
      <c r="D249" s="2"/>
      <c r="E249" s="2"/>
      <c r="F249" s="2"/>
      <c r="G249" s="2"/>
      <c r="H249" s="136">
        <v>150.0</v>
      </c>
      <c r="I249" s="129"/>
      <c r="J249" s="132"/>
      <c r="K249" s="137"/>
      <c r="L249" s="137"/>
      <c r="M249" s="137"/>
      <c r="N249" s="137">
        <f t="shared" ref="N249:Y249" si="179">if(and(J$243&gt;$H$248,J$243&lt;=$H$249),L$202,0)</f>
        <v>0</v>
      </c>
      <c r="O249" s="137">
        <f t="shared" si="179"/>
        <v>0</v>
      </c>
      <c r="P249" s="137">
        <f t="shared" si="179"/>
        <v>0</v>
      </c>
      <c r="Q249" s="137">
        <f t="shared" si="179"/>
        <v>0</v>
      </c>
      <c r="R249" s="137">
        <f t="shared" si="179"/>
        <v>0</v>
      </c>
      <c r="S249" s="137">
        <f t="shared" si="179"/>
        <v>0</v>
      </c>
      <c r="T249" s="137">
        <f t="shared" si="179"/>
        <v>0</v>
      </c>
      <c r="U249" s="137">
        <f t="shared" si="179"/>
        <v>0</v>
      </c>
      <c r="V249" s="137">
        <f t="shared" si="179"/>
        <v>0</v>
      </c>
      <c r="W249" s="137">
        <f t="shared" si="179"/>
        <v>0</v>
      </c>
      <c r="X249" s="137">
        <f t="shared" si="179"/>
        <v>0</v>
      </c>
      <c r="Y249" s="137">
        <f t="shared" si="179"/>
        <v>0</v>
      </c>
      <c r="Z249" s="130"/>
      <c r="AA249" s="130"/>
      <c r="AB249" s="2"/>
      <c r="AC249" s="2"/>
      <c r="AD249" s="2"/>
      <c r="AE249" s="2"/>
      <c r="AF249" s="2"/>
      <c r="AG249" s="2"/>
      <c r="AH249" s="2"/>
      <c r="AI249" s="5"/>
      <c r="AJ249" s="2"/>
      <c r="AK249" s="2"/>
      <c r="AL249" s="2"/>
      <c r="AM249" s="2"/>
      <c r="AN249" s="2"/>
      <c r="AO249" s="2"/>
      <c r="AP249" s="5"/>
      <c r="AQ249" s="5"/>
    </row>
    <row r="250">
      <c r="A250" s="2"/>
      <c r="B250" s="5"/>
      <c r="C250" s="2"/>
      <c r="D250" s="2"/>
      <c r="E250" s="2"/>
      <c r="F250" s="2"/>
      <c r="G250" s="2"/>
      <c r="H250" s="136">
        <v>180.0</v>
      </c>
      <c r="I250" s="129"/>
      <c r="J250" s="132"/>
      <c r="K250" s="137"/>
      <c r="L250" s="137"/>
      <c r="M250" s="137"/>
      <c r="N250" s="137"/>
      <c r="O250" s="137">
        <f t="shared" ref="O250:Z250" si="180">if(and(J$243&gt;$H$249,J$243&lt;=$H$250),L$202,0)</f>
        <v>0</v>
      </c>
      <c r="P250" s="137">
        <f t="shared" si="180"/>
        <v>0</v>
      </c>
      <c r="Q250" s="137">
        <f t="shared" si="180"/>
        <v>0</v>
      </c>
      <c r="R250" s="137">
        <f t="shared" si="180"/>
        <v>0</v>
      </c>
      <c r="S250" s="137">
        <f t="shared" si="180"/>
        <v>0</v>
      </c>
      <c r="T250" s="137">
        <f t="shared" si="180"/>
        <v>0</v>
      </c>
      <c r="U250" s="137">
        <f t="shared" si="180"/>
        <v>0</v>
      </c>
      <c r="V250" s="137">
        <f t="shared" si="180"/>
        <v>0</v>
      </c>
      <c r="W250" s="137">
        <f t="shared" si="180"/>
        <v>0</v>
      </c>
      <c r="X250" s="137">
        <f t="shared" si="180"/>
        <v>0</v>
      </c>
      <c r="Y250" s="137">
        <f t="shared" si="180"/>
        <v>0</v>
      </c>
      <c r="Z250" s="137">
        <f t="shared" si="180"/>
        <v>0</v>
      </c>
      <c r="AA250" s="132"/>
      <c r="AB250" s="2"/>
      <c r="AC250" s="2"/>
      <c r="AD250" s="2"/>
      <c r="AE250" s="2"/>
      <c r="AF250" s="2"/>
      <c r="AG250" s="2"/>
      <c r="AH250" s="2"/>
      <c r="AI250" s="5"/>
      <c r="AJ250" s="2"/>
      <c r="AK250" s="2"/>
      <c r="AL250" s="2"/>
      <c r="AM250" s="2"/>
      <c r="AN250" s="2"/>
      <c r="AO250" s="2"/>
      <c r="AP250" s="5"/>
      <c r="AQ250" s="5"/>
    </row>
    <row r="251">
      <c r="A251" s="2"/>
      <c r="B251" s="5"/>
      <c r="C251" s="2"/>
      <c r="D251" s="2"/>
      <c r="E251" s="2"/>
      <c r="F251" s="2"/>
      <c r="G251" s="2"/>
      <c r="H251" s="136">
        <v>210.0</v>
      </c>
      <c r="I251" s="128"/>
      <c r="J251" s="132"/>
      <c r="K251" s="137"/>
      <c r="L251" s="137"/>
      <c r="M251" s="137"/>
      <c r="N251" s="137"/>
      <c r="O251" s="137"/>
      <c r="P251" s="138">
        <f t="shared" ref="P251:AA251" si="181">if(and(J$243&gt;$H$250,J$243&lt;=$H$251),L$202,0)</f>
        <v>86677.416</v>
      </c>
      <c r="Q251" s="137">
        <f t="shared" si="181"/>
        <v>0</v>
      </c>
      <c r="R251" s="138">
        <f t="shared" si="181"/>
        <v>72373.392</v>
      </c>
      <c r="S251" s="138">
        <f t="shared" si="181"/>
        <v>49739.76</v>
      </c>
      <c r="T251" s="137">
        <f t="shared" si="181"/>
        <v>0</v>
      </c>
      <c r="U251" s="138">
        <f t="shared" si="181"/>
        <v>79335.144</v>
      </c>
      <c r="V251" s="138">
        <f t="shared" si="181"/>
        <v>23973.768</v>
      </c>
      <c r="W251" s="137">
        <f t="shared" si="181"/>
        <v>0</v>
      </c>
      <c r="X251" s="138">
        <f t="shared" si="181"/>
        <v>61275.816</v>
      </c>
      <c r="Y251" s="138">
        <f t="shared" si="181"/>
        <v>18823.896</v>
      </c>
      <c r="Z251" s="137">
        <f t="shared" si="181"/>
        <v>0</v>
      </c>
      <c r="AA251" s="138">
        <f t="shared" si="181"/>
        <v>10707.984</v>
      </c>
      <c r="AB251" s="2"/>
      <c r="AC251" s="2"/>
      <c r="AD251" s="2"/>
      <c r="AE251" s="2"/>
      <c r="AF251" s="2"/>
      <c r="AG251" s="2"/>
      <c r="AH251" s="2"/>
      <c r="AI251" s="5"/>
      <c r="AJ251" s="2"/>
      <c r="AK251" s="2"/>
      <c r="AL251" s="2"/>
      <c r="AM251" s="2"/>
      <c r="AN251" s="2"/>
      <c r="AO251" s="2"/>
      <c r="AP251" s="5"/>
      <c r="AQ251" s="5"/>
    </row>
    <row r="252">
      <c r="A252" s="2"/>
      <c r="B252" s="5"/>
      <c r="C252" s="2"/>
      <c r="D252" s="2"/>
      <c r="E252" s="2"/>
      <c r="F252" s="2"/>
      <c r="G252" s="2"/>
      <c r="H252" s="136">
        <v>240.0</v>
      </c>
      <c r="I252" s="128"/>
      <c r="J252" s="132"/>
      <c r="K252" s="137"/>
      <c r="L252" s="137"/>
      <c r="M252" s="137"/>
      <c r="N252" s="137"/>
      <c r="O252" s="137"/>
      <c r="P252" s="137"/>
      <c r="Q252" s="137">
        <f t="shared" ref="Q252:AB252" si="182">if(and(J$243&gt;$H$251,J$243&lt;=$H$252),L$202,0)</f>
        <v>0</v>
      </c>
      <c r="R252" s="138">
        <f t="shared" si="182"/>
        <v>31053.96</v>
      </c>
      <c r="S252" s="137">
        <f t="shared" si="182"/>
        <v>0</v>
      </c>
      <c r="T252" s="137">
        <f t="shared" si="182"/>
        <v>0</v>
      </c>
      <c r="U252" s="138">
        <f t="shared" si="182"/>
        <v>59948.28</v>
      </c>
      <c r="V252" s="137">
        <f t="shared" si="182"/>
        <v>0</v>
      </c>
      <c r="W252" s="137">
        <f t="shared" si="182"/>
        <v>0</v>
      </c>
      <c r="X252" s="138">
        <f t="shared" si="182"/>
        <v>21712.824</v>
      </c>
      <c r="Y252" s="137">
        <f t="shared" si="182"/>
        <v>0</v>
      </c>
      <c r="Z252" s="137">
        <f t="shared" si="182"/>
        <v>0</v>
      </c>
      <c r="AA252" s="138">
        <f t="shared" si="182"/>
        <v>30121.56</v>
      </c>
      <c r="AB252" s="137">
        <f t="shared" si="182"/>
        <v>0</v>
      </c>
      <c r="AC252" s="2"/>
      <c r="AD252" s="2"/>
      <c r="AE252" s="2"/>
      <c r="AF252" s="2"/>
      <c r="AG252" s="2"/>
      <c r="AH252" s="2"/>
      <c r="AI252" s="5"/>
      <c r="AJ252" s="2"/>
      <c r="AK252" s="2"/>
      <c r="AL252" s="2"/>
      <c r="AM252" s="2"/>
      <c r="AN252" s="2"/>
      <c r="AO252" s="2"/>
      <c r="AP252" s="5"/>
      <c r="AQ252" s="5"/>
    </row>
    <row r="253">
      <c r="A253" s="2"/>
      <c r="B253" s="5"/>
      <c r="C253" s="2"/>
      <c r="D253" s="2"/>
      <c r="E253" s="2"/>
      <c r="F253" s="2"/>
      <c r="G253" s="2"/>
      <c r="H253" s="136">
        <v>270.0</v>
      </c>
      <c r="I253" s="128"/>
      <c r="J253" s="132"/>
      <c r="K253" s="137"/>
      <c r="L253" s="137"/>
      <c r="M253" s="137"/>
      <c r="N253" s="137"/>
      <c r="O253" s="137"/>
      <c r="P253" s="137"/>
      <c r="Q253" s="137"/>
      <c r="R253" s="137">
        <f t="shared" ref="R253:AC253" si="183">if(and(J$243&gt;$H$252,J$243&lt;=$H$253),L$202,0)</f>
        <v>0</v>
      </c>
      <c r="S253" s="137">
        <f t="shared" si="183"/>
        <v>0</v>
      </c>
      <c r="T253" s="137">
        <f t="shared" si="183"/>
        <v>0</v>
      </c>
      <c r="U253" s="137">
        <f t="shared" si="183"/>
        <v>0</v>
      </c>
      <c r="V253" s="137">
        <f t="shared" si="183"/>
        <v>0</v>
      </c>
      <c r="W253" s="137">
        <f t="shared" si="183"/>
        <v>0</v>
      </c>
      <c r="X253" s="137">
        <f t="shared" si="183"/>
        <v>0</v>
      </c>
      <c r="Y253" s="137">
        <f t="shared" si="183"/>
        <v>0</v>
      </c>
      <c r="Z253" s="137">
        <f t="shared" si="183"/>
        <v>0</v>
      </c>
      <c r="AA253" s="137">
        <f t="shared" si="183"/>
        <v>0</v>
      </c>
      <c r="AB253" s="137">
        <f t="shared" si="183"/>
        <v>0</v>
      </c>
      <c r="AC253" s="137">
        <f t="shared" si="183"/>
        <v>0</v>
      </c>
      <c r="AD253" s="2"/>
      <c r="AE253" s="2"/>
      <c r="AF253" s="2"/>
      <c r="AG253" s="2"/>
      <c r="AH253" s="2"/>
      <c r="AI253" s="5"/>
      <c r="AJ253" s="2"/>
      <c r="AK253" s="2"/>
      <c r="AL253" s="2"/>
      <c r="AM253" s="2"/>
      <c r="AN253" s="2"/>
      <c r="AO253" s="2"/>
      <c r="AP253" s="5"/>
      <c r="AQ253" s="5"/>
    </row>
    <row r="254">
      <c r="A254" s="2"/>
      <c r="B254" s="5"/>
      <c r="C254" s="2"/>
      <c r="D254" s="2"/>
      <c r="E254" s="2"/>
      <c r="F254" s="2"/>
      <c r="G254" s="2"/>
      <c r="H254" s="136">
        <v>300.0</v>
      </c>
      <c r="I254" s="128"/>
      <c r="J254" s="132"/>
      <c r="K254" s="137"/>
      <c r="L254" s="137"/>
      <c r="M254" s="137"/>
      <c r="N254" s="137"/>
      <c r="O254" s="137"/>
      <c r="P254" s="137"/>
      <c r="Q254" s="137"/>
      <c r="R254" s="137"/>
      <c r="S254" s="137">
        <f t="shared" ref="S254:AD254" si="184">if(and(J$243&gt;$H$253,J$243&lt;=$H$254),L$202,0)</f>
        <v>0</v>
      </c>
      <c r="T254" s="137">
        <f t="shared" si="184"/>
        <v>0</v>
      </c>
      <c r="U254" s="137">
        <f t="shared" si="184"/>
        <v>0</v>
      </c>
      <c r="V254" s="137">
        <f t="shared" si="184"/>
        <v>0</v>
      </c>
      <c r="W254" s="137">
        <f t="shared" si="184"/>
        <v>0</v>
      </c>
      <c r="X254" s="137">
        <f t="shared" si="184"/>
        <v>0</v>
      </c>
      <c r="Y254" s="137">
        <f t="shared" si="184"/>
        <v>0</v>
      </c>
      <c r="Z254" s="137">
        <f t="shared" si="184"/>
        <v>0</v>
      </c>
      <c r="AA254" s="137">
        <f t="shared" si="184"/>
        <v>0</v>
      </c>
      <c r="AB254" s="137">
        <f t="shared" si="184"/>
        <v>0</v>
      </c>
      <c r="AC254" s="137">
        <f t="shared" si="184"/>
        <v>0</v>
      </c>
      <c r="AD254" s="137">
        <f t="shared" si="184"/>
        <v>0</v>
      </c>
      <c r="AE254" s="2"/>
      <c r="AF254" s="2"/>
      <c r="AG254" s="2"/>
      <c r="AH254" s="2"/>
      <c r="AI254" s="5"/>
      <c r="AJ254" s="2"/>
      <c r="AK254" s="2"/>
      <c r="AL254" s="2"/>
      <c r="AM254" s="2"/>
      <c r="AN254" s="2"/>
      <c r="AO254" s="2"/>
      <c r="AP254" s="5"/>
      <c r="AQ254" s="5"/>
    </row>
    <row r="255">
      <c r="A255" s="2"/>
      <c r="B255" s="5"/>
      <c r="C255" s="2"/>
      <c r="D255" s="2"/>
      <c r="E255" s="2"/>
      <c r="F255" s="2"/>
      <c r="G255" s="2"/>
      <c r="H255" s="136">
        <v>330.0</v>
      </c>
      <c r="I255" s="128"/>
      <c r="J255" s="132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>
        <f t="shared" ref="T255:AE255" si="185">if(and(J$243&gt;$H$254,J$243&lt;=$H$255),L$202,0)</f>
        <v>0</v>
      </c>
      <c r="U255" s="137">
        <f t="shared" si="185"/>
        <v>0</v>
      </c>
      <c r="V255" s="137">
        <f t="shared" si="185"/>
        <v>0</v>
      </c>
      <c r="W255" s="137">
        <f t="shared" si="185"/>
        <v>0</v>
      </c>
      <c r="X255" s="137">
        <f t="shared" si="185"/>
        <v>0</v>
      </c>
      <c r="Y255" s="137">
        <f t="shared" si="185"/>
        <v>0</v>
      </c>
      <c r="Z255" s="137">
        <f t="shared" si="185"/>
        <v>0</v>
      </c>
      <c r="AA255" s="137">
        <f t="shared" si="185"/>
        <v>0</v>
      </c>
      <c r="AB255" s="137">
        <f t="shared" si="185"/>
        <v>0</v>
      </c>
      <c r="AC255" s="137">
        <f t="shared" si="185"/>
        <v>0</v>
      </c>
      <c r="AD255" s="137">
        <f t="shared" si="185"/>
        <v>0</v>
      </c>
      <c r="AE255" s="137">
        <f t="shared" si="185"/>
        <v>0</v>
      </c>
      <c r="AF255" s="2"/>
      <c r="AG255" s="2"/>
      <c r="AH255" s="2"/>
      <c r="AI255" s="5"/>
      <c r="AJ255" s="2"/>
      <c r="AK255" s="2"/>
      <c r="AL255" s="2"/>
      <c r="AM255" s="2"/>
      <c r="AN255" s="2"/>
      <c r="AO255" s="2"/>
      <c r="AP255" s="5"/>
      <c r="AQ255" s="5"/>
    </row>
    <row r="256">
      <c r="A256" s="2"/>
      <c r="B256" s="5"/>
      <c r="C256" s="2"/>
      <c r="D256" s="2"/>
      <c r="E256" s="2"/>
      <c r="F256" s="2"/>
      <c r="G256" s="2"/>
      <c r="H256" s="136">
        <v>360.0</v>
      </c>
      <c r="I256" s="128"/>
      <c r="J256" s="132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>
        <f t="shared" ref="U256:AF256" si="186">if(and(J$243&gt;$H$255,J$243&lt;=$H$256),L$202,0)</f>
        <v>0</v>
      </c>
      <c r="V256" s="137">
        <f t="shared" si="186"/>
        <v>0</v>
      </c>
      <c r="W256" s="137">
        <f t="shared" si="186"/>
        <v>0</v>
      </c>
      <c r="X256" s="137">
        <f t="shared" si="186"/>
        <v>0</v>
      </c>
      <c r="Y256" s="137">
        <f t="shared" si="186"/>
        <v>0</v>
      </c>
      <c r="Z256" s="137">
        <f t="shared" si="186"/>
        <v>0</v>
      </c>
      <c r="AA256" s="137">
        <f t="shared" si="186"/>
        <v>0</v>
      </c>
      <c r="AB256" s="137">
        <f t="shared" si="186"/>
        <v>0</v>
      </c>
      <c r="AC256" s="137">
        <f t="shared" si="186"/>
        <v>0</v>
      </c>
      <c r="AD256" s="137">
        <f t="shared" si="186"/>
        <v>0</v>
      </c>
      <c r="AE256" s="137">
        <f t="shared" si="186"/>
        <v>0</v>
      </c>
      <c r="AF256" s="137">
        <f t="shared" si="186"/>
        <v>0</v>
      </c>
      <c r="AG256" s="2"/>
      <c r="AH256" s="2"/>
      <c r="AI256" s="5"/>
      <c r="AJ256" s="2"/>
      <c r="AK256" s="2"/>
      <c r="AL256" s="2"/>
      <c r="AM256" s="2"/>
      <c r="AN256" s="2"/>
      <c r="AO256" s="2"/>
      <c r="AP256" s="5"/>
      <c r="AQ256" s="5"/>
    </row>
    <row r="257">
      <c r="A257" s="2"/>
      <c r="B257" s="5"/>
      <c r="C257" s="2"/>
      <c r="D257" s="2"/>
      <c r="E257" s="2"/>
      <c r="F257" s="2"/>
      <c r="G257" s="2"/>
      <c r="H257" s="128"/>
      <c r="I257" s="128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0"/>
      <c r="W257" s="130"/>
      <c r="X257" s="130"/>
      <c r="Y257" s="130"/>
      <c r="Z257" s="130"/>
      <c r="AA257" s="130"/>
      <c r="AB257" s="2"/>
      <c r="AC257" s="2"/>
      <c r="AD257" s="2"/>
      <c r="AE257" s="2"/>
      <c r="AF257" s="2"/>
      <c r="AG257" s="2"/>
      <c r="AH257" s="2"/>
      <c r="AI257" s="5"/>
      <c r="AJ257" s="2"/>
      <c r="AK257" s="2"/>
      <c r="AL257" s="2"/>
      <c r="AM257" s="2"/>
      <c r="AN257" s="2"/>
      <c r="AO257" s="2"/>
      <c r="AP257" s="5"/>
      <c r="AQ257" s="5"/>
    </row>
    <row r="258">
      <c r="A258" s="2"/>
      <c r="B258" s="5"/>
      <c r="C258" s="2"/>
      <c r="D258" s="2"/>
      <c r="E258" s="2"/>
      <c r="F258" s="2"/>
      <c r="G258" s="2"/>
      <c r="H258" s="139"/>
      <c r="I258" s="139"/>
      <c r="J258" s="138">
        <f t="shared" ref="J258:AF258" si="187">sum(J245:J256)</f>
        <v>0</v>
      </c>
      <c r="K258" s="138">
        <f t="shared" si="187"/>
        <v>0</v>
      </c>
      <c r="L258" s="138">
        <f t="shared" si="187"/>
        <v>0</v>
      </c>
      <c r="M258" s="138">
        <f t="shared" si="187"/>
        <v>0</v>
      </c>
      <c r="N258" s="138">
        <f t="shared" si="187"/>
        <v>0</v>
      </c>
      <c r="O258" s="138">
        <f t="shared" si="187"/>
        <v>0</v>
      </c>
      <c r="P258" s="138">
        <f t="shared" si="187"/>
        <v>86677.416</v>
      </c>
      <c r="Q258" s="138">
        <f t="shared" si="187"/>
        <v>0</v>
      </c>
      <c r="R258" s="138">
        <f t="shared" si="187"/>
        <v>103427.352</v>
      </c>
      <c r="S258" s="138">
        <f t="shared" si="187"/>
        <v>49739.76</v>
      </c>
      <c r="T258" s="138">
        <f t="shared" si="187"/>
        <v>0</v>
      </c>
      <c r="U258" s="138">
        <f t="shared" si="187"/>
        <v>139283.424</v>
      </c>
      <c r="V258" s="138">
        <f t="shared" si="187"/>
        <v>23973.768</v>
      </c>
      <c r="W258" s="138">
        <f t="shared" si="187"/>
        <v>0</v>
      </c>
      <c r="X258" s="138">
        <f t="shared" si="187"/>
        <v>82988.64</v>
      </c>
      <c r="Y258" s="138">
        <f t="shared" si="187"/>
        <v>18823.896</v>
      </c>
      <c r="Z258" s="138">
        <f t="shared" si="187"/>
        <v>0</v>
      </c>
      <c r="AA258" s="138">
        <f t="shared" si="187"/>
        <v>40829.544</v>
      </c>
      <c r="AB258" s="138">
        <f t="shared" si="187"/>
        <v>0</v>
      </c>
      <c r="AC258" s="138">
        <f t="shared" si="187"/>
        <v>0</v>
      </c>
      <c r="AD258" s="138">
        <f t="shared" si="187"/>
        <v>0</v>
      </c>
      <c r="AE258" s="138">
        <f t="shared" si="187"/>
        <v>0</v>
      </c>
      <c r="AF258" s="138">
        <f t="shared" si="187"/>
        <v>0</v>
      </c>
      <c r="AG258" s="2"/>
      <c r="AH258" s="2"/>
      <c r="AI258" s="5"/>
      <c r="AJ258" s="2"/>
      <c r="AK258" s="2"/>
      <c r="AL258" s="2"/>
      <c r="AM258" s="2"/>
      <c r="AN258" s="2"/>
      <c r="AO258" s="2"/>
      <c r="AP258" s="5"/>
      <c r="AQ258" s="5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5"/>
      <c r="AJ259" s="2"/>
      <c r="AK259" s="2"/>
      <c r="AL259" s="2"/>
      <c r="AM259" s="2"/>
      <c r="AN259" s="2"/>
      <c r="AO259" s="2"/>
      <c r="AP259" s="5"/>
      <c r="AQ259" s="5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5"/>
      <c r="AJ260" s="2"/>
      <c r="AK260" s="2"/>
      <c r="AL260" s="2"/>
      <c r="AM260" s="2"/>
      <c r="AN260" s="2"/>
      <c r="AO260" s="5"/>
      <c r="AP260" s="5"/>
      <c r="AQ260" s="5"/>
    </row>
    <row r="261">
      <c r="A261" s="2"/>
      <c r="B261" s="5"/>
      <c r="C261" s="2"/>
      <c r="D261" s="2"/>
      <c r="E261" s="2"/>
      <c r="F261" s="2"/>
      <c r="G261" s="2"/>
      <c r="H261" s="124" t="s">
        <v>111</v>
      </c>
      <c r="I261" s="125"/>
      <c r="J261" s="126">
        <f t="shared" ref="J261:U261" si="188">J243+30</f>
        <v>239</v>
      </c>
      <c r="K261" s="126">
        <f t="shared" si="188"/>
        <v>244</v>
      </c>
      <c r="L261" s="126">
        <f t="shared" si="188"/>
        <v>234</v>
      </c>
      <c r="M261" s="126">
        <f t="shared" si="188"/>
        <v>234</v>
      </c>
      <c r="N261" s="126">
        <f t="shared" si="188"/>
        <v>244</v>
      </c>
      <c r="O261" s="126">
        <f t="shared" si="188"/>
        <v>239</v>
      </c>
      <c r="P261" s="126">
        <f t="shared" si="188"/>
        <v>234</v>
      </c>
      <c r="Q261" s="126">
        <f t="shared" si="188"/>
        <v>244</v>
      </c>
      <c r="R261" s="126">
        <f t="shared" si="188"/>
        <v>239</v>
      </c>
      <c r="S261" s="126">
        <f t="shared" si="188"/>
        <v>234</v>
      </c>
      <c r="T261" s="126">
        <f t="shared" si="188"/>
        <v>244</v>
      </c>
      <c r="U261" s="126">
        <f t="shared" si="188"/>
        <v>234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5"/>
      <c r="AJ261" s="2"/>
      <c r="AK261" s="2"/>
      <c r="AL261" s="2"/>
      <c r="AM261" s="2"/>
      <c r="AN261" s="2"/>
      <c r="AO261" s="5"/>
      <c r="AP261" s="5"/>
      <c r="AQ261" s="5"/>
    </row>
    <row r="262">
      <c r="A262" s="2"/>
      <c r="B262" s="5"/>
      <c r="C262" s="2"/>
      <c r="D262" s="3" t="s">
        <v>116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5"/>
      <c r="AJ262" s="2"/>
      <c r="AK262" s="2"/>
      <c r="AL262" s="2"/>
      <c r="AM262" s="2"/>
      <c r="AN262" s="2"/>
      <c r="AO262" s="5"/>
      <c r="AP262" s="5"/>
      <c r="AQ262" s="5"/>
    </row>
    <row r="263">
      <c r="A263" s="2"/>
      <c r="B263" s="5"/>
      <c r="C263" s="2"/>
      <c r="D263" s="3" t="s">
        <v>113</v>
      </c>
      <c r="H263" s="136">
        <v>30.0</v>
      </c>
      <c r="I263" s="128"/>
      <c r="J263" s="137">
        <f t="shared" ref="J263:U263" si="189">if(J$261&lt;=$H$263,M$203,0)</f>
        <v>0</v>
      </c>
      <c r="K263" s="137">
        <f t="shared" si="189"/>
        <v>0</v>
      </c>
      <c r="L263" s="137">
        <f t="shared" si="189"/>
        <v>0</v>
      </c>
      <c r="M263" s="137">
        <f t="shared" si="189"/>
        <v>0</v>
      </c>
      <c r="N263" s="137">
        <f t="shared" si="189"/>
        <v>0</v>
      </c>
      <c r="O263" s="137">
        <f t="shared" si="189"/>
        <v>0</v>
      </c>
      <c r="P263" s="137">
        <f t="shared" si="189"/>
        <v>0</v>
      </c>
      <c r="Q263" s="137">
        <f t="shared" si="189"/>
        <v>0</v>
      </c>
      <c r="R263" s="137">
        <f t="shared" si="189"/>
        <v>0</v>
      </c>
      <c r="S263" s="137">
        <f t="shared" si="189"/>
        <v>0</v>
      </c>
      <c r="T263" s="137">
        <f t="shared" si="189"/>
        <v>0</v>
      </c>
      <c r="U263" s="137">
        <f t="shared" si="189"/>
        <v>0</v>
      </c>
      <c r="V263" s="130"/>
      <c r="W263" s="130"/>
      <c r="X263" s="130"/>
      <c r="Y263" s="130"/>
      <c r="Z263" s="130"/>
      <c r="AA263" s="130"/>
      <c r="AB263" s="2"/>
      <c r="AC263" s="2"/>
      <c r="AD263" s="2"/>
      <c r="AE263" s="2"/>
      <c r="AF263" s="2"/>
      <c r="AG263" s="2"/>
      <c r="AH263" s="2"/>
      <c r="AI263" s="5"/>
      <c r="AJ263" s="2"/>
      <c r="AK263" s="2"/>
      <c r="AL263" s="2"/>
      <c r="AM263" s="2"/>
      <c r="AN263" s="2"/>
      <c r="AO263" s="5"/>
      <c r="AP263" s="5"/>
      <c r="AQ263" s="5"/>
    </row>
    <row r="264">
      <c r="A264" s="2"/>
      <c r="B264" s="5"/>
      <c r="C264" s="2"/>
      <c r="D264" s="2"/>
      <c r="E264" s="2"/>
      <c r="F264" s="2"/>
      <c r="G264" s="2"/>
      <c r="H264" s="136">
        <v>60.0</v>
      </c>
      <c r="I264" s="128"/>
      <c r="J264" s="132"/>
      <c r="K264" s="137">
        <f t="shared" ref="K264:V264" si="190">if(and(J$261&gt;$H$263,J$261&lt;=$H$264),M$203,0)</f>
        <v>0</v>
      </c>
      <c r="L264" s="137">
        <f t="shared" si="190"/>
        <v>0</v>
      </c>
      <c r="M264" s="137">
        <f t="shared" si="190"/>
        <v>0</v>
      </c>
      <c r="N264" s="137">
        <f t="shared" si="190"/>
        <v>0</v>
      </c>
      <c r="O264" s="137">
        <f t="shared" si="190"/>
        <v>0</v>
      </c>
      <c r="P264" s="137">
        <f t="shared" si="190"/>
        <v>0</v>
      </c>
      <c r="Q264" s="137">
        <f t="shared" si="190"/>
        <v>0</v>
      </c>
      <c r="R264" s="137">
        <f t="shared" si="190"/>
        <v>0</v>
      </c>
      <c r="S264" s="137">
        <f t="shared" si="190"/>
        <v>0</v>
      </c>
      <c r="T264" s="137">
        <f t="shared" si="190"/>
        <v>0</v>
      </c>
      <c r="U264" s="137">
        <f t="shared" si="190"/>
        <v>0</v>
      </c>
      <c r="V264" s="137">
        <f t="shared" si="190"/>
        <v>0</v>
      </c>
      <c r="W264" s="130"/>
      <c r="X264" s="130"/>
      <c r="Y264" s="130"/>
      <c r="Z264" s="130"/>
      <c r="AA264" s="130"/>
      <c r="AB264" s="2"/>
      <c r="AC264" s="2"/>
      <c r="AD264" s="2"/>
      <c r="AE264" s="2"/>
      <c r="AF264" s="2"/>
      <c r="AG264" s="2"/>
      <c r="AH264" s="2"/>
      <c r="AI264" s="5"/>
      <c r="AJ264" s="2"/>
      <c r="AK264" s="2"/>
      <c r="AL264" s="2"/>
      <c r="AM264" s="2"/>
      <c r="AN264" s="2"/>
      <c r="AO264" s="5"/>
      <c r="AP264" s="5"/>
      <c r="AQ264" s="5"/>
    </row>
    <row r="265">
      <c r="A265" s="2"/>
      <c r="B265" s="5"/>
      <c r="C265" s="2"/>
      <c r="D265" s="2"/>
      <c r="E265" s="2"/>
      <c r="F265" s="2"/>
      <c r="G265" s="2"/>
      <c r="H265" s="136">
        <v>90.0</v>
      </c>
      <c r="I265" s="129"/>
      <c r="J265" s="132"/>
      <c r="K265" s="137"/>
      <c r="L265" s="137">
        <f t="shared" ref="L265:W265" si="191">if(and(J$261&gt;$H$264,J$261&lt;=$H$265),M$203,0)</f>
        <v>0</v>
      </c>
      <c r="M265" s="137">
        <f t="shared" si="191"/>
        <v>0</v>
      </c>
      <c r="N265" s="137">
        <f t="shared" si="191"/>
        <v>0</v>
      </c>
      <c r="O265" s="137">
        <f t="shared" si="191"/>
        <v>0</v>
      </c>
      <c r="P265" s="137">
        <f t="shared" si="191"/>
        <v>0</v>
      </c>
      <c r="Q265" s="137">
        <f t="shared" si="191"/>
        <v>0</v>
      </c>
      <c r="R265" s="137">
        <f t="shared" si="191"/>
        <v>0</v>
      </c>
      <c r="S265" s="137">
        <f t="shared" si="191"/>
        <v>0</v>
      </c>
      <c r="T265" s="137">
        <f t="shared" si="191"/>
        <v>0</v>
      </c>
      <c r="U265" s="137">
        <f t="shared" si="191"/>
        <v>0</v>
      </c>
      <c r="V265" s="137">
        <f t="shared" si="191"/>
        <v>0</v>
      </c>
      <c r="W265" s="137">
        <f t="shared" si="191"/>
        <v>0</v>
      </c>
      <c r="X265" s="130"/>
      <c r="Y265" s="130"/>
      <c r="Z265" s="130"/>
      <c r="AA265" s="130"/>
      <c r="AB265" s="2"/>
      <c r="AC265" s="2"/>
      <c r="AD265" s="2"/>
      <c r="AE265" s="2"/>
      <c r="AF265" s="2"/>
      <c r="AG265" s="2"/>
      <c r="AH265" s="2"/>
      <c r="AI265" s="5"/>
      <c r="AJ265" s="2"/>
      <c r="AK265" s="2"/>
      <c r="AL265" s="2"/>
      <c r="AM265" s="2"/>
      <c r="AN265" s="2"/>
      <c r="AO265" s="5"/>
      <c r="AP265" s="5"/>
      <c r="AQ265" s="5"/>
    </row>
    <row r="266">
      <c r="A266" s="2"/>
      <c r="B266" s="5"/>
      <c r="C266" s="2"/>
      <c r="D266" s="2"/>
      <c r="E266" s="2"/>
      <c r="F266" s="2"/>
      <c r="G266" s="2"/>
      <c r="H266" s="136">
        <v>120.0</v>
      </c>
      <c r="I266" s="129"/>
      <c r="J266" s="132"/>
      <c r="K266" s="137"/>
      <c r="L266" s="137"/>
      <c r="M266" s="137">
        <f t="shared" ref="M266:X266" si="192">if(and(J$261&gt;$H$265,J$261&lt;=$H$266),M$203,0)</f>
        <v>0</v>
      </c>
      <c r="N266" s="137">
        <f t="shared" si="192"/>
        <v>0</v>
      </c>
      <c r="O266" s="137">
        <f t="shared" si="192"/>
        <v>0</v>
      </c>
      <c r="P266" s="137">
        <f t="shared" si="192"/>
        <v>0</v>
      </c>
      <c r="Q266" s="137">
        <f t="shared" si="192"/>
        <v>0</v>
      </c>
      <c r="R266" s="137">
        <f t="shared" si="192"/>
        <v>0</v>
      </c>
      <c r="S266" s="137">
        <f t="shared" si="192"/>
        <v>0</v>
      </c>
      <c r="T266" s="137">
        <f t="shared" si="192"/>
        <v>0</v>
      </c>
      <c r="U266" s="137">
        <f t="shared" si="192"/>
        <v>0</v>
      </c>
      <c r="V266" s="137">
        <f t="shared" si="192"/>
        <v>0</v>
      </c>
      <c r="W266" s="137">
        <f t="shared" si="192"/>
        <v>0</v>
      </c>
      <c r="X266" s="137">
        <f t="shared" si="192"/>
        <v>0</v>
      </c>
      <c r="Y266" s="130"/>
      <c r="Z266" s="130"/>
      <c r="AA266" s="130"/>
      <c r="AB266" s="2"/>
      <c r="AC266" s="2"/>
      <c r="AD266" s="2"/>
      <c r="AE266" s="2"/>
      <c r="AF266" s="2"/>
      <c r="AG266" s="2"/>
      <c r="AH266" s="2"/>
      <c r="AI266" s="5"/>
      <c r="AJ266" s="2"/>
      <c r="AK266" s="2"/>
      <c r="AL266" s="2"/>
      <c r="AM266" s="2"/>
      <c r="AN266" s="2"/>
      <c r="AO266" s="5"/>
      <c r="AP266" s="5"/>
      <c r="AQ266" s="5"/>
    </row>
    <row r="267">
      <c r="A267" s="2"/>
      <c r="B267" s="5"/>
      <c r="C267" s="2"/>
      <c r="D267" s="2"/>
      <c r="E267" s="2"/>
      <c r="F267" s="2"/>
      <c r="G267" s="2"/>
      <c r="H267" s="136">
        <v>150.0</v>
      </c>
      <c r="I267" s="129"/>
      <c r="J267" s="132"/>
      <c r="K267" s="137"/>
      <c r="L267" s="137"/>
      <c r="M267" s="137"/>
      <c r="N267" s="137">
        <f t="shared" ref="N267:Y267" si="193">if(and(J$261&gt;$H$266,J$261&lt;=$H$267),M$203,0)</f>
        <v>0</v>
      </c>
      <c r="O267" s="137">
        <f t="shared" si="193"/>
        <v>0</v>
      </c>
      <c r="P267" s="137">
        <f t="shared" si="193"/>
        <v>0</v>
      </c>
      <c r="Q267" s="137">
        <f t="shared" si="193"/>
        <v>0</v>
      </c>
      <c r="R267" s="137">
        <f t="shared" si="193"/>
        <v>0</v>
      </c>
      <c r="S267" s="137">
        <f t="shared" si="193"/>
        <v>0</v>
      </c>
      <c r="T267" s="137">
        <f t="shared" si="193"/>
        <v>0</v>
      </c>
      <c r="U267" s="137">
        <f t="shared" si="193"/>
        <v>0</v>
      </c>
      <c r="V267" s="137">
        <f t="shared" si="193"/>
        <v>0</v>
      </c>
      <c r="W267" s="137">
        <f t="shared" si="193"/>
        <v>0</v>
      </c>
      <c r="X267" s="137">
        <f t="shared" si="193"/>
        <v>0</v>
      </c>
      <c r="Y267" s="137">
        <f t="shared" si="193"/>
        <v>0</v>
      </c>
      <c r="Z267" s="130"/>
      <c r="AA267" s="130"/>
      <c r="AB267" s="2"/>
      <c r="AC267" s="2"/>
      <c r="AD267" s="2"/>
      <c r="AE267" s="2"/>
      <c r="AF267" s="2"/>
      <c r="AG267" s="2"/>
      <c r="AH267" s="2"/>
      <c r="AI267" s="5"/>
      <c r="AJ267" s="2"/>
      <c r="AK267" s="2"/>
      <c r="AL267" s="2"/>
      <c r="AM267" s="2"/>
      <c r="AN267" s="2"/>
      <c r="AO267" s="5"/>
      <c r="AP267" s="5"/>
      <c r="AQ267" s="5"/>
    </row>
    <row r="268">
      <c r="A268" s="2"/>
      <c r="B268" s="5"/>
      <c r="C268" s="2"/>
      <c r="D268" s="2"/>
      <c r="E268" s="2"/>
      <c r="F268" s="2"/>
      <c r="G268" s="2"/>
      <c r="H268" s="136">
        <v>180.0</v>
      </c>
      <c r="I268" s="129"/>
      <c r="J268" s="132"/>
      <c r="K268" s="137"/>
      <c r="L268" s="137"/>
      <c r="M268" s="137"/>
      <c r="N268" s="137"/>
      <c r="O268" s="137">
        <f t="shared" ref="O268:Z268" si="194">if(and(J$261&gt;$H$267,J$261&lt;=$H$268),M$203,0)</f>
        <v>0</v>
      </c>
      <c r="P268" s="137">
        <f t="shared" si="194"/>
        <v>0</v>
      </c>
      <c r="Q268" s="137">
        <f t="shared" si="194"/>
        <v>0</v>
      </c>
      <c r="R268" s="137">
        <f t="shared" si="194"/>
        <v>0</v>
      </c>
      <c r="S268" s="137">
        <f t="shared" si="194"/>
        <v>0</v>
      </c>
      <c r="T268" s="137">
        <f t="shared" si="194"/>
        <v>0</v>
      </c>
      <c r="U268" s="137">
        <f t="shared" si="194"/>
        <v>0</v>
      </c>
      <c r="V268" s="137">
        <f t="shared" si="194"/>
        <v>0</v>
      </c>
      <c r="W268" s="137">
        <f t="shared" si="194"/>
        <v>0</v>
      </c>
      <c r="X268" s="137">
        <f t="shared" si="194"/>
        <v>0</v>
      </c>
      <c r="Y268" s="137">
        <f t="shared" si="194"/>
        <v>0</v>
      </c>
      <c r="Z268" s="137">
        <f t="shared" si="194"/>
        <v>0</v>
      </c>
      <c r="AA268" s="132"/>
      <c r="AB268" s="2"/>
      <c r="AC268" s="2"/>
      <c r="AD268" s="2"/>
      <c r="AE268" s="2"/>
      <c r="AF268" s="2"/>
      <c r="AG268" s="2"/>
      <c r="AH268" s="2"/>
      <c r="AI268" s="5"/>
      <c r="AJ268" s="2"/>
      <c r="AK268" s="2"/>
      <c r="AL268" s="2"/>
      <c r="AM268" s="2"/>
      <c r="AN268" s="2"/>
      <c r="AO268" s="5"/>
      <c r="AP268" s="5"/>
      <c r="AQ268" s="5"/>
    </row>
    <row r="269">
      <c r="A269" s="2"/>
      <c r="B269" s="5"/>
      <c r="C269" s="2"/>
      <c r="D269" s="2"/>
      <c r="E269" s="2"/>
      <c r="F269" s="2"/>
      <c r="G269" s="2"/>
      <c r="H269" s="136">
        <v>210.0</v>
      </c>
      <c r="I269" s="128"/>
      <c r="J269" s="132"/>
      <c r="K269" s="137"/>
      <c r="L269" s="137"/>
      <c r="M269" s="137"/>
      <c r="N269" s="137"/>
      <c r="O269" s="137"/>
      <c r="P269" s="137">
        <f t="shared" ref="P269:AA269" si="195">if(and(J$261&gt;$H$268,J$261&lt;=$H$269),M$203,0)</f>
        <v>0</v>
      </c>
      <c r="Q269" s="137">
        <f t="shared" si="195"/>
        <v>0</v>
      </c>
      <c r="R269" s="137">
        <f t="shared" si="195"/>
        <v>0</v>
      </c>
      <c r="S269" s="137">
        <f t="shared" si="195"/>
        <v>0</v>
      </c>
      <c r="T269" s="137">
        <f t="shared" si="195"/>
        <v>0</v>
      </c>
      <c r="U269" s="137">
        <f t="shared" si="195"/>
        <v>0</v>
      </c>
      <c r="V269" s="137">
        <f t="shared" si="195"/>
        <v>0</v>
      </c>
      <c r="W269" s="137">
        <f t="shared" si="195"/>
        <v>0</v>
      </c>
      <c r="X269" s="137">
        <f t="shared" si="195"/>
        <v>0</v>
      </c>
      <c r="Y269" s="137">
        <f t="shared" si="195"/>
        <v>0</v>
      </c>
      <c r="Z269" s="137">
        <f t="shared" si="195"/>
        <v>0</v>
      </c>
      <c r="AA269" s="137">
        <f t="shared" si="195"/>
        <v>0</v>
      </c>
      <c r="AB269" s="2"/>
      <c r="AC269" s="2"/>
      <c r="AD269" s="2"/>
      <c r="AE269" s="2"/>
      <c r="AF269" s="2"/>
      <c r="AG269" s="2"/>
      <c r="AH269" s="2"/>
      <c r="AI269" s="5"/>
      <c r="AJ269" s="2"/>
      <c r="AK269" s="2"/>
      <c r="AL269" s="2"/>
      <c r="AM269" s="2"/>
      <c r="AN269" s="2"/>
      <c r="AO269" s="5"/>
      <c r="AP269" s="5"/>
      <c r="AQ269" s="5"/>
    </row>
    <row r="270">
      <c r="A270" s="2"/>
      <c r="B270" s="5"/>
      <c r="C270" s="2"/>
      <c r="D270" s="2"/>
      <c r="E270" s="2"/>
      <c r="F270" s="2"/>
      <c r="G270" s="2"/>
      <c r="H270" s="136">
        <v>240.0</v>
      </c>
      <c r="I270" s="128"/>
      <c r="J270" s="132"/>
      <c r="K270" s="137"/>
      <c r="L270" s="137"/>
      <c r="M270" s="137"/>
      <c r="N270" s="137"/>
      <c r="O270" s="137"/>
      <c r="P270" s="137"/>
      <c r="Q270" s="138">
        <f t="shared" ref="Q270:AB270" si="196">if(and(J$261&gt;$H$269,J$261&lt;=$H$270),M$203,0)</f>
        <v>57407.646</v>
      </c>
      <c r="R270" s="137">
        <f t="shared" si="196"/>
        <v>0</v>
      </c>
      <c r="S270" s="138">
        <f t="shared" si="196"/>
        <v>51869.412</v>
      </c>
      <c r="T270" s="138">
        <f t="shared" si="196"/>
        <v>28350.732</v>
      </c>
      <c r="U270" s="137">
        <f t="shared" si="196"/>
        <v>0</v>
      </c>
      <c r="V270" s="138">
        <f t="shared" si="196"/>
        <v>54455.934</v>
      </c>
      <c r="W270" s="138">
        <f t="shared" si="196"/>
        <v>15816.39</v>
      </c>
      <c r="X270" s="137">
        <f t="shared" si="196"/>
        <v>0</v>
      </c>
      <c r="Y270" s="138">
        <f t="shared" si="196"/>
        <v>42745.878</v>
      </c>
      <c r="Z270" s="138">
        <f t="shared" si="196"/>
        <v>17978.226</v>
      </c>
      <c r="AA270" s="137">
        <f t="shared" si="196"/>
        <v>0</v>
      </c>
      <c r="AB270" s="138">
        <f t="shared" si="196"/>
        <v>7159.5</v>
      </c>
      <c r="AC270" s="2"/>
      <c r="AD270" s="2"/>
      <c r="AE270" s="2"/>
      <c r="AF270" s="2"/>
      <c r="AG270" s="2"/>
      <c r="AH270" s="2"/>
      <c r="AI270" s="5"/>
      <c r="AJ270" s="2"/>
      <c r="AK270" s="2"/>
      <c r="AL270" s="2"/>
      <c r="AM270" s="2"/>
      <c r="AN270" s="2"/>
      <c r="AO270" s="5"/>
      <c r="AP270" s="5"/>
      <c r="AQ270" s="5"/>
    </row>
    <row r="271">
      <c r="A271" s="2"/>
      <c r="B271" s="5"/>
      <c r="C271" s="2"/>
      <c r="D271" s="2"/>
      <c r="E271" s="2"/>
      <c r="F271" s="2"/>
      <c r="G271" s="2"/>
      <c r="H271" s="136">
        <v>270.0</v>
      </c>
      <c r="I271" s="128"/>
      <c r="J271" s="132"/>
      <c r="K271" s="137"/>
      <c r="L271" s="137"/>
      <c r="M271" s="137"/>
      <c r="N271" s="137"/>
      <c r="O271" s="137"/>
      <c r="P271" s="137"/>
      <c r="Q271" s="137"/>
      <c r="R271" s="137">
        <f t="shared" ref="R271:AC271" si="197">if(and(J$261&gt;$H$270,J$261&lt;=$H$271),M$203,0)</f>
        <v>0</v>
      </c>
      <c r="S271" s="138">
        <f t="shared" si="197"/>
        <v>20923.278</v>
      </c>
      <c r="T271" s="137">
        <f t="shared" si="197"/>
        <v>0</v>
      </c>
      <c r="U271" s="137">
        <f t="shared" si="197"/>
        <v>0</v>
      </c>
      <c r="V271" s="138">
        <f t="shared" si="197"/>
        <v>43899.834</v>
      </c>
      <c r="W271" s="137">
        <f t="shared" si="197"/>
        <v>0</v>
      </c>
      <c r="X271" s="137">
        <f t="shared" si="197"/>
        <v>0</v>
      </c>
      <c r="Y271" s="138">
        <f t="shared" si="197"/>
        <v>15901.194</v>
      </c>
      <c r="Z271" s="137">
        <f t="shared" si="197"/>
        <v>0</v>
      </c>
      <c r="AA271" s="137">
        <f t="shared" si="197"/>
        <v>0</v>
      </c>
      <c r="AB271" s="138">
        <f t="shared" si="197"/>
        <v>18729.474</v>
      </c>
      <c r="AC271" s="137">
        <f t="shared" si="197"/>
        <v>0</v>
      </c>
      <c r="AD271" s="2"/>
      <c r="AE271" s="2"/>
      <c r="AF271" s="2"/>
      <c r="AG271" s="2"/>
      <c r="AH271" s="2"/>
      <c r="AI271" s="5"/>
      <c r="AJ271" s="2"/>
      <c r="AK271" s="2"/>
      <c r="AL271" s="2"/>
      <c r="AM271" s="2"/>
      <c r="AN271" s="2"/>
      <c r="AO271" s="5"/>
      <c r="AP271" s="5"/>
      <c r="AQ271" s="5"/>
    </row>
    <row r="272">
      <c r="A272" s="2"/>
      <c r="B272" s="5"/>
      <c r="C272" s="2"/>
      <c r="D272" s="2"/>
      <c r="E272" s="2"/>
      <c r="F272" s="2"/>
      <c r="G272" s="2"/>
      <c r="H272" s="136">
        <v>300.0</v>
      </c>
      <c r="I272" s="128"/>
      <c r="J272" s="132"/>
      <c r="K272" s="137"/>
      <c r="L272" s="137"/>
      <c r="M272" s="137"/>
      <c r="N272" s="137"/>
      <c r="O272" s="137"/>
      <c r="P272" s="137"/>
      <c r="Q272" s="137"/>
      <c r="R272" s="137"/>
      <c r="S272" s="137">
        <f t="shared" ref="S272:AD272" si="198">if(and(J$261&gt;$H$271,J$261&lt;=$H$272),M$203,0)</f>
        <v>0</v>
      </c>
      <c r="T272" s="137">
        <f t="shared" si="198"/>
        <v>0</v>
      </c>
      <c r="U272" s="137">
        <f t="shared" si="198"/>
        <v>0</v>
      </c>
      <c r="V272" s="137">
        <f t="shared" si="198"/>
        <v>0</v>
      </c>
      <c r="W272" s="137">
        <f t="shared" si="198"/>
        <v>0</v>
      </c>
      <c r="X272" s="137">
        <f t="shared" si="198"/>
        <v>0</v>
      </c>
      <c r="Y272" s="137">
        <f t="shared" si="198"/>
        <v>0</v>
      </c>
      <c r="Z272" s="137">
        <f t="shared" si="198"/>
        <v>0</v>
      </c>
      <c r="AA272" s="137">
        <f t="shared" si="198"/>
        <v>0</v>
      </c>
      <c r="AB272" s="137">
        <f t="shared" si="198"/>
        <v>0</v>
      </c>
      <c r="AC272" s="137">
        <f t="shared" si="198"/>
        <v>0</v>
      </c>
      <c r="AD272" s="137">
        <f t="shared" si="198"/>
        <v>0</v>
      </c>
      <c r="AE272" s="2"/>
      <c r="AF272" s="2"/>
      <c r="AG272" s="2"/>
      <c r="AH272" s="2"/>
      <c r="AI272" s="5"/>
      <c r="AJ272" s="2"/>
      <c r="AK272" s="2"/>
      <c r="AL272" s="2"/>
      <c r="AM272" s="2"/>
      <c r="AN272" s="2"/>
      <c r="AO272" s="5"/>
      <c r="AP272" s="5"/>
      <c r="AQ272" s="5"/>
    </row>
    <row r="273">
      <c r="A273" s="2"/>
      <c r="B273" s="5"/>
      <c r="C273" s="2"/>
      <c r="D273" s="2"/>
      <c r="E273" s="2"/>
      <c r="F273" s="2"/>
      <c r="G273" s="2"/>
      <c r="H273" s="136">
        <v>330.0</v>
      </c>
      <c r="I273" s="128"/>
      <c r="J273" s="132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>
        <f t="shared" ref="T273:AE273" si="199">if(and(J$261&gt;$H$272,J$261&lt;=$H$273),M$203,0)</f>
        <v>0</v>
      </c>
      <c r="U273" s="137">
        <f t="shared" si="199"/>
        <v>0</v>
      </c>
      <c r="V273" s="137">
        <f t="shared" si="199"/>
        <v>0</v>
      </c>
      <c r="W273" s="137">
        <f t="shared" si="199"/>
        <v>0</v>
      </c>
      <c r="X273" s="137">
        <f t="shared" si="199"/>
        <v>0</v>
      </c>
      <c r="Y273" s="137">
        <f t="shared" si="199"/>
        <v>0</v>
      </c>
      <c r="Z273" s="137">
        <f t="shared" si="199"/>
        <v>0</v>
      </c>
      <c r="AA273" s="137">
        <f t="shared" si="199"/>
        <v>0</v>
      </c>
      <c r="AB273" s="137">
        <f t="shared" si="199"/>
        <v>0</v>
      </c>
      <c r="AC273" s="137">
        <f t="shared" si="199"/>
        <v>0</v>
      </c>
      <c r="AD273" s="137">
        <f t="shared" si="199"/>
        <v>0</v>
      </c>
      <c r="AE273" s="137">
        <f t="shared" si="199"/>
        <v>0</v>
      </c>
      <c r="AF273" s="2"/>
      <c r="AG273" s="2"/>
      <c r="AH273" s="2"/>
      <c r="AI273" s="5"/>
      <c r="AJ273" s="2"/>
      <c r="AK273" s="2"/>
      <c r="AL273" s="2"/>
      <c r="AM273" s="2"/>
      <c r="AN273" s="2"/>
      <c r="AO273" s="5"/>
      <c r="AP273" s="5"/>
      <c r="AQ273" s="5"/>
    </row>
    <row r="274">
      <c r="A274" s="2"/>
      <c r="B274" s="5"/>
      <c r="C274" s="2"/>
      <c r="D274" s="2"/>
      <c r="E274" s="2"/>
      <c r="F274" s="2"/>
      <c r="G274" s="2"/>
      <c r="H274" s="136">
        <v>360.0</v>
      </c>
      <c r="I274" s="128"/>
      <c r="J274" s="132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>
        <f t="shared" ref="U274:AF274" si="200">if(and(J$261&gt;$H$273,J$261&lt;=$H$274),M$203,0)</f>
        <v>0</v>
      </c>
      <c r="V274" s="137">
        <f t="shared" si="200"/>
        <v>0</v>
      </c>
      <c r="W274" s="137">
        <f t="shared" si="200"/>
        <v>0</v>
      </c>
      <c r="X274" s="137">
        <f t="shared" si="200"/>
        <v>0</v>
      </c>
      <c r="Y274" s="137">
        <f t="shared" si="200"/>
        <v>0</v>
      </c>
      <c r="Z274" s="137">
        <f t="shared" si="200"/>
        <v>0</v>
      </c>
      <c r="AA274" s="137">
        <f t="shared" si="200"/>
        <v>0</v>
      </c>
      <c r="AB274" s="137">
        <f t="shared" si="200"/>
        <v>0</v>
      </c>
      <c r="AC274" s="137">
        <f t="shared" si="200"/>
        <v>0</v>
      </c>
      <c r="AD274" s="137">
        <f t="shared" si="200"/>
        <v>0</v>
      </c>
      <c r="AE274" s="137">
        <f t="shared" si="200"/>
        <v>0</v>
      </c>
      <c r="AF274" s="137">
        <f t="shared" si="200"/>
        <v>0</v>
      </c>
      <c r="AG274" s="2"/>
      <c r="AH274" s="2"/>
      <c r="AI274" s="5"/>
      <c r="AJ274" s="2"/>
      <c r="AK274" s="2"/>
      <c r="AL274" s="2"/>
      <c r="AM274" s="2"/>
      <c r="AN274" s="2"/>
      <c r="AO274" s="5"/>
      <c r="AP274" s="5"/>
      <c r="AQ274" s="5"/>
    </row>
    <row r="275">
      <c r="A275" s="2"/>
      <c r="B275" s="5"/>
      <c r="C275" s="2"/>
      <c r="D275" s="2"/>
      <c r="E275" s="2"/>
      <c r="F275" s="2"/>
      <c r="G275" s="2"/>
      <c r="H275" s="128"/>
      <c r="I275" s="128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0"/>
      <c r="W275" s="130"/>
      <c r="X275" s="130"/>
      <c r="Y275" s="130"/>
      <c r="Z275" s="130"/>
      <c r="AA275" s="130"/>
      <c r="AB275" s="2"/>
      <c r="AC275" s="2"/>
      <c r="AD275" s="2"/>
      <c r="AE275" s="2"/>
      <c r="AF275" s="2"/>
      <c r="AG275" s="2"/>
      <c r="AH275" s="2"/>
      <c r="AI275" s="5"/>
      <c r="AJ275" s="2"/>
      <c r="AK275" s="2"/>
      <c r="AL275" s="2"/>
      <c r="AM275" s="2"/>
      <c r="AN275" s="2"/>
      <c r="AO275" s="5"/>
      <c r="AP275" s="5"/>
      <c r="AQ275" s="5"/>
    </row>
    <row r="276">
      <c r="A276" s="2"/>
      <c r="B276" s="5"/>
      <c r="C276" s="2"/>
      <c r="D276" s="2"/>
      <c r="E276" s="2"/>
      <c r="F276" s="2"/>
      <c r="G276" s="2"/>
      <c r="H276" s="139"/>
      <c r="I276" s="139"/>
      <c r="J276" s="138">
        <f t="shared" ref="J276:AF276" si="201">sum(J263:J274)</f>
        <v>0</v>
      </c>
      <c r="K276" s="138">
        <f t="shared" si="201"/>
        <v>0</v>
      </c>
      <c r="L276" s="138">
        <f t="shared" si="201"/>
        <v>0</v>
      </c>
      <c r="M276" s="138">
        <f t="shared" si="201"/>
        <v>0</v>
      </c>
      <c r="N276" s="138">
        <f t="shared" si="201"/>
        <v>0</v>
      </c>
      <c r="O276" s="138">
        <f t="shared" si="201"/>
        <v>0</v>
      </c>
      <c r="P276" s="138">
        <f t="shared" si="201"/>
        <v>0</v>
      </c>
      <c r="Q276" s="138">
        <f t="shared" si="201"/>
        <v>57407.646</v>
      </c>
      <c r="R276" s="138">
        <f t="shared" si="201"/>
        <v>0</v>
      </c>
      <c r="S276" s="138">
        <f t="shared" si="201"/>
        <v>72792.69</v>
      </c>
      <c r="T276" s="138">
        <f t="shared" si="201"/>
        <v>28350.732</v>
      </c>
      <c r="U276" s="138">
        <f t="shared" si="201"/>
        <v>0</v>
      </c>
      <c r="V276" s="138">
        <f t="shared" si="201"/>
        <v>98355.768</v>
      </c>
      <c r="W276" s="138">
        <f t="shared" si="201"/>
        <v>15816.39</v>
      </c>
      <c r="X276" s="138">
        <f t="shared" si="201"/>
        <v>0</v>
      </c>
      <c r="Y276" s="138">
        <f t="shared" si="201"/>
        <v>58647.072</v>
      </c>
      <c r="Z276" s="138">
        <f t="shared" si="201"/>
        <v>17978.226</v>
      </c>
      <c r="AA276" s="138">
        <f t="shared" si="201"/>
        <v>0</v>
      </c>
      <c r="AB276" s="138">
        <f t="shared" si="201"/>
        <v>25888.974</v>
      </c>
      <c r="AC276" s="138">
        <f t="shared" si="201"/>
        <v>0</v>
      </c>
      <c r="AD276" s="138">
        <f t="shared" si="201"/>
        <v>0</v>
      </c>
      <c r="AE276" s="138">
        <f t="shared" si="201"/>
        <v>0</v>
      </c>
      <c r="AF276" s="138">
        <f t="shared" si="201"/>
        <v>0</v>
      </c>
      <c r="AG276" s="2"/>
      <c r="AH276" s="2"/>
      <c r="AI276" s="5"/>
      <c r="AJ276" s="2"/>
      <c r="AK276" s="2"/>
      <c r="AL276" s="2"/>
      <c r="AM276" s="2"/>
      <c r="AN276" s="2"/>
      <c r="AO276" s="5"/>
      <c r="AP276" s="5"/>
      <c r="AQ276" s="5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5"/>
      <c r="AJ277" s="2"/>
      <c r="AK277" s="2"/>
      <c r="AL277" s="2"/>
      <c r="AM277" s="2"/>
      <c r="AN277" s="2"/>
      <c r="AO277" s="5"/>
      <c r="AP277" s="5"/>
      <c r="AQ277" s="5"/>
    </row>
    <row r="278">
      <c r="A278" s="2"/>
      <c r="B278" s="5"/>
      <c r="C278" s="2"/>
      <c r="D278" s="3" t="s">
        <v>117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5"/>
      <c r="AJ278" s="2"/>
      <c r="AK278" s="2"/>
      <c r="AL278" s="2"/>
      <c r="AM278" s="2"/>
      <c r="AN278" s="2"/>
      <c r="AO278" s="5"/>
      <c r="AP278" s="5"/>
      <c r="AQ278" s="5"/>
    </row>
    <row r="279">
      <c r="A279" s="2"/>
      <c r="B279" s="5"/>
      <c r="C279" s="2"/>
      <c r="D279" s="3" t="s">
        <v>118</v>
      </c>
      <c r="E279" s="2"/>
      <c r="F279" s="2"/>
      <c r="G279" s="2"/>
      <c r="H279" s="2"/>
      <c r="I279" s="2"/>
      <c r="J279" s="3" t="s">
        <v>33</v>
      </c>
      <c r="K279" s="3" t="s">
        <v>34</v>
      </c>
      <c r="L279" s="3" t="s">
        <v>35</v>
      </c>
      <c r="M279" s="3" t="s">
        <v>36</v>
      </c>
      <c r="N279" s="3" t="s">
        <v>37</v>
      </c>
      <c r="O279" s="3" t="s">
        <v>38</v>
      </c>
      <c r="P279" s="3" t="s">
        <v>39</v>
      </c>
      <c r="Q279" s="3" t="s">
        <v>40</v>
      </c>
      <c r="R279" s="3" t="s">
        <v>41</v>
      </c>
      <c r="S279" s="3" t="s">
        <v>42</v>
      </c>
      <c r="T279" s="3" t="s">
        <v>43</v>
      </c>
      <c r="U279" s="3" t="s">
        <v>44</v>
      </c>
      <c r="V279" s="3" t="s">
        <v>33</v>
      </c>
      <c r="W279" s="3" t="s">
        <v>34</v>
      </c>
      <c r="X279" s="3" t="s">
        <v>35</v>
      </c>
      <c r="Y279" s="3" t="s">
        <v>36</v>
      </c>
      <c r="Z279" s="3" t="s">
        <v>37</v>
      </c>
      <c r="AA279" s="3" t="s">
        <v>38</v>
      </c>
      <c r="AB279" s="3" t="s">
        <v>39</v>
      </c>
      <c r="AC279" s="3" t="s">
        <v>40</v>
      </c>
      <c r="AD279" s="3" t="s">
        <v>41</v>
      </c>
      <c r="AE279" s="3" t="s">
        <v>42</v>
      </c>
      <c r="AF279" s="3" t="s">
        <v>43</v>
      </c>
      <c r="AG279" s="2"/>
      <c r="AH279" s="2"/>
      <c r="AI279" s="5"/>
      <c r="AJ279" s="2"/>
      <c r="AK279" s="2"/>
      <c r="AL279" s="2"/>
      <c r="AM279" s="2"/>
      <c r="AN279" s="2"/>
      <c r="AO279" s="5"/>
      <c r="AP279" s="5"/>
      <c r="AQ279" s="5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5"/>
      <c r="AJ280" s="2"/>
      <c r="AK280" s="2"/>
      <c r="AL280" s="2"/>
      <c r="AM280" s="2"/>
      <c r="AN280" s="2"/>
      <c r="AO280" s="5"/>
      <c r="AP280" s="5"/>
      <c r="AQ280" s="5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39">
        <f t="shared" ref="J281:AF281" si="202">J276+J258+J240+J222</f>
        <v>0</v>
      </c>
      <c r="K281" s="39">
        <f t="shared" si="202"/>
        <v>0</v>
      </c>
      <c r="L281" s="39">
        <f t="shared" si="202"/>
        <v>0</v>
      </c>
      <c r="M281" s="39">
        <f t="shared" si="202"/>
        <v>0</v>
      </c>
      <c r="N281" s="39">
        <f t="shared" si="202"/>
        <v>43020.75</v>
      </c>
      <c r="O281" s="39">
        <f t="shared" si="202"/>
        <v>92034.765</v>
      </c>
      <c r="P281" s="39">
        <f t="shared" si="202"/>
        <v>142143.546</v>
      </c>
      <c r="Q281" s="39">
        <f t="shared" si="202"/>
        <v>191624.976</v>
      </c>
      <c r="R281" s="39">
        <f t="shared" si="202"/>
        <v>151819.497</v>
      </c>
      <c r="S281" s="39">
        <f t="shared" si="202"/>
        <v>197542.74</v>
      </c>
      <c r="T281" s="39">
        <f t="shared" si="202"/>
        <v>193961.952</v>
      </c>
      <c r="U281" s="39">
        <f t="shared" si="202"/>
        <v>164679.489</v>
      </c>
      <c r="V281" s="39">
        <f t="shared" si="202"/>
        <v>167065.131</v>
      </c>
      <c r="W281" s="39">
        <f t="shared" si="202"/>
        <v>122129.085</v>
      </c>
      <c r="X281" s="39">
        <f t="shared" si="202"/>
        <v>108282.105</v>
      </c>
      <c r="Y281" s="39">
        <f t="shared" si="202"/>
        <v>96625.818</v>
      </c>
      <c r="Z281" s="39">
        <f t="shared" si="202"/>
        <v>60221.211</v>
      </c>
      <c r="AA281" s="39">
        <f t="shared" si="202"/>
        <v>40829.544</v>
      </c>
      <c r="AB281" s="39">
        <f t="shared" si="202"/>
        <v>25888.974</v>
      </c>
      <c r="AC281" s="39">
        <f t="shared" si="202"/>
        <v>0</v>
      </c>
      <c r="AD281" s="39">
        <f t="shared" si="202"/>
        <v>0</v>
      </c>
      <c r="AE281" s="39">
        <f t="shared" si="202"/>
        <v>0</v>
      </c>
      <c r="AF281" s="39">
        <f t="shared" si="202"/>
        <v>0</v>
      </c>
      <c r="AG281" s="2"/>
      <c r="AH281" s="2"/>
      <c r="AI281" s="5"/>
      <c r="AJ281" s="2"/>
      <c r="AK281" s="2"/>
      <c r="AL281" s="2"/>
      <c r="AM281" s="2"/>
      <c r="AN281" s="2"/>
      <c r="AO281" s="5"/>
      <c r="AP281" s="5"/>
      <c r="AQ281" s="5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5"/>
      <c r="AJ282" s="2"/>
      <c r="AK282" s="2"/>
      <c r="AL282" s="2"/>
      <c r="AM282" s="2"/>
      <c r="AN282" s="2"/>
      <c r="AO282" s="5"/>
      <c r="AP282" s="5"/>
      <c r="AQ282" s="5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5"/>
      <c r="AJ283" s="2"/>
      <c r="AK283" s="2"/>
      <c r="AL283" s="2"/>
      <c r="AM283" s="2"/>
      <c r="AN283" s="2"/>
      <c r="AO283" s="5"/>
      <c r="AP283" s="5"/>
      <c r="AQ283" s="5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5"/>
      <c r="AJ284" s="2"/>
      <c r="AK284" s="2"/>
      <c r="AL284" s="2"/>
      <c r="AM284" s="2"/>
      <c r="AN284" s="2"/>
      <c r="AO284" s="5"/>
      <c r="AP284" s="5"/>
      <c r="AQ284" s="5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5"/>
      <c r="AJ285" s="2"/>
      <c r="AK285" s="2"/>
      <c r="AL285" s="2"/>
      <c r="AM285" s="2"/>
      <c r="AN285" s="2"/>
      <c r="AO285" s="5"/>
      <c r="AP285" s="5"/>
      <c r="AQ285" s="5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5"/>
      <c r="AJ286" s="2"/>
      <c r="AK286" s="2"/>
      <c r="AL286" s="2"/>
      <c r="AM286" s="2"/>
      <c r="AN286" s="2"/>
      <c r="AO286" s="5"/>
      <c r="AP286" s="5"/>
      <c r="AQ286" s="5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5"/>
      <c r="AJ287" s="2"/>
      <c r="AK287" s="2"/>
      <c r="AL287" s="2"/>
      <c r="AM287" s="2"/>
      <c r="AN287" s="2"/>
      <c r="AO287" s="5"/>
      <c r="AP287" s="5"/>
      <c r="AQ287" s="5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5"/>
      <c r="AJ288" s="2"/>
      <c r="AK288" s="2"/>
      <c r="AL288" s="2"/>
      <c r="AM288" s="2"/>
      <c r="AN288" s="2"/>
      <c r="AO288" s="5"/>
      <c r="AP288" s="5"/>
      <c r="AQ288" s="5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5"/>
      <c r="AJ289" s="2"/>
      <c r="AK289" s="2"/>
      <c r="AL289" s="2"/>
      <c r="AM289" s="2"/>
      <c r="AN289" s="2"/>
      <c r="AO289" s="5"/>
      <c r="AP289" s="5"/>
      <c r="AQ289" s="5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5"/>
      <c r="AJ290" s="2"/>
      <c r="AK290" s="2"/>
      <c r="AL290" s="2"/>
      <c r="AM290" s="2"/>
      <c r="AN290" s="2"/>
      <c r="AO290" s="5"/>
      <c r="AP290" s="5"/>
      <c r="AQ290" s="5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5"/>
      <c r="AJ291" s="2"/>
      <c r="AK291" s="2"/>
      <c r="AL291" s="2"/>
      <c r="AM291" s="2"/>
      <c r="AN291" s="2"/>
      <c r="AO291" s="5"/>
      <c r="AP291" s="5"/>
      <c r="AQ291" s="5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5"/>
      <c r="AJ292" s="2"/>
      <c r="AK292" s="2"/>
      <c r="AL292" s="2"/>
      <c r="AM292" s="2"/>
      <c r="AN292" s="2"/>
      <c r="AO292" s="5"/>
      <c r="AP292" s="5"/>
      <c r="AQ292" s="5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5"/>
      <c r="AJ293" s="2"/>
      <c r="AK293" s="2"/>
      <c r="AL293" s="2"/>
      <c r="AM293" s="2"/>
      <c r="AN293" s="2"/>
      <c r="AO293" s="5"/>
      <c r="AP293" s="5"/>
      <c r="AQ293" s="5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5"/>
      <c r="AJ294" s="2"/>
      <c r="AK294" s="2"/>
      <c r="AL294" s="2"/>
      <c r="AM294" s="2"/>
      <c r="AN294" s="2"/>
      <c r="AO294" s="5"/>
      <c r="AP294" s="5"/>
      <c r="AQ294" s="5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5"/>
      <c r="AJ295" s="2"/>
      <c r="AK295" s="2"/>
      <c r="AL295" s="2"/>
      <c r="AM295" s="2"/>
      <c r="AN295" s="2"/>
      <c r="AO295" s="5"/>
      <c r="AP295" s="5"/>
      <c r="AQ295" s="5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5"/>
      <c r="AJ296" s="2"/>
      <c r="AK296" s="2"/>
      <c r="AL296" s="2"/>
      <c r="AM296" s="2"/>
      <c r="AN296" s="2"/>
      <c r="AO296" s="5"/>
      <c r="AP296" s="5"/>
      <c r="AQ296" s="5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5"/>
      <c r="AJ297" s="2"/>
      <c r="AK297" s="2"/>
      <c r="AL297" s="2"/>
      <c r="AM297" s="2"/>
      <c r="AN297" s="2"/>
      <c r="AO297" s="5"/>
      <c r="AP297" s="5"/>
      <c r="AQ297" s="5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5"/>
      <c r="AJ298" s="2"/>
      <c r="AK298" s="2"/>
      <c r="AL298" s="2"/>
      <c r="AM298" s="2"/>
      <c r="AN298" s="2"/>
      <c r="AO298" s="5"/>
      <c r="AP298" s="5"/>
      <c r="AQ298" s="5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5"/>
      <c r="AJ299" s="2"/>
      <c r="AK299" s="2"/>
      <c r="AL299" s="2"/>
      <c r="AM299" s="2"/>
      <c r="AN299" s="2"/>
      <c r="AO299" s="5"/>
      <c r="AP299" s="5"/>
      <c r="AQ299" s="5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5"/>
      <c r="AJ300" s="2"/>
      <c r="AK300" s="2"/>
      <c r="AL300" s="2"/>
      <c r="AM300" s="2"/>
      <c r="AN300" s="2"/>
      <c r="AO300" s="5"/>
      <c r="AP300" s="5"/>
      <c r="AQ300" s="5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5"/>
      <c r="AJ301" s="2"/>
      <c r="AK301" s="2"/>
      <c r="AL301" s="2"/>
      <c r="AM301" s="2"/>
      <c r="AN301" s="2"/>
      <c r="AO301" s="5"/>
      <c r="AP301" s="5"/>
      <c r="AQ301" s="5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5"/>
      <c r="AJ302" s="2"/>
      <c r="AK302" s="2"/>
      <c r="AL302" s="2"/>
      <c r="AM302" s="2"/>
      <c r="AN302" s="2"/>
      <c r="AO302" s="5"/>
      <c r="AP302" s="5"/>
      <c r="AQ302" s="5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5"/>
      <c r="AJ303" s="2"/>
      <c r="AK303" s="2"/>
      <c r="AL303" s="2"/>
      <c r="AM303" s="2"/>
      <c r="AN303" s="2"/>
      <c r="AO303" s="5"/>
      <c r="AP303" s="5"/>
      <c r="AQ303" s="5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5"/>
      <c r="AJ304" s="2"/>
      <c r="AK304" s="2"/>
      <c r="AL304" s="2"/>
      <c r="AM304" s="2"/>
      <c r="AN304" s="2"/>
      <c r="AO304" s="5"/>
      <c r="AP304" s="5"/>
      <c r="AQ304" s="5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5"/>
      <c r="AJ305" s="2"/>
      <c r="AK305" s="2"/>
      <c r="AL305" s="2"/>
      <c r="AM305" s="2"/>
      <c r="AN305" s="2"/>
      <c r="AO305" s="5"/>
      <c r="AP305" s="5"/>
      <c r="AQ305" s="5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5"/>
      <c r="AJ306" s="2"/>
      <c r="AK306" s="2"/>
      <c r="AL306" s="2"/>
      <c r="AM306" s="2"/>
      <c r="AN306" s="2"/>
      <c r="AO306" s="5"/>
      <c r="AP306" s="5"/>
      <c r="AQ306" s="5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5"/>
      <c r="AJ307" s="2"/>
      <c r="AK307" s="2"/>
      <c r="AL307" s="2"/>
      <c r="AM307" s="2"/>
      <c r="AN307" s="2"/>
      <c r="AO307" s="5"/>
      <c r="AP307" s="5"/>
      <c r="AQ307" s="5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5"/>
      <c r="AJ308" s="2"/>
      <c r="AK308" s="2"/>
      <c r="AL308" s="2"/>
      <c r="AM308" s="2"/>
      <c r="AN308" s="2"/>
      <c r="AO308" s="5"/>
      <c r="AP308" s="5"/>
      <c r="AQ308" s="5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5"/>
      <c r="AJ309" s="2"/>
      <c r="AK309" s="2"/>
      <c r="AL309" s="2"/>
      <c r="AM309" s="2"/>
      <c r="AN309" s="2"/>
      <c r="AO309" s="5"/>
      <c r="AP309" s="5"/>
      <c r="AQ309" s="5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5"/>
      <c r="AJ310" s="2"/>
      <c r="AK310" s="2"/>
      <c r="AL310" s="2"/>
      <c r="AM310" s="2"/>
      <c r="AN310" s="2"/>
      <c r="AO310" s="5"/>
      <c r="AP310" s="5"/>
      <c r="AQ310" s="5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5"/>
      <c r="AJ311" s="2"/>
      <c r="AK311" s="2"/>
      <c r="AL311" s="2"/>
      <c r="AM311" s="2"/>
      <c r="AN311" s="2"/>
      <c r="AO311" s="5"/>
      <c r="AP311" s="5"/>
      <c r="AQ311" s="5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5"/>
      <c r="AJ312" s="2"/>
      <c r="AK312" s="2"/>
      <c r="AL312" s="2"/>
      <c r="AM312" s="2"/>
      <c r="AN312" s="2"/>
      <c r="AO312" s="5"/>
      <c r="AP312" s="5"/>
      <c r="AQ312" s="5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5"/>
      <c r="AJ313" s="2"/>
      <c r="AK313" s="2"/>
      <c r="AL313" s="2"/>
      <c r="AM313" s="2"/>
      <c r="AN313" s="2"/>
      <c r="AO313" s="5"/>
      <c r="AP313" s="5"/>
      <c r="AQ313" s="5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5"/>
      <c r="AJ314" s="2"/>
      <c r="AK314" s="2"/>
      <c r="AL314" s="2"/>
      <c r="AM314" s="2"/>
      <c r="AN314" s="2"/>
      <c r="AO314" s="5"/>
      <c r="AP314" s="5"/>
      <c r="AQ314" s="5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5"/>
      <c r="AJ315" s="2"/>
      <c r="AK315" s="2"/>
      <c r="AL315" s="2"/>
      <c r="AM315" s="2"/>
      <c r="AN315" s="2"/>
      <c r="AO315" s="5"/>
      <c r="AP315" s="5"/>
      <c r="AQ315" s="5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5"/>
      <c r="AJ316" s="2"/>
      <c r="AK316" s="2"/>
      <c r="AL316" s="2"/>
      <c r="AM316" s="2"/>
      <c r="AN316" s="2"/>
      <c r="AO316" s="5"/>
      <c r="AP316" s="5"/>
      <c r="AQ316" s="5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5"/>
      <c r="AJ317" s="2"/>
      <c r="AK317" s="2"/>
      <c r="AL317" s="2"/>
      <c r="AM317" s="2"/>
      <c r="AN317" s="2"/>
      <c r="AO317" s="5"/>
      <c r="AP317" s="5"/>
      <c r="AQ317" s="5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5"/>
      <c r="AJ318" s="2"/>
      <c r="AK318" s="2"/>
      <c r="AL318" s="2"/>
      <c r="AM318" s="2"/>
      <c r="AN318" s="2"/>
      <c r="AO318" s="5"/>
      <c r="AP318" s="5"/>
      <c r="AQ318" s="5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5"/>
      <c r="AJ319" s="2"/>
      <c r="AK319" s="2"/>
      <c r="AL319" s="2"/>
      <c r="AM319" s="2"/>
      <c r="AN319" s="2"/>
      <c r="AO319" s="5"/>
      <c r="AP319" s="5"/>
      <c r="AQ319" s="5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5"/>
      <c r="AJ320" s="2"/>
      <c r="AK320" s="2"/>
      <c r="AL320" s="2"/>
      <c r="AM320" s="2"/>
      <c r="AN320" s="2"/>
      <c r="AO320" s="5"/>
      <c r="AP320" s="5"/>
      <c r="AQ320" s="5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5"/>
      <c r="AJ321" s="2"/>
      <c r="AK321" s="2"/>
      <c r="AL321" s="2"/>
      <c r="AM321" s="2"/>
      <c r="AN321" s="2"/>
      <c r="AO321" s="5"/>
      <c r="AP321" s="5"/>
      <c r="AQ321" s="5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5"/>
      <c r="AJ322" s="2"/>
      <c r="AK322" s="2"/>
      <c r="AL322" s="2"/>
      <c r="AM322" s="2"/>
      <c r="AN322" s="2"/>
      <c r="AO322" s="5"/>
      <c r="AP322" s="5"/>
      <c r="AQ322" s="5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5"/>
      <c r="AJ323" s="2"/>
      <c r="AK323" s="2"/>
      <c r="AL323" s="2"/>
      <c r="AM323" s="2"/>
      <c r="AN323" s="2"/>
      <c r="AO323" s="5"/>
      <c r="AP323" s="5"/>
      <c r="AQ323" s="5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5"/>
      <c r="AJ324" s="2"/>
      <c r="AK324" s="2"/>
      <c r="AL324" s="2"/>
      <c r="AM324" s="2"/>
      <c r="AN324" s="2"/>
      <c r="AO324" s="5"/>
      <c r="AP324" s="5"/>
      <c r="AQ324" s="5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5"/>
      <c r="AJ325" s="2"/>
      <c r="AK325" s="2"/>
      <c r="AL325" s="2"/>
      <c r="AM325" s="2"/>
      <c r="AN325" s="2"/>
      <c r="AO325" s="5"/>
      <c r="AP325" s="5"/>
      <c r="AQ325" s="5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5"/>
      <c r="AJ326" s="2"/>
      <c r="AK326" s="2"/>
      <c r="AL326" s="2"/>
      <c r="AM326" s="2"/>
      <c r="AN326" s="2"/>
      <c r="AO326" s="5"/>
      <c r="AP326" s="5"/>
      <c r="AQ326" s="5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5"/>
      <c r="AJ327" s="2"/>
      <c r="AK327" s="2"/>
      <c r="AL327" s="2"/>
      <c r="AM327" s="2"/>
      <c r="AN327" s="2"/>
      <c r="AO327" s="5"/>
      <c r="AP327" s="5"/>
      <c r="AQ327" s="5"/>
    </row>
    <row r="328">
      <c r="A328" s="2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5"/>
      <c r="W328" s="7"/>
      <c r="X328" s="7"/>
      <c r="Y328" s="7"/>
      <c r="Z328" s="5"/>
      <c r="AA328" s="7"/>
      <c r="AB328" s="7"/>
      <c r="AC328" s="7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5"/>
      <c r="W329" s="7"/>
      <c r="X329" s="7"/>
      <c r="Y329" s="7"/>
      <c r="Z329" s="5"/>
      <c r="AA329" s="7"/>
      <c r="AB329" s="7"/>
      <c r="AC329" s="7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5"/>
      <c r="W330" s="7"/>
      <c r="X330" s="7"/>
      <c r="Y330" s="7"/>
      <c r="Z330" s="5"/>
      <c r="AA330" s="7"/>
      <c r="AB330" s="7"/>
      <c r="AC330" s="7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5"/>
      <c r="W331" s="7"/>
      <c r="X331" s="7"/>
      <c r="Y331" s="7"/>
      <c r="Z331" s="5"/>
      <c r="AA331" s="7"/>
      <c r="AB331" s="7"/>
      <c r="AC331" s="7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5"/>
      <c r="W332" s="7"/>
      <c r="X332" s="7"/>
      <c r="Y332" s="7"/>
      <c r="Z332" s="5"/>
      <c r="AA332" s="7"/>
      <c r="AB332" s="7"/>
      <c r="AC332" s="7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5"/>
      <c r="W333" s="7"/>
      <c r="X333" s="7"/>
      <c r="Y333" s="7"/>
      <c r="Z333" s="5"/>
      <c r="AA333" s="7"/>
      <c r="AB333" s="7"/>
      <c r="AC333" s="7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5"/>
      <c r="W334" s="7"/>
      <c r="X334" s="7"/>
      <c r="Y334" s="7"/>
      <c r="Z334" s="5"/>
      <c r="AA334" s="7"/>
      <c r="AB334" s="7"/>
      <c r="AC334" s="7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5"/>
      <c r="W335" s="7"/>
      <c r="X335" s="7"/>
      <c r="Y335" s="7"/>
      <c r="Z335" s="5"/>
      <c r="AA335" s="7"/>
      <c r="AB335" s="7"/>
      <c r="AC335" s="7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5"/>
      <c r="W336" s="7"/>
      <c r="X336" s="7"/>
      <c r="Y336" s="7"/>
      <c r="Z336" s="5"/>
      <c r="AA336" s="7"/>
      <c r="AB336" s="7"/>
      <c r="AC336" s="7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5"/>
      <c r="W337" s="7"/>
      <c r="X337" s="7"/>
      <c r="Y337" s="7"/>
      <c r="Z337" s="5"/>
      <c r="AA337" s="7"/>
      <c r="AB337" s="7"/>
      <c r="AC337" s="7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5"/>
      <c r="W338" s="7"/>
      <c r="X338" s="7"/>
      <c r="Y338" s="7"/>
      <c r="Z338" s="5"/>
      <c r="AA338" s="7"/>
      <c r="AB338" s="7"/>
      <c r="AC338" s="7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5"/>
      <c r="W339" s="7"/>
      <c r="X339" s="7"/>
      <c r="Y339" s="7"/>
      <c r="Z339" s="5"/>
      <c r="AA339" s="7"/>
      <c r="AB339" s="7"/>
      <c r="AC339" s="7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5"/>
      <c r="W340" s="7"/>
      <c r="X340" s="7"/>
      <c r="Y340" s="7"/>
      <c r="Z340" s="5"/>
      <c r="AA340" s="7"/>
      <c r="AB340" s="7"/>
      <c r="AC340" s="7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5"/>
      <c r="W341" s="7"/>
      <c r="X341" s="7"/>
      <c r="Y341" s="7"/>
      <c r="Z341" s="5"/>
      <c r="AA341" s="7"/>
      <c r="AB341" s="7"/>
      <c r="AC341" s="7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5"/>
      <c r="W342" s="7"/>
      <c r="X342" s="7"/>
      <c r="Y342" s="7"/>
      <c r="Z342" s="5"/>
      <c r="AA342" s="7"/>
      <c r="AB342" s="7"/>
      <c r="AC342" s="7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5"/>
      <c r="W343" s="7"/>
      <c r="X343" s="7"/>
      <c r="Y343" s="7"/>
      <c r="Z343" s="5"/>
      <c r="AA343" s="7"/>
      <c r="AB343" s="7"/>
      <c r="AC343" s="7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5"/>
      <c r="W344" s="7"/>
      <c r="X344" s="7"/>
      <c r="Y344" s="7"/>
      <c r="Z344" s="5"/>
      <c r="AA344" s="7"/>
      <c r="AB344" s="7"/>
      <c r="AC344" s="7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5"/>
      <c r="W345" s="7"/>
      <c r="X345" s="7"/>
      <c r="Y345" s="7"/>
      <c r="Z345" s="5"/>
      <c r="AA345" s="7"/>
      <c r="AB345" s="7"/>
      <c r="AC345" s="7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5"/>
      <c r="W346" s="7"/>
      <c r="X346" s="7"/>
      <c r="Y346" s="7"/>
      <c r="Z346" s="5"/>
      <c r="AA346" s="7"/>
      <c r="AB346" s="7"/>
      <c r="AC346" s="7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5"/>
      <c r="W347" s="7"/>
      <c r="X347" s="7"/>
      <c r="Y347" s="7"/>
      <c r="Z347" s="5"/>
      <c r="AA347" s="7"/>
      <c r="AB347" s="7"/>
      <c r="AC347" s="7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5"/>
      <c r="W348" s="7"/>
      <c r="X348" s="7"/>
      <c r="Y348" s="7"/>
      <c r="Z348" s="5"/>
      <c r="AA348" s="7"/>
      <c r="AB348" s="7"/>
      <c r="AC348" s="7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5"/>
      <c r="W349" s="7"/>
      <c r="X349" s="7"/>
      <c r="Y349" s="7"/>
      <c r="Z349" s="5"/>
      <c r="AA349" s="7"/>
      <c r="AB349" s="7"/>
      <c r="AC349" s="7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5"/>
      <c r="W350" s="7"/>
      <c r="X350" s="7"/>
      <c r="Y350" s="7"/>
      <c r="Z350" s="5"/>
      <c r="AA350" s="7"/>
      <c r="AB350" s="7"/>
      <c r="AC350" s="7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5"/>
      <c r="W351" s="7"/>
      <c r="X351" s="7"/>
      <c r="Y351" s="7"/>
      <c r="Z351" s="5"/>
      <c r="AA351" s="7"/>
      <c r="AB351" s="7"/>
      <c r="AC351" s="7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5"/>
      <c r="W352" s="7"/>
      <c r="X352" s="7"/>
      <c r="Y352" s="7"/>
      <c r="Z352" s="5"/>
      <c r="AA352" s="7"/>
      <c r="AB352" s="7"/>
      <c r="AC352" s="7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5"/>
      <c r="W353" s="7"/>
      <c r="X353" s="7"/>
      <c r="Y353" s="7"/>
      <c r="Z353" s="5"/>
      <c r="AA353" s="7"/>
      <c r="AB353" s="7"/>
      <c r="AC353" s="7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5"/>
      <c r="W354" s="7"/>
      <c r="X354" s="7"/>
      <c r="Y354" s="7"/>
      <c r="Z354" s="5"/>
      <c r="AA354" s="7"/>
      <c r="AB354" s="7"/>
      <c r="AC354" s="7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5"/>
      <c r="W355" s="7"/>
      <c r="X355" s="7"/>
      <c r="Y355" s="7"/>
      <c r="Z355" s="5"/>
      <c r="AA355" s="7"/>
      <c r="AB355" s="7"/>
      <c r="AC355" s="7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5"/>
      <c r="W356" s="7"/>
      <c r="X356" s="7"/>
      <c r="Y356" s="7"/>
      <c r="Z356" s="5"/>
      <c r="AA356" s="7"/>
      <c r="AB356" s="7"/>
      <c r="AC356" s="7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5"/>
      <c r="W357" s="7"/>
      <c r="X357" s="7"/>
      <c r="Y357" s="7"/>
      <c r="Z357" s="5"/>
      <c r="AA357" s="7"/>
      <c r="AB357" s="7"/>
      <c r="AC357" s="7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5"/>
      <c r="W358" s="7"/>
      <c r="X358" s="7"/>
      <c r="Y358" s="7"/>
      <c r="Z358" s="5"/>
      <c r="AA358" s="7"/>
      <c r="AB358" s="7"/>
      <c r="AC358" s="7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5"/>
      <c r="W359" s="7"/>
      <c r="X359" s="7"/>
      <c r="Y359" s="7"/>
      <c r="Z359" s="5"/>
      <c r="AA359" s="7"/>
      <c r="AB359" s="7"/>
      <c r="AC359" s="7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5"/>
      <c r="W360" s="7"/>
      <c r="X360" s="7"/>
      <c r="Y360" s="7"/>
      <c r="Z360" s="5"/>
      <c r="AA360" s="7"/>
      <c r="AB360" s="7"/>
      <c r="AC360" s="7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5"/>
      <c r="W361" s="7"/>
      <c r="X361" s="7"/>
      <c r="Y361" s="7"/>
      <c r="Z361" s="5"/>
      <c r="AA361" s="7"/>
      <c r="AB361" s="7"/>
      <c r="AC361" s="7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5"/>
      <c r="W362" s="7"/>
      <c r="X362" s="7"/>
      <c r="Y362" s="7"/>
      <c r="Z362" s="5"/>
      <c r="AA362" s="7"/>
      <c r="AB362" s="7"/>
      <c r="AC362" s="7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5"/>
      <c r="W363" s="7"/>
      <c r="X363" s="7"/>
      <c r="Y363" s="7"/>
      <c r="Z363" s="5"/>
      <c r="AA363" s="7"/>
      <c r="AB363" s="7"/>
      <c r="AC363" s="7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5"/>
      <c r="W364" s="7"/>
      <c r="X364" s="7"/>
      <c r="Y364" s="7"/>
      <c r="Z364" s="5"/>
      <c r="AA364" s="7"/>
      <c r="AB364" s="7"/>
      <c r="AC364" s="7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5"/>
      <c r="W365" s="7"/>
      <c r="X365" s="7"/>
      <c r="Y365" s="7"/>
      <c r="Z365" s="5"/>
      <c r="AA365" s="7"/>
      <c r="AB365" s="7"/>
      <c r="AC365" s="7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5"/>
      <c r="W366" s="7"/>
      <c r="X366" s="7"/>
      <c r="Y366" s="7"/>
      <c r="Z366" s="5"/>
      <c r="AA366" s="7"/>
      <c r="AB366" s="7"/>
      <c r="AC366" s="7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5"/>
      <c r="W367" s="7"/>
      <c r="X367" s="7"/>
      <c r="Y367" s="7"/>
      <c r="Z367" s="5"/>
      <c r="AA367" s="7"/>
      <c r="AB367" s="7"/>
      <c r="AC367" s="7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5"/>
      <c r="W368" s="7"/>
      <c r="X368" s="7"/>
      <c r="Y368" s="7"/>
      <c r="Z368" s="5"/>
      <c r="AA368" s="7"/>
      <c r="AB368" s="7"/>
      <c r="AC368" s="7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5"/>
      <c r="W369" s="7"/>
      <c r="X369" s="7"/>
      <c r="Y369" s="7"/>
      <c r="Z369" s="5"/>
      <c r="AA369" s="7"/>
      <c r="AB369" s="7"/>
      <c r="AC369" s="7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5"/>
      <c r="W370" s="7"/>
      <c r="X370" s="7"/>
      <c r="Y370" s="7"/>
      <c r="Z370" s="5"/>
      <c r="AA370" s="7"/>
      <c r="AB370" s="7"/>
      <c r="AC370" s="7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5"/>
      <c r="W371" s="7"/>
      <c r="X371" s="7"/>
      <c r="Y371" s="7"/>
      <c r="Z371" s="5"/>
      <c r="AA371" s="7"/>
      <c r="AB371" s="7"/>
      <c r="AC371" s="7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5"/>
      <c r="W372" s="7"/>
      <c r="X372" s="7"/>
      <c r="Y372" s="7"/>
      <c r="Z372" s="5"/>
      <c r="AA372" s="7"/>
      <c r="AB372" s="7"/>
      <c r="AC372" s="7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5"/>
      <c r="W373" s="7"/>
      <c r="X373" s="7"/>
      <c r="Y373" s="7"/>
      <c r="Z373" s="5"/>
      <c r="AA373" s="7"/>
      <c r="AB373" s="7"/>
      <c r="AC373" s="7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5"/>
      <c r="W374" s="7"/>
      <c r="X374" s="7"/>
      <c r="Y374" s="7"/>
      <c r="Z374" s="5"/>
      <c r="AA374" s="7"/>
      <c r="AB374" s="7"/>
      <c r="AC374" s="7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5"/>
      <c r="W375" s="7"/>
      <c r="X375" s="7"/>
      <c r="Y375" s="7"/>
      <c r="Z375" s="5"/>
      <c r="AA375" s="7"/>
      <c r="AB375" s="7"/>
      <c r="AC375" s="7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5"/>
      <c r="W376" s="7"/>
      <c r="X376" s="7"/>
      <c r="Y376" s="7"/>
      <c r="Z376" s="5"/>
      <c r="AA376" s="7"/>
      <c r="AB376" s="7"/>
      <c r="AC376" s="7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5"/>
      <c r="W377" s="7"/>
      <c r="X377" s="7"/>
      <c r="Y377" s="7"/>
      <c r="Z377" s="5"/>
      <c r="AA377" s="7"/>
      <c r="AB377" s="7"/>
      <c r="AC377" s="7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5"/>
      <c r="W378" s="7"/>
      <c r="X378" s="7"/>
      <c r="Y378" s="7"/>
      <c r="Z378" s="5"/>
      <c r="AA378" s="7"/>
      <c r="AB378" s="7"/>
      <c r="AC378" s="7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5"/>
      <c r="W379" s="7"/>
      <c r="X379" s="7"/>
      <c r="Y379" s="7"/>
      <c r="Z379" s="5"/>
      <c r="AA379" s="7"/>
      <c r="AB379" s="7"/>
      <c r="AC379" s="7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5"/>
      <c r="W380" s="7"/>
      <c r="X380" s="7"/>
      <c r="Y380" s="7"/>
      <c r="Z380" s="5"/>
      <c r="AA380" s="7"/>
      <c r="AB380" s="7"/>
      <c r="AC380" s="7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5"/>
      <c r="W381" s="7"/>
      <c r="X381" s="7"/>
      <c r="Y381" s="7"/>
      <c r="Z381" s="5"/>
      <c r="AA381" s="7"/>
      <c r="AB381" s="7"/>
      <c r="AC381" s="7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5"/>
      <c r="W382" s="7"/>
      <c r="X382" s="7"/>
      <c r="Y382" s="7"/>
      <c r="Z382" s="5"/>
      <c r="AA382" s="7"/>
      <c r="AB382" s="7"/>
      <c r="AC382" s="7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5"/>
      <c r="W383" s="7"/>
      <c r="X383" s="7"/>
      <c r="Y383" s="7"/>
      <c r="Z383" s="5"/>
      <c r="AA383" s="7"/>
      <c r="AB383" s="7"/>
      <c r="AC383" s="7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5"/>
      <c r="W384" s="7"/>
      <c r="X384" s="7"/>
      <c r="Y384" s="7"/>
      <c r="Z384" s="5"/>
      <c r="AA384" s="7"/>
      <c r="AB384" s="7"/>
      <c r="AC384" s="7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5"/>
      <c r="W385" s="7"/>
      <c r="X385" s="7"/>
      <c r="Y385" s="7"/>
      <c r="Z385" s="5"/>
      <c r="AA385" s="7"/>
      <c r="AB385" s="7"/>
      <c r="AC385" s="7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5"/>
      <c r="W386" s="7"/>
      <c r="X386" s="7"/>
      <c r="Y386" s="7"/>
      <c r="Z386" s="5"/>
      <c r="AA386" s="7"/>
      <c r="AB386" s="7"/>
      <c r="AC386" s="7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5"/>
      <c r="W387" s="7"/>
      <c r="X387" s="7"/>
      <c r="Y387" s="7"/>
      <c r="Z387" s="5"/>
      <c r="AA387" s="7"/>
      <c r="AB387" s="7"/>
      <c r="AC387" s="7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5"/>
      <c r="W388" s="7"/>
      <c r="X388" s="7"/>
      <c r="Y388" s="7"/>
      <c r="Z388" s="5"/>
      <c r="AA388" s="7"/>
      <c r="AB388" s="7"/>
      <c r="AC388" s="7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5"/>
      <c r="W389" s="7"/>
      <c r="X389" s="7"/>
      <c r="Y389" s="7"/>
      <c r="Z389" s="5"/>
      <c r="AA389" s="7"/>
      <c r="AB389" s="7"/>
      <c r="AC389" s="7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5"/>
      <c r="W390" s="7"/>
      <c r="X390" s="7"/>
      <c r="Y390" s="7"/>
      <c r="Z390" s="5"/>
      <c r="AA390" s="7"/>
      <c r="AB390" s="7"/>
      <c r="AC390" s="7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5"/>
      <c r="W391" s="7"/>
      <c r="X391" s="7"/>
      <c r="Y391" s="7"/>
      <c r="Z391" s="5"/>
      <c r="AA391" s="7"/>
      <c r="AB391" s="7"/>
      <c r="AC391" s="7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5"/>
      <c r="W392" s="7"/>
      <c r="X392" s="7"/>
      <c r="Y392" s="7"/>
      <c r="Z392" s="5"/>
      <c r="AA392" s="7"/>
      <c r="AB392" s="7"/>
      <c r="AC392" s="7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5"/>
      <c r="W393" s="7"/>
      <c r="X393" s="7"/>
      <c r="Y393" s="7"/>
      <c r="Z393" s="5"/>
      <c r="AA393" s="7"/>
      <c r="AB393" s="7"/>
      <c r="AC393" s="7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5"/>
      <c r="W394" s="7"/>
      <c r="X394" s="7"/>
      <c r="Y394" s="7"/>
      <c r="Z394" s="5"/>
      <c r="AA394" s="7"/>
      <c r="AB394" s="7"/>
      <c r="AC394" s="7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5"/>
      <c r="W395" s="7"/>
      <c r="X395" s="7"/>
      <c r="Y395" s="7"/>
      <c r="Z395" s="5"/>
      <c r="AA395" s="7"/>
      <c r="AB395" s="7"/>
      <c r="AC395" s="7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5"/>
      <c r="W396" s="7"/>
      <c r="X396" s="7"/>
      <c r="Y396" s="7"/>
      <c r="Z396" s="5"/>
      <c r="AA396" s="7"/>
      <c r="AB396" s="7"/>
      <c r="AC396" s="7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5"/>
      <c r="W397" s="7"/>
      <c r="X397" s="7"/>
      <c r="Y397" s="7"/>
      <c r="Z397" s="5"/>
      <c r="AA397" s="7"/>
      <c r="AB397" s="7"/>
      <c r="AC397" s="7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5"/>
      <c r="W398" s="7"/>
      <c r="X398" s="7"/>
      <c r="Y398" s="7"/>
      <c r="Z398" s="5"/>
      <c r="AA398" s="7"/>
      <c r="AB398" s="7"/>
      <c r="AC398" s="7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5"/>
      <c r="W399" s="7"/>
      <c r="X399" s="7"/>
      <c r="Y399" s="7"/>
      <c r="Z399" s="5"/>
      <c r="AA399" s="7"/>
      <c r="AB399" s="7"/>
      <c r="AC399" s="7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5"/>
      <c r="W400" s="7"/>
      <c r="X400" s="7"/>
      <c r="Y400" s="7"/>
      <c r="Z400" s="5"/>
      <c r="AA400" s="7"/>
      <c r="AB400" s="7"/>
      <c r="AC400" s="7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5"/>
      <c r="W401" s="7"/>
      <c r="X401" s="7"/>
      <c r="Y401" s="7"/>
      <c r="Z401" s="5"/>
      <c r="AA401" s="7"/>
      <c r="AB401" s="7"/>
      <c r="AC401" s="7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5"/>
      <c r="W402" s="7"/>
      <c r="X402" s="7"/>
      <c r="Y402" s="7"/>
      <c r="Z402" s="5"/>
      <c r="AA402" s="7"/>
      <c r="AB402" s="7"/>
      <c r="AC402" s="7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5"/>
      <c r="W403" s="7"/>
      <c r="X403" s="7"/>
      <c r="Y403" s="7"/>
      <c r="Z403" s="5"/>
      <c r="AA403" s="7"/>
      <c r="AB403" s="7"/>
      <c r="AC403" s="7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5"/>
      <c r="W404" s="7"/>
      <c r="X404" s="7"/>
      <c r="Y404" s="7"/>
      <c r="Z404" s="5"/>
      <c r="AA404" s="7"/>
      <c r="AB404" s="7"/>
      <c r="AC404" s="7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5"/>
      <c r="W405" s="7"/>
      <c r="X405" s="7"/>
      <c r="Y405" s="7"/>
      <c r="Z405" s="5"/>
      <c r="AA405" s="7"/>
      <c r="AB405" s="7"/>
      <c r="AC405" s="7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5"/>
      <c r="W406" s="7"/>
      <c r="X406" s="7"/>
      <c r="Y406" s="7"/>
      <c r="Z406" s="5"/>
      <c r="AA406" s="7"/>
      <c r="AB406" s="7"/>
      <c r="AC406" s="7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5"/>
      <c r="W407" s="7"/>
      <c r="X407" s="7"/>
      <c r="Y407" s="7"/>
      <c r="Z407" s="5"/>
      <c r="AA407" s="7"/>
      <c r="AB407" s="7"/>
      <c r="AC407" s="7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5"/>
      <c r="W408" s="7"/>
      <c r="X408" s="7"/>
      <c r="Y408" s="7"/>
      <c r="Z408" s="5"/>
      <c r="AA408" s="7"/>
      <c r="AB408" s="7"/>
      <c r="AC408" s="7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5"/>
      <c r="W409" s="7"/>
      <c r="X409" s="7"/>
      <c r="Y409" s="7"/>
      <c r="Z409" s="5"/>
      <c r="AA409" s="7"/>
      <c r="AB409" s="7"/>
      <c r="AC409" s="7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5"/>
      <c r="W410" s="7"/>
      <c r="X410" s="7"/>
      <c r="Y410" s="7"/>
      <c r="Z410" s="5"/>
      <c r="AA410" s="7"/>
      <c r="AB410" s="7"/>
      <c r="AC410" s="7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5"/>
      <c r="W411" s="7"/>
      <c r="X411" s="7"/>
      <c r="Y411" s="7"/>
      <c r="Z411" s="5"/>
      <c r="AA411" s="7"/>
      <c r="AB411" s="7"/>
      <c r="AC411" s="7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5"/>
      <c r="W412" s="7"/>
      <c r="X412" s="7"/>
      <c r="Y412" s="7"/>
      <c r="Z412" s="5"/>
      <c r="AA412" s="7"/>
      <c r="AB412" s="7"/>
      <c r="AC412" s="7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5"/>
      <c r="W413" s="7"/>
      <c r="X413" s="7"/>
      <c r="Y413" s="7"/>
      <c r="Z413" s="5"/>
      <c r="AA413" s="7"/>
      <c r="AB413" s="7"/>
      <c r="AC413" s="7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5"/>
      <c r="W414" s="7"/>
      <c r="X414" s="7"/>
      <c r="Y414" s="7"/>
      <c r="Z414" s="5"/>
      <c r="AA414" s="7"/>
      <c r="AB414" s="7"/>
      <c r="AC414" s="7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5"/>
      <c r="W415" s="7"/>
      <c r="X415" s="7"/>
      <c r="Y415" s="7"/>
      <c r="Z415" s="5"/>
      <c r="AA415" s="7"/>
      <c r="AB415" s="7"/>
      <c r="AC415" s="7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5"/>
      <c r="W416" s="7"/>
      <c r="X416" s="7"/>
      <c r="Y416" s="7"/>
      <c r="Z416" s="5"/>
      <c r="AA416" s="7"/>
      <c r="AB416" s="7"/>
      <c r="AC416" s="7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5"/>
      <c r="W417" s="7"/>
      <c r="X417" s="7"/>
      <c r="Y417" s="7"/>
      <c r="Z417" s="5"/>
      <c r="AA417" s="7"/>
      <c r="AB417" s="7"/>
      <c r="AC417" s="7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5"/>
      <c r="W418" s="7"/>
      <c r="X418" s="7"/>
      <c r="Y418" s="7"/>
      <c r="Z418" s="5"/>
      <c r="AA418" s="7"/>
      <c r="AB418" s="7"/>
      <c r="AC418" s="7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5"/>
      <c r="W419" s="7"/>
      <c r="X419" s="7"/>
      <c r="Y419" s="7"/>
      <c r="Z419" s="5"/>
      <c r="AA419" s="7"/>
      <c r="AB419" s="7"/>
      <c r="AC419" s="7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5"/>
      <c r="W420" s="7"/>
      <c r="X420" s="7"/>
      <c r="Y420" s="7"/>
      <c r="Z420" s="5"/>
      <c r="AA420" s="7"/>
      <c r="AB420" s="7"/>
      <c r="AC420" s="7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5"/>
      <c r="W421" s="7"/>
      <c r="X421" s="7"/>
      <c r="Y421" s="7"/>
      <c r="Z421" s="5"/>
      <c r="AA421" s="7"/>
      <c r="AB421" s="7"/>
      <c r="AC421" s="7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5"/>
      <c r="W422" s="7"/>
      <c r="X422" s="7"/>
      <c r="Y422" s="7"/>
      <c r="Z422" s="5"/>
      <c r="AA422" s="7"/>
      <c r="AB422" s="7"/>
      <c r="AC422" s="7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5"/>
      <c r="W423" s="7"/>
      <c r="X423" s="7"/>
      <c r="Y423" s="7"/>
      <c r="Z423" s="5"/>
      <c r="AA423" s="7"/>
      <c r="AB423" s="7"/>
      <c r="AC423" s="7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5"/>
      <c r="W424" s="7"/>
      <c r="X424" s="7"/>
      <c r="Y424" s="7"/>
      <c r="Z424" s="5"/>
      <c r="AA424" s="7"/>
      <c r="AB424" s="7"/>
      <c r="AC424" s="7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5"/>
      <c r="W425" s="7"/>
      <c r="X425" s="7"/>
      <c r="Y425" s="7"/>
      <c r="Z425" s="5"/>
      <c r="AA425" s="7"/>
      <c r="AB425" s="7"/>
      <c r="AC425" s="7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5"/>
      <c r="W426" s="7"/>
      <c r="X426" s="7"/>
      <c r="Y426" s="7"/>
      <c r="Z426" s="5"/>
      <c r="AA426" s="7"/>
      <c r="AB426" s="7"/>
      <c r="AC426" s="7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5"/>
      <c r="W427" s="7"/>
      <c r="X427" s="7"/>
      <c r="Y427" s="7"/>
      <c r="Z427" s="5"/>
      <c r="AA427" s="7"/>
      <c r="AB427" s="7"/>
      <c r="AC427" s="7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5"/>
      <c r="W428" s="7"/>
      <c r="X428" s="7"/>
      <c r="Y428" s="7"/>
      <c r="Z428" s="5"/>
      <c r="AA428" s="7"/>
      <c r="AB428" s="7"/>
      <c r="AC428" s="7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5"/>
      <c r="W429" s="7"/>
      <c r="X429" s="7"/>
      <c r="Y429" s="7"/>
      <c r="Z429" s="5"/>
      <c r="AA429" s="7"/>
      <c r="AB429" s="7"/>
      <c r="AC429" s="7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5"/>
      <c r="W430" s="7"/>
      <c r="X430" s="7"/>
      <c r="Y430" s="7"/>
      <c r="Z430" s="5"/>
      <c r="AA430" s="7"/>
      <c r="AB430" s="7"/>
      <c r="AC430" s="7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5"/>
      <c r="W431" s="7"/>
      <c r="X431" s="7"/>
      <c r="Y431" s="7"/>
      <c r="Z431" s="5"/>
      <c r="AA431" s="7"/>
      <c r="AB431" s="7"/>
      <c r="AC431" s="7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5"/>
      <c r="W432" s="7"/>
      <c r="X432" s="7"/>
      <c r="Y432" s="7"/>
      <c r="Z432" s="5"/>
      <c r="AA432" s="7"/>
      <c r="AB432" s="7"/>
      <c r="AC432" s="7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5"/>
      <c r="W433" s="7"/>
      <c r="X433" s="7"/>
      <c r="Y433" s="7"/>
      <c r="Z433" s="5"/>
      <c r="AA433" s="7"/>
      <c r="AB433" s="7"/>
      <c r="AC433" s="7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5"/>
      <c r="W434" s="7"/>
      <c r="X434" s="7"/>
      <c r="Y434" s="7"/>
      <c r="Z434" s="5"/>
      <c r="AA434" s="7"/>
      <c r="AB434" s="7"/>
      <c r="AC434" s="7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5"/>
      <c r="W435" s="7"/>
      <c r="X435" s="7"/>
      <c r="Y435" s="7"/>
      <c r="Z435" s="5"/>
      <c r="AA435" s="7"/>
      <c r="AB435" s="7"/>
      <c r="AC435" s="7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5"/>
      <c r="W436" s="7"/>
      <c r="X436" s="7"/>
      <c r="Y436" s="7"/>
      <c r="Z436" s="5"/>
      <c r="AA436" s="7"/>
      <c r="AB436" s="7"/>
      <c r="AC436" s="7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5"/>
      <c r="W437" s="7"/>
      <c r="X437" s="7"/>
      <c r="Y437" s="7"/>
      <c r="Z437" s="5"/>
      <c r="AA437" s="7"/>
      <c r="AB437" s="7"/>
      <c r="AC437" s="7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5"/>
      <c r="W438" s="7"/>
      <c r="X438" s="7"/>
      <c r="Y438" s="7"/>
      <c r="Z438" s="5"/>
      <c r="AA438" s="7"/>
      <c r="AB438" s="7"/>
      <c r="AC438" s="7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5"/>
      <c r="W439" s="7"/>
      <c r="X439" s="7"/>
      <c r="Y439" s="7"/>
      <c r="Z439" s="5"/>
      <c r="AA439" s="7"/>
      <c r="AB439" s="7"/>
      <c r="AC439" s="7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5"/>
      <c r="W440" s="7"/>
      <c r="X440" s="7"/>
      <c r="Y440" s="7"/>
      <c r="Z440" s="5"/>
      <c r="AA440" s="7"/>
      <c r="AB440" s="7"/>
      <c r="AC440" s="7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5"/>
      <c r="W441" s="7"/>
      <c r="X441" s="7"/>
      <c r="Y441" s="7"/>
      <c r="Z441" s="5"/>
      <c r="AA441" s="7"/>
      <c r="AB441" s="7"/>
      <c r="AC441" s="7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5"/>
      <c r="W442" s="7"/>
      <c r="X442" s="7"/>
      <c r="Y442" s="7"/>
      <c r="Z442" s="5"/>
      <c r="AA442" s="7"/>
      <c r="AB442" s="7"/>
      <c r="AC442" s="7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5"/>
      <c r="W443" s="7"/>
      <c r="X443" s="7"/>
      <c r="Y443" s="7"/>
      <c r="Z443" s="5"/>
      <c r="AA443" s="7"/>
      <c r="AB443" s="7"/>
      <c r="AC443" s="7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5"/>
      <c r="W444" s="7"/>
      <c r="X444" s="7"/>
      <c r="Y444" s="7"/>
      <c r="Z444" s="5"/>
      <c r="AA444" s="7"/>
      <c r="AB444" s="7"/>
      <c r="AC444" s="7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5"/>
      <c r="W445" s="7"/>
      <c r="X445" s="7"/>
      <c r="Y445" s="7"/>
      <c r="Z445" s="5"/>
      <c r="AA445" s="7"/>
      <c r="AB445" s="7"/>
      <c r="AC445" s="7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5"/>
      <c r="W446" s="7"/>
      <c r="X446" s="7"/>
      <c r="Y446" s="7"/>
      <c r="Z446" s="5"/>
      <c r="AA446" s="7"/>
      <c r="AB446" s="7"/>
      <c r="AC446" s="7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5"/>
      <c r="W447" s="7"/>
      <c r="X447" s="7"/>
      <c r="Y447" s="7"/>
      <c r="Z447" s="5"/>
      <c r="AA447" s="7"/>
      <c r="AB447" s="7"/>
      <c r="AC447" s="7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5"/>
      <c r="W448" s="7"/>
      <c r="X448" s="7"/>
      <c r="Y448" s="7"/>
      <c r="Z448" s="5"/>
      <c r="AA448" s="7"/>
      <c r="AB448" s="7"/>
      <c r="AC448" s="7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5"/>
      <c r="W449" s="7"/>
      <c r="X449" s="7"/>
      <c r="Y449" s="7"/>
      <c r="Z449" s="5"/>
      <c r="AA449" s="7"/>
      <c r="AB449" s="7"/>
      <c r="AC449" s="7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5"/>
      <c r="W450" s="7"/>
      <c r="X450" s="7"/>
      <c r="Y450" s="7"/>
      <c r="Z450" s="5"/>
      <c r="AA450" s="7"/>
      <c r="AB450" s="7"/>
      <c r="AC450" s="7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5"/>
      <c r="W451" s="7"/>
      <c r="X451" s="7"/>
      <c r="Y451" s="7"/>
      <c r="Z451" s="5"/>
      <c r="AA451" s="7"/>
      <c r="AB451" s="7"/>
      <c r="AC451" s="7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5"/>
      <c r="W452" s="7"/>
      <c r="X452" s="7"/>
      <c r="Y452" s="7"/>
      <c r="Z452" s="5"/>
      <c r="AA452" s="7"/>
      <c r="AB452" s="7"/>
      <c r="AC452" s="7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5"/>
      <c r="W453" s="7"/>
      <c r="X453" s="7"/>
      <c r="Y453" s="7"/>
      <c r="Z453" s="5"/>
      <c r="AA453" s="7"/>
      <c r="AB453" s="7"/>
      <c r="AC453" s="7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5"/>
      <c r="W454" s="7"/>
      <c r="X454" s="7"/>
      <c r="Y454" s="7"/>
      <c r="Z454" s="5"/>
      <c r="AA454" s="7"/>
      <c r="AB454" s="7"/>
      <c r="AC454" s="7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5"/>
      <c r="W455" s="7"/>
      <c r="X455" s="7"/>
      <c r="Y455" s="7"/>
      <c r="Z455" s="5"/>
      <c r="AA455" s="7"/>
      <c r="AB455" s="7"/>
      <c r="AC455" s="7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5"/>
      <c r="W456" s="7"/>
      <c r="X456" s="7"/>
      <c r="Y456" s="7"/>
      <c r="Z456" s="5"/>
      <c r="AA456" s="7"/>
      <c r="AB456" s="7"/>
      <c r="AC456" s="7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5"/>
      <c r="W457" s="7"/>
      <c r="X457" s="7"/>
      <c r="Y457" s="7"/>
      <c r="Z457" s="5"/>
      <c r="AA457" s="7"/>
      <c r="AB457" s="7"/>
      <c r="AC457" s="7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5"/>
      <c r="W458" s="7"/>
      <c r="X458" s="7"/>
      <c r="Y458" s="7"/>
      <c r="Z458" s="5"/>
      <c r="AA458" s="7"/>
      <c r="AB458" s="7"/>
      <c r="AC458" s="7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5"/>
      <c r="W459" s="7"/>
      <c r="X459" s="7"/>
      <c r="Y459" s="7"/>
      <c r="Z459" s="5"/>
      <c r="AA459" s="7"/>
      <c r="AB459" s="7"/>
      <c r="AC459" s="7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5"/>
      <c r="W460" s="7"/>
      <c r="X460" s="7"/>
      <c r="Y460" s="7"/>
      <c r="Z460" s="5"/>
      <c r="AA460" s="7"/>
      <c r="AB460" s="7"/>
      <c r="AC460" s="7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5"/>
      <c r="W461" s="7"/>
      <c r="X461" s="7"/>
      <c r="Y461" s="7"/>
      <c r="Z461" s="5"/>
      <c r="AA461" s="7"/>
      <c r="AB461" s="7"/>
      <c r="AC461" s="7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5"/>
      <c r="W462" s="7"/>
      <c r="X462" s="7"/>
      <c r="Y462" s="7"/>
      <c r="Z462" s="5"/>
      <c r="AA462" s="7"/>
      <c r="AB462" s="7"/>
      <c r="AC462" s="7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5"/>
      <c r="W463" s="7"/>
      <c r="X463" s="7"/>
      <c r="Y463" s="7"/>
      <c r="Z463" s="5"/>
      <c r="AA463" s="7"/>
      <c r="AB463" s="7"/>
      <c r="AC463" s="7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5"/>
      <c r="W464" s="7"/>
      <c r="X464" s="7"/>
      <c r="Y464" s="7"/>
      <c r="Z464" s="5"/>
      <c r="AA464" s="7"/>
      <c r="AB464" s="7"/>
      <c r="AC464" s="7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5"/>
      <c r="W465" s="7"/>
      <c r="X465" s="7"/>
      <c r="Y465" s="7"/>
      <c r="Z465" s="5"/>
      <c r="AA465" s="7"/>
      <c r="AB465" s="7"/>
      <c r="AC465" s="7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5"/>
      <c r="W466" s="7"/>
      <c r="X466" s="7"/>
      <c r="Y466" s="7"/>
      <c r="Z466" s="5"/>
      <c r="AA466" s="7"/>
      <c r="AB466" s="7"/>
      <c r="AC466" s="7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5"/>
      <c r="W467" s="7"/>
      <c r="X467" s="7"/>
      <c r="Y467" s="7"/>
      <c r="Z467" s="5"/>
      <c r="AA467" s="7"/>
      <c r="AB467" s="7"/>
      <c r="AC467" s="7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5"/>
      <c r="W468" s="7"/>
      <c r="X468" s="7"/>
      <c r="Y468" s="7"/>
      <c r="Z468" s="5"/>
      <c r="AA468" s="7"/>
      <c r="AB468" s="7"/>
      <c r="AC468" s="7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5"/>
      <c r="W469" s="7"/>
      <c r="X469" s="7"/>
      <c r="Y469" s="7"/>
      <c r="Z469" s="5"/>
      <c r="AA469" s="7"/>
      <c r="AB469" s="7"/>
      <c r="AC469" s="7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5"/>
      <c r="W470" s="7"/>
      <c r="X470" s="7"/>
      <c r="Y470" s="7"/>
      <c r="Z470" s="5"/>
      <c r="AA470" s="7"/>
      <c r="AB470" s="7"/>
      <c r="AC470" s="7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5"/>
      <c r="W471" s="7"/>
      <c r="X471" s="7"/>
      <c r="Y471" s="7"/>
      <c r="Z471" s="5"/>
      <c r="AA471" s="7"/>
      <c r="AB471" s="7"/>
      <c r="AC471" s="7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5"/>
      <c r="W472" s="7"/>
      <c r="X472" s="7"/>
      <c r="Y472" s="7"/>
      <c r="Z472" s="5"/>
      <c r="AA472" s="7"/>
      <c r="AB472" s="7"/>
      <c r="AC472" s="7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5"/>
      <c r="W473" s="7"/>
      <c r="X473" s="7"/>
      <c r="Y473" s="7"/>
      <c r="Z473" s="5"/>
      <c r="AA473" s="7"/>
      <c r="AB473" s="7"/>
      <c r="AC473" s="7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5"/>
      <c r="W474" s="7"/>
      <c r="X474" s="7"/>
      <c r="Y474" s="7"/>
      <c r="Z474" s="5"/>
      <c r="AA474" s="7"/>
      <c r="AB474" s="7"/>
      <c r="AC474" s="7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5"/>
      <c r="W475" s="7"/>
      <c r="X475" s="7"/>
      <c r="Y475" s="7"/>
      <c r="Z475" s="5"/>
      <c r="AA475" s="7"/>
      <c r="AB475" s="7"/>
      <c r="AC475" s="7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5"/>
      <c r="W476" s="7"/>
      <c r="X476" s="7"/>
      <c r="Y476" s="7"/>
      <c r="Z476" s="5"/>
      <c r="AA476" s="7"/>
      <c r="AB476" s="7"/>
      <c r="AC476" s="7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5"/>
      <c r="W477" s="7"/>
      <c r="X477" s="7"/>
      <c r="Y477" s="7"/>
      <c r="Z477" s="5"/>
      <c r="AA477" s="7"/>
      <c r="AB477" s="7"/>
      <c r="AC477" s="7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5"/>
      <c r="W478" s="7"/>
      <c r="X478" s="7"/>
      <c r="Y478" s="7"/>
      <c r="Z478" s="5"/>
      <c r="AA478" s="7"/>
      <c r="AB478" s="7"/>
      <c r="AC478" s="7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5"/>
      <c r="W479" s="7"/>
      <c r="X479" s="7"/>
      <c r="Y479" s="7"/>
      <c r="Z479" s="5"/>
      <c r="AA479" s="7"/>
      <c r="AB479" s="7"/>
      <c r="AC479" s="7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5"/>
      <c r="W480" s="7"/>
      <c r="X480" s="7"/>
      <c r="Y480" s="7"/>
      <c r="Z480" s="5"/>
      <c r="AA480" s="7"/>
      <c r="AB480" s="7"/>
      <c r="AC480" s="7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5"/>
      <c r="W481" s="7"/>
      <c r="X481" s="7"/>
      <c r="Y481" s="7"/>
      <c r="Z481" s="5"/>
      <c r="AA481" s="7"/>
      <c r="AB481" s="7"/>
      <c r="AC481" s="7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5"/>
      <c r="W482" s="7"/>
      <c r="X482" s="7"/>
      <c r="Y482" s="7"/>
      <c r="Z482" s="5"/>
      <c r="AA482" s="7"/>
      <c r="AB482" s="7"/>
      <c r="AC482" s="7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5"/>
      <c r="W483" s="7"/>
      <c r="X483" s="7"/>
      <c r="Y483" s="7"/>
      <c r="Z483" s="5"/>
      <c r="AA483" s="7"/>
      <c r="AB483" s="7"/>
      <c r="AC483" s="7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5"/>
      <c r="W484" s="7"/>
      <c r="X484" s="7"/>
      <c r="Y484" s="7"/>
      <c r="Z484" s="5"/>
      <c r="AA484" s="7"/>
      <c r="AB484" s="7"/>
      <c r="AC484" s="7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5"/>
      <c r="W485" s="7"/>
      <c r="X485" s="7"/>
      <c r="Y485" s="7"/>
      <c r="Z485" s="5"/>
      <c r="AA485" s="7"/>
      <c r="AB485" s="7"/>
      <c r="AC485" s="7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5"/>
      <c r="W486" s="7"/>
      <c r="X486" s="7"/>
      <c r="Y486" s="7"/>
      <c r="Z486" s="5"/>
      <c r="AA486" s="7"/>
      <c r="AB486" s="7"/>
      <c r="AC486" s="7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5"/>
      <c r="W487" s="7"/>
      <c r="X487" s="7"/>
      <c r="Y487" s="7"/>
      <c r="Z487" s="5"/>
      <c r="AA487" s="7"/>
      <c r="AB487" s="7"/>
      <c r="AC487" s="7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5"/>
      <c r="W488" s="7"/>
      <c r="X488" s="7"/>
      <c r="Y488" s="7"/>
      <c r="Z488" s="5"/>
      <c r="AA488" s="7"/>
      <c r="AB488" s="7"/>
      <c r="AC488" s="7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5"/>
      <c r="W489" s="7"/>
      <c r="X489" s="7"/>
      <c r="Y489" s="7"/>
      <c r="Z489" s="5"/>
      <c r="AA489" s="7"/>
      <c r="AB489" s="7"/>
      <c r="AC489" s="7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5"/>
      <c r="W490" s="7"/>
      <c r="X490" s="7"/>
      <c r="Y490" s="7"/>
      <c r="Z490" s="5"/>
      <c r="AA490" s="7"/>
      <c r="AB490" s="7"/>
      <c r="AC490" s="7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5"/>
      <c r="W491" s="7"/>
      <c r="X491" s="7"/>
      <c r="Y491" s="7"/>
      <c r="Z491" s="5"/>
      <c r="AA491" s="7"/>
      <c r="AB491" s="7"/>
      <c r="AC491" s="7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5"/>
      <c r="W492" s="7"/>
      <c r="X492" s="7"/>
      <c r="Y492" s="7"/>
      <c r="Z492" s="5"/>
      <c r="AA492" s="7"/>
      <c r="AB492" s="7"/>
      <c r="AC492" s="7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5"/>
      <c r="W493" s="7"/>
      <c r="X493" s="7"/>
      <c r="Y493" s="7"/>
      <c r="Z493" s="5"/>
      <c r="AA493" s="7"/>
      <c r="AB493" s="7"/>
      <c r="AC493" s="7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5"/>
      <c r="W494" s="7"/>
      <c r="X494" s="7"/>
      <c r="Y494" s="7"/>
      <c r="Z494" s="5"/>
      <c r="AA494" s="7"/>
      <c r="AB494" s="7"/>
      <c r="AC494" s="7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5"/>
      <c r="W495" s="7"/>
      <c r="X495" s="7"/>
      <c r="Y495" s="7"/>
      <c r="Z495" s="5"/>
      <c r="AA495" s="7"/>
      <c r="AB495" s="7"/>
      <c r="AC495" s="7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5"/>
      <c r="W496" s="7"/>
      <c r="X496" s="7"/>
      <c r="Y496" s="7"/>
      <c r="Z496" s="5"/>
      <c r="AA496" s="7"/>
      <c r="AB496" s="7"/>
      <c r="AC496" s="7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5"/>
      <c r="W497" s="7"/>
      <c r="X497" s="7"/>
      <c r="Y497" s="7"/>
      <c r="Z497" s="5"/>
      <c r="AA497" s="7"/>
      <c r="AB497" s="7"/>
      <c r="AC497" s="7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5"/>
      <c r="W498" s="7"/>
      <c r="X498" s="7"/>
      <c r="Y498" s="7"/>
      <c r="Z498" s="5"/>
      <c r="AA498" s="7"/>
      <c r="AB498" s="7"/>
      <c r="AC498" s="7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5"/>
      <c r="W499" s="7"/>
      <c r="X499" s="7"/>
      <c r="Y499" s="7"/>
      <c r="Z499" s="5"/>
      <c r="AA499" s="7"/>
      <c r="AB499" s="7"/>
      <c r="AC499" s="7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5"/>
      <c r="W500" s="7"/>
      <c r="X500" s="7"/>
      <c r="Y500" s="7"/>
      <c r="Z500" s="5"/>
      <c r="AA500" s="7"/>
      <c r="AB500" s="7"/>
      <c r="AC500" s="7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5"/>
      <c r="W501" s="7"/>
      <c r="X501" s="7"/>
      <c r="Y501" s="7"/>
      <c r="Z501" s="5"/>
      <c r="AA501" s="7"/>
      <c r="AB501" s="7"/>
      <c r="AC501" s="7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5"/>
      <c r="W502" s="7"/>
      <c r="X502" s="7"/>
      <c r="Y502" s="7"/>
      <c r="Z502" s="5"/>
      <c r="AA502" s="7"/>
      <c r="AB502" s="7"/>
      <c r="AC502" s="7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5"/>
      <c r="W503" s="7"/>
      <c r="X503" s="7"/>
      <c r="Y503" s="7"/>
      <c r="Z503" s="5"/>
      <c r="AA503" s="7"/>
      <c r="AB503" s="7"/>
      <c r="AC503" s="7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5"/>
      <c r="W504" s="7"/>
      <c r="X504" s="7"/>
      <c r="Y504" s="7"/>
      <c r="Z504" s="5"/>
      <c r="AA504" s="7"/>
      <c r="AB504" s="7"/>
      <c r="AC504" s="7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5"/>
      <c r="W505" s="7"/>
      <c r="X505" s="7"/>
      <c r="Y505" s="7"/>
      <c r="Z505" s="5"/>
      <c r="AA505" s="7"/>
      <c r="AB505" s="7"/>
      <c r="AC505" s="7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5"/>
      <c r="W506" s="7"/>
      <c r="X506" s="7"/>
      <c r="Y506" s="7"/>
      <c r="Z506" s="5"/>
      <c r="AA506" s="7"/>
      <c r="AB506" s="7"/>
      <c r="AC506" s="7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5"/>
      <c r="W507" s="7"/>
      <c r="X507" s="7"/>
      <c r="Y507" s="7"/>
      <c r="Z507" s="5"/>
      <c r="AA507" s="7"/>
      <c r="AB507" s="7"/>
      <c r="AC507" s="7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5"/>
      <c r="W508" s="7"/>
      <c r="X508" s="7"/>
      <c r="Y508" s="7"/>
      <c r="Z508" s="5"/>
      <c r="AA508" s="7"/>
      <c r="AB508" s="7"/>
      <c r="AC508" s="7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5"/>
      <c r="W509" s="7"/>
      <c r="X509" s="7"/>
      <c r="Y509" s="7"/>
      <c r="Z509" s="5"/>
      <c r="AA509" s="7"/>
      <c r="AB509" s="7"/>
      <c r="AC509" s="7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5"/>
      <c r="W510" s="7"/>
      <c r="X510" s="7"/>
      <c r="Y510" s="7"/>
      <c r="Z510" s="5"/>
      <c r="AA510" s="7"/>
      <c r="AB510" s="7"/>
      <c r="AC510" s="7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5"/>
      <c r="W511" s="7"/>
      <c r="X511" s="7"/>
      <c r="Y511" s="7"/>
      <c r="Z511" s="5"/>
      <c r="AA511" s="7"/>
      <c r="AB511" s="7"/>
      <c r="AC511" s="7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5"/>
      <c r="W512" s="7"/>
      <c r="X512" s="7"/>
      <c r="Y512" s="7"/>
      <c r="Z512" s="5"/>
      <c r="AA512" s="7"/>
      <c r="AB512" s="7"/>
      <c r="AC512" s="7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5"/>
      <c r="W513" s="7"/>
      <c r="X513" s="7"/>
      <c r="Y513" s="7"/>
      <c r="Z513" s="5"/>
      <c r="AA513" s="7"/>
      <c r="AB513" s="7"/>
      <c r="AC513" s="7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5"/>
      <c r="W514" s="7"/>
      <c r="X514" s="7"/>
      <c r="Y514" s="7"/>
      <c r="Z514" s="5"/>
      <c r="AA514" s="7"/>
      <c r="AB514" s="7"/>
      <c r="AC514" s="7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5"/>
      <c r="W515" s="7"/>
      <c r="X515" s="7"/>
      <c r="Y515" s="7"/>
      <c r="Z515" s="5"/>
      <c r="AA515" s="7"/>
      <c r="AB515" s="7"/>
      <c r="AC515" s="7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5"/>
      <c r="W516" s="7"/>
      <c r="X516" s="7"/>
      <c r="Y516" s="7"/>
      <c r="Z516" s="5"/>
      <c r="AA516" s="7"/>
      <c r="AB516" s="7"/>
      <c r="AC516" s="7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5"/>
      <c r="W517" s="7"/>
      <c r="X517" s="7"/>
      <c r="Y517" s="7"/>
      <c r="Z517" s="5"/>
      <c r="AA517" s="7"/>
      <c r="AB517" s="7"/>
      <c r="AC517" s="7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5"/>
      <c r="W518" s="7"/>
      <c r="X518" s="7"/>
      <c r="Y518" s="7"/>
      <c r="Z518" s="5"/>
      <c r="AA518" s="7"/>
      <c r="AB518" s="7"/>
      <c r="AC518" s="7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5"/>
      <c r="W519" s="7"/>
      <c r="X519" s="7"/>
      <c r="Y519" s="7"/>
      <c r="Z519" s="5"/>
      <c r="AA519" s="7"/>
      <c r="AB519" s="7"/>
      <c r="AC519" s="7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5"/>
      <c r="W520" s="7"/>
      <c r="X520" s="7"/>
      <c r="Y520" s="7"/>
      <c r="Z520" s="5"/>
      <c r="AA520" s="7"/>
      <c r="AB520" s="7"/>
      <c r="AC520" s="7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5"/>
      <c r="W521" s="7"/>
      <c r="X521" s="7"/>
      <c r="Y521" s="7"/>
      <c r="Z521" s="5"/>
      <c r="AA521" s="7"/>
      <c r="AB521" s="7"/>
      <c r="AC521" s="7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5"/>
      <c r="W522" s="7"/>
      <c r="X522" s="7"/>
      <c r="Y522" s="7"/>
      <c r="Z522" s="5"/>
      <c r="AA522" s="7"/>
      <c r="AB522" s="7"/>
      <c r="AC522" s="7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5"/>
      <c r="W523" s="7"/>
      <c r="X523" s="7"/>
      <c r="Y523" s="7"/>
      <c r="Z523" s="5"/>
      <c r="AA523" s="7"/>
      <c r="AB523" s="7"/>
      <c r="AC523" s="7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5"/>
      <c r="W524" s="7"/>
      <c r="X524" s="7"/>
      <c r="Y524" s="7"/>
      <c r="Z524" s="5"/>
      <c r="AA524" s="7"/>
      <c r="AB524" s="7"/>
      <c r="AC524" s="7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5"/>
      <c r="W525" s="7"/>
      <c r="X525" s="7"/>
      <c r="Y525" s="7"/>
      <c r="Z525" s="5"/>
      <c r="AA525" s="7"/>
      <c r="AB525" s="7"/>
      <c r="AC525" s="7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5"/>
      <c r="W526" s="7"/>
      <c r="X526" s="7"/>
      <c r="Y526" s="7"/>
      <c r="Z526" s="5"/>
      <c r="AA526" s="7"/>
      <c r="AB526" s="7"/>
      <c r="AC526" s="7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5"/>
      <c r="W527" s="7"/>
      <c r="X527" s="7"/>
      <c r="Y527" s="7"/>
      <c r="Z527" s="5"/>
      <c r="AA527" s="7"/>
      <c r="AB527" s="7"/>
      <c r="AC527" s="7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5"/>
      <c r="W528" s="7"/>
      <c r="X528" s="7"/>
      <c r="Y528" s="7"/>
      <c r="Z528" s="5"/>
      <c r="AA528" s="7"/>
      <c r="AB528" s="7"/>
      <c r="AC528" s="7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5"/>
      <c r="W529" s="7"/>
      <c r="X529" s="7"/>
      <c r="Y529" s="7"/>
      <c r="Z529" s="5"/>
      <c r="AA529" s="7"/>
      <c r="AB529" s="7"/>
      <c r="AC529" s="7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5"/>
      <c r="W530" s="7"/>
      <c r="X530" s="7"/>
      <c r="Y530" s="7"/>
      <c r="Z530" s="5"/>
      <c r="AA530" s="7"/>
      <c r="AB530" s="7"/>
      <c r="AC530" s="7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5"/>
      <c r="W531" s="7"/>
      <c r="X531" s="7"/>
      <c r="Y531" s="7"/>
      <c r="Z531" s="5"/>
      <c r="AA531" s="7"/>
      <c r="AB531" s="7"/>
      <c r="AC531" s="7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5"/>
      <c r="W532" s="7"/>
      <c r="X532" s="7"/>
      <c r="Y532" s="7"/>
      <c r="Z532" s="5"/>
      <c r="AA532" s="7"/>
      <c r="AB532" s="7"/>
      <c r="AC532" s="7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5"/>
      <c r="W533" s="7"/>
      <c r="X533" s="7"/>
      <c r="Y533" s="7"/>
      <c r="Z533" s="5"/>
      <c r="AA533" s="7"/>
      <c r="AB533" s="7"/>
      <c r="AC533" s="7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5"/>
      <c r="W534" s="7"/>
      <c r="X534" s="7"/>
      <c r="Y534" s="7"/>
      <c r="Z534" s="5"/>
      <c r="AA534" s="7"/>
      <c r="AB534" s="7"/>
      <c r="AC534" s="7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5"/>
      <c r="W535" s="7"/>
      <c r="X535" s="7"/>
      <c r="Y535" s="7"/>
      <c r="Z535" s="5"/>
      <c r="AA535" s="7"/>
      <c r="AB535" s="7"/>
      <c r="AC535" s="7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5"/>
      <c r="W536" s="7"/>
      <c r="X536" s="7"/>
      <c r="Y536" s="7"/>
      <c r="Z536" s="5"/>
      <c r="AA536" s="7"/>
      <c r="AB536" s="7"/>
      <c r="AC536" s="7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5"/>
      <c r="W537" s="7"/>
      <c r="X537" s="7"/>
      <c r="Y537" s="7"/>
      <c r="Z537" s="5"/>
      <c r="AA537" s="7"/>
      <c r="AB537" s="7"/>
      <c r="AC537" s="7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5"/>
      <c r="W538" s="7"/>
      <c r="X538" s="7"/>
      <c r="Y538" s="7"/>
      <c r="Z538" s="5"/>
      <c r="AA538" s="7"/>
      <c r="AB538" s="7"/>
      <c r="AC538" s="7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5"/>
      <c r="W539" s="7"/>
      <c r="X539" s="7"/>
      <c r="Y539" s="7"/>
      <c r="Z539" s="5"/>
      <c r="AA539" s="7"/>
      <c r="AB539" s="7"/>
      <c r="AC539" s="7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5"/>
      <c r="W540" s="7"/>
      <c r="X540" s="7"/>
      <c r="Y540" s="7"/>
      <c r="Z540" s="5"/>
      <c r="AA540" s="7"/>
      <c r="AB540" s="7"/>
      <c r="AC540" s="7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5"/>
      <c r="W541" s="7"/>
      <c r="X541" s="7"/>
      <c r="Y541" s="7"/>
      <c r="Z541" s="5"/>
      <c r="AA541" s="7"/>
      <c r="AB541" s="7"/>
      <c r="AC541" s="7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5"/>
      <c r="W542" s="7"/>
      <c r="X542" s="7"/>
      <c r="Y542" s="7"/>
      <c r="Z542" s="5"/>
      <c r="AA542" s="7"/>
      <c r="AB542" s="7"/>
      <c r="AC542" s="7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5"/>
      <c r="W543" s="7"/>
      <c r="X543" s="7"/>
      <c r="Y543" s="7"/>
      <c r="Z543" s="5"/>
      <c r="AA543" s="7"/>
      <c r="AB543" s="7"/>
      <c r="AC543" s="7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5"/>
      <c r="W544" s="7"/>
      <c r="X544" s="7"/>
      <c r="Y544" s="7"/>
      <c r="Z544" s="5"/>
      <c r="AA544" s="7"/>
      <c r="AB544" s="7"/>
      <c r="AC544" s="7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5"/>
      <c r="W545" s="7"/>
      <c r="X545" s="7"/>
      <c r="Y545" s="7"/>
      <c r="Z545" s="5"/>
      <c r="AA545" s="7"/>
      <c r="AB545" s="7"/>
      <c r="AC545" s="7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5"/>
      <c r="W546" s="7"/>
      <c r="X546" s="7"/>
      <c r="Y546" s="7"/>
      <c r="Z546" s="5"/>
      <c r="AA546" s="7"/>
      <c r="AB546" s="7"/>
      <c r="AC546" s="7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5"/>
      <c r="W547" s="7"/>
      <c r="X547" s="7"/>
      <c r="Y547" s="7"/>
      <c r="Z547" s="5"/>
      <c r="AA547" s="7"/>
      <c r="AB547" s="7"/>
      <c r="AC547" s="7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5"/>
      <c r="W548" s="7"/>
      <c r="X548" s="7"/>
      <c r="Y548" s="7"/>
      <c r="Z548" s="5"/>
      <c r="AA548" s="7"/>
      <c r="AB548" s="7"/>
      <c r="AC548" s="7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5"/>
      <c r="W549" s="7"/>
      <c r="X549" s="7"/>
      <c r="Y549" s="7"/>
      <c r="Z549" s="5"/>
      <c r="AA549" s="7"/>
      <c r="AB549" s="7"/>
      <c r="AC549" s="7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5"/>
      <c r="W550" s="7"/>
      <c r="X550" s="7"/>
      <c r="Y550" s="7"/>
      <c r="Z550" s="5"/>
      <c r="AA550" s="7"/>
      <c r="AB550" s="7"/>
      <c r="AC550" s="7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5"/>
      <c r="W551" s="7"/>
      <c r="X551" s="7"/>
      <c r="Y551" s="7"/>
      <c r="Z551" s="5"/>
      <c r="AA551" s="7"/>
      <c r="AB551" s="7"/>
      <c r="AC551" s="7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5"/>
      <c r="W552" s="7"/>
      <c r="X552" s="7"/>
      <c r="Y552" s="7"/>
      <c r="Z552" s="5"/>
      <c r="AA552" s="7"/>
      <c r="AB552" s="7"/>
      <c r="AC552" s="7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5"/>
      <c r="W553" s="7"/>
      <c r="X553" s="7"/>
      <c r="Y553" s="7"/>
      <c r="Z553" s="5"/>
      <c r="AA553" s="7"/>
      <c r="AB553" s="7"/>
      <c r="AC553" s="7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5"/>
      <c r="W554" s="7"/>
      <c r="X554" s="7"/>
      <c r="Y554" s="7"/>
      <c r="Z554" s="5"/>
      <c r="AA554" s="7"/>
      <c r="AB554" s="7"/>
      <c r="AC554" s="7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5"/>
      <c r="W555" s="7"/>
      <c r="X555" s="7"/>
      <c r="Y555" s="7"/>
      <c r="Z555" s="5"/>
      <c r="AA555" s="7"/>
      <c r="AB555" s="7"/>
      <c r="AC555" s="7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5"/>
      <c r="W556" s="7"/>
      <c r="X556" s="7"/>
      <c r="Y556" s="7"/>
      <c r="Z556" s="5"/>
      <c r="AA556" s="7"/>
      <c r="AB556" s="7"/>
      <c r="AC556" s="7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5"/>
      <c r="W557" s="7"/>
      <c r="X557" s="7"/>
      <c r="Y557" s="7"/>
      <c r="Z557" s="5"/>
      <c r="AA557" s="7"/>
      <c r="AB557" s="7"/>
      <c r="AC557" s="7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5"/>
      <c r="W558" s="7"/>
      <c r="X558" s="7"/>
      <c r="Y558" s="7"/>
      <c r="Z558" s="5"/>
      <c r="AA558" s="7"/>
      <c r="AB558" s="7"/>
      <c r="AC558" s="7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5"/>
      <c r="W559" s="7"/>
      <c r="X559" s="7"/>
      <c r="Y559" s="7"/>
      <c r="Z559" s="5"/>
      <c r="AA559" s="7"/>
      <c r="AB559" s="7"/>
      <c r="AC559" s="7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5"/>
      <c r="W560" s="7"/>
      <c r="X560" s="7"/>
      <c r="Y560" s="7"/>
      <c r="Z560" s="5"/>
      <c r="AA560" s="7"/>
      <c r="AB560" s="7"/>
      <c r="AC560" s="7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5"/>
      <c r="W561" s="7"/>
      <c r="X561" s="7"/>
      <c r="Y561" s="7"/>
      <c r="Z561" s="5"/>
      <c r="AA561" s="7"/>
      <c r="AB561" s="7"/>
      <c r="AC561" s="7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5"/>
      <c r="W562" s="7"/>
      <c r="X562" s="7"/>
      <c r="Y562" s="7"/>
      <c r="Z562" s="5"/>
      <c r="AA562" s="7"/>
      <c r="AB562" s="7"/>
      <c r="AC562" s="7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5"/>
      <c r="W563" s="7"/>
      <c r="X563" s="7"/>
      <c r="Y563" s="7"/>
      <c r="Z563" s="5"/>
      <c r="AA563" s="7"/>
      <c r="AB563" s="7"/>
      <c r="AC563" s="7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5"/>
      <c r="W564" s="7"/>
      <c r="X564" s="7"/>
      <c r="Y564" s="7"/>
      <c r="Z564" s="5"/>
      <c r="AA564" s="7"/>
      <c r="AB564" s="7"/>
      <c r="AC564" s="7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5"/>
      <c r="W565" s="7"/>
      <c r="X565" s="7"/>
      <c r="Y565" s="7"/>
      <c r="Z565" s="5"/>
      <c r="AA565" s="7"/>
      <c r="AB565" s="7"/>
      <c r="AC565" s="7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5"/>
      <c r="W566" s="7"/>
      <c r="X566" s="7"/>
      <c r="Y566" s="7"/>
      <c r="Z566" s="5"/>
      <c r="AA566" s="7"/>
      <c r="AB566" s="7"/>
      <c r="AC566" s="7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5"/>
      <c r="W567" s="7"/>
      <c r="X567" s="7"/>
      <c r="Y567" s="7"/>
      <c r="Z567" s="5"/>
      <c r="AA567" s="7"/>
      <c r="AB567" s="7"/>
      <c r="AC567" s="7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5"/>
      <c r="W568" s="7"/>
      <c r="X568" s="7"/>
      <c r="Y568" s="7"/>
      <c r="Z568" s="5"/>
      <c r="AA568" s="7"/>
      <c r="AB568" s="7"/>
      <c r="AC568" s="7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5"/>
      <c r="W569" s="7"/>
      <c r="X569" s="7"/>
      <c r="Y569" s="7"/>
      <c r="Z569" s="5"/>
      <c r="AA569" s="7"/>
      <c r="AB569" s="7"/>
      <c r="AC569" s="7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5"/>
      <c r="W570" s="7"/>
      <c r="X570" s="7"/>
      <c r="Y570" s="7"/>
      <c r="Z570" s="5"/>
      <c r="AA570" s="7"/>
      <c r="AB570" s="7"/>
      <c r="AC570" s="7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5"/>
      <c r="W571" s="7"/>
      <c r="X571" s="7"/>
      <c r="Y571" s="7"/>
      <c r="Z571" s="5"/>
      <c r="AA571" s="7"/>
      <c r="AB571" s="7"/>
      <c r="AC571" s="7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5"/>
      <c r="W572" s="7"/>
      <c r="X572" s="7"/>
      <c r="Y572" s="7"/>
      <c r="Z572" s="5"/>
      <c r="AA572" s="7"/>
      <c r="AB572" s="7"/>
      <c r="AC572" s="7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5"/>
      <c r="W573" s="7"/>
      <c r="X573" s="7"/>
      <c r="Y573" s="7"/>
      <c r="Z573" s="5"/>
      <c r="AA573" s="7"/>
      <c r="AB573" s="7"/>
      <c r="AC573" s="7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5"/>
      <c r="W574" s="7"/>
      <c r="X574" s="7"/>
      <c r="Y574" s="7"/>
      <c r="Z574" s="5"/>
      <c r="AA574" s="7"/>
      <c r="AB574" s="7"/>
      <c r="AC574" s="7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5"/>
      <c r="W575" s="7"/>
      <c r="X575" s="7"/>
      <c r="Y575" s="7"/>
      <c r="Z575" s="5"/>
      <c r="AA575" s="7"/>
      <c r="AB575" s="7"/>
      <c r="AC575" s="7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5"/>
      <c r="W576" s="7"/>
      <c r="X576" s="7"/>
      <c r="Y576" s="7"/>
      <c r="Z576" s="5"/>
      <c r="AA576" s="7"/>
      <c r="AB576" s="7"/>
      <c r="AC576" s="7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5"/>
      <c r="W577" s="7"/>
      <c r="X577" s="7"/>
      <c r="Y577" s="7"/>
      <c r="Z577" s="5"/>
      <c r="AA577" s="7"/>
      <c r="AB577" s="7"/>
      <c r="AC577" s="7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5"/>
      <c r="W578" s="7"/>
      <c r="X578" s="7"/>
      <c r="Y578" s="7"/>
      <c r="Z578" s="5"/>
      <c r="AA578" s="7"/>
      <c r="AB578" s="7"/>
      <c r="AC578" s="7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5"/>
      <c r="W579" s="7"/>
      <c r="X579" s="7"/>
      <c r="Y579" s="7"/>
      <c r="Z579" s="5"/>
      <c r="AA579" s="7"/>
      <c r="AB579" s="7"/>
      <c r="AC579" s="7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5"/>
      <c r="W580" s="7"/>
      <c r="X580" s="7"/>
      <c r="Y580" s="7"/>
      <c r="Z580" s="5"/>
      <c r="AA580" s="7"/>
      <c r="AB580" s="7"/>
      <c r="AC580" s="7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5"/>
      <c r="W581" s="7"/>
      <c r="X581" s="7"/>
      <c r="Y581" s="7"/>
      <c r="Z581" s="5"/>
      <c r="AA581" s="7"/>
      <c r="AB581" s="7"/>
      <c r="AC581" s="7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5"/>
      <c r="W582" s="7"/>
      <c r="X582" s="7"/>
      <c r="Y582" s="7"/>
      <c r="Z582" s="5"/>
      <c r="AA582" s="7"/>
      <c r="AB582" s="7"/>
      <c r="AC582" s="7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5"/>
      <c r="W583" s="7"/>
      <c r="X583" s="7"/>
      <c r="Y583" s="7"/>
      <c r="Z583" s="5"/>
      <c r="AA583" s="7"/>
      <c r="AB583" s="7"/>
      <c r="AC583" s="7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5"/>
      <c r="W584" s="7"/>
      <c r="X584" s="7"/>
      <c r="Y584" s="7"/>
      <c r="Z584" s="5"/>
      <c r="AA584" s="7"/>
      <c r="AB584" s="7"/>
      <c r="AC584" s="7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5"/>
      <c r="W585" s="7"/>
      <c r="X585" s="7"/>
      <c r="Y585" s="7"/>
      <c r="Z585" s="5"/>
      <c r="AA585" s="7"/>
      <c r="AB585" s="7"/>
      <c r="AC585" s="7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5"/>
      <c r="W586" s="7"/>
      <c r="X586" s="7"/>
      <c r="Y586" s="7"/>
      <c r="Z586" s="5"/>
      <c r="AA586" s="7"/>
      <c r="AB586" s="7"/>
      <c r="AC586" s="7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5"/>
      <c r="W587" s="7"/>
      <c r="X587" s="7"/>
      <c r="Y587" s="7"/>
      <c r="Z587" s="5"/>
      <c r="AA587" s="7"/>
      <c r="AB587" s="7"/>
      <c r="AC587" s="7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5"/>
      <c r="W588" s="7"/>
      <c r="X588" s="7"/>
      <c r="Y588" s="7"/>
      <c r="Z588" s="5"/>
      <c r="AA588" s="7"/>
      <c r="AB588" s="7"/>
      <c r="AC588" s="7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5"/>
      <c r="W589" s="7"/>
      <c r="X589" s="7"/>
      <c r="Y589" s="7"/>
      <c r="Z589" s="5"/>
      <c r="AA589" s="7"/>
      <c r="AB589" s="7"/>
      <c r="AC589" s="7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5"/>
      <c r="W590" s="7"/>
      <c r="X590" s="7"/>
      <c r="Y590" s="7"/>
      <c r="Z590" s="5"/>
      <c r="AA590" s="7"/>
      <c r="AB590" s="7"/>
      <c r="AC590" s="7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5"/>
      <c r="W591" s="7"/>
      <c r="X591" s="7"/>
      <c r="Y591" s="7"/>
      <c r="Z591" s="5"/>
      <c r="AA591" s="7"/>
      <c r="AB591" s="7"/>
      <c r="AC591" s="7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5"/>
      <c r="W592" s="7"/>
      <c r="X592" s="7"/>
      <c r="Y592" s="7"/>
      <c r="Z592" s="5"/>
      <c r="AA592" s="7"/>
      <c r="AB592" s="7"/>
      <c r="AC592" s="7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5"/>
      <c r="W593" s="7"/>
      <c r="X593" s="7"/>
      <c r="Y593" s="7"/>
      <c r="Z593" s="5"/>
      <c r="AA593" s="7"/>
      <c r="AB593" s="7"/>
      <c r="AC593" s="7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5"/>
      <c r="W594" s="7"/>
      <c r="X594" s="7"/>
      <c r="Y594" s="7"/>
      <c r="Z594" s="5"/>
      <c r="AA594" s="7"/>
      <c r="AB594" s="7"/>
      <c r="AC594" s="7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5"/>
      <c r="W595" s="7"/>
      <c r="X595" s="7"/>
      <c r="Y595" s="7"/>
      <c r="Z595" s="5"/>
      <c r="AA595" s="7"/>
      <c r="AB595" s="7"/>
      <c r="AC595" s="7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5"/>
      <c r="W596" s="7"/>
      <c r="X596" s="7"/>
      <c r="Y596" s="7"/>
      <c r="Z596" s="5"/>
      <c r="AA596" s="7"/>
      <c r="AB596" s="7"/>
      <c r="AC596" s="7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5"/>
      <c r="W597" s="7"/>
      <c r="X597" s="7"/>
      <c r="Y597" s="7"/>
      <c r="Z597" s="5"/>
      <c r="AA597" s="7"/>
      <c r="AB597" s="7"/>
      <c r="AC597" s="7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5"/>
      <c r="W598" s="7"/>
      <c r="X598" s="7"/>
      <c r="Y598" s="7"/>
      <c r="Z598" s="5"/>
      <c r="AA598" s="7"/>
      <c r="AB598" s="7"/>
      <c r="AC598" s="7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5"/>
      <c r="W599" s="7"/>
      <c r="X599" s="7"/>
      <c r="Y599" s="7"/>
      <c r="Z599" s="5"/>
      <c r="AA599" s="7"/>
      <c r="AB599" s="7"/>
      <c r="AC599" s="7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5"/>
      <c r="W600" s="7"/>
      <c r="X600" s="7"/>
      <c r="Y600" s="7"/>
      <c r="Z600" s="5"/>
      <c r="AA600" s="7"/>
      <c r="AB600" s="7"/>
      <c r="AC600" s="7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5"/>
      <c r="W601" s="7"/>
      <c r="X601" s="7"/>
      <c r="Y601" s="7"/>
      <c r="Z601" s="5"/>
      <c r="AA601" s="7"/>
      <c r="AB601" s="7"/>
      <c r="AC601" s="7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5"/>
      <c r="W602" s="7"/>
      <c r="X602" s="7"/>
      <c r="Y602" s="7"/>
      <c r="Z602" s="5"/>
      <c r="AA602" s="7"/>
      <c r="AB602" s="7"/>
      <c r="AC602" s="7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5"/>
      <c r="W603" s="7"/>
      <c r="X603" s="7"/>
      <c r="Y603" s="7"/>
      <c r="Z603" s="5"/>
      <c r="AA603" s="7"/>
      <c r="AB603" s="7"/>
      <c r="AC603" s="7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5"/>
      <c r="W604" s="7"/>
      <c r="X604" s="7"/>
      <c r="Y604" s="7"/>
      <c r="Z604" s="5"/>
      <c r="AA604" s="7"/>
      <c r="AB604" s="7"/>
      <c r="AC604" s="7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5"/>
      <c r="W605" s="7"/>
      <c r="X605" s="7"/>
      <c r="Y605" s="7"/>
      <c r="Z605" s="5"/>
      <c r="AA605" s="7"/>
      <c r="AB605" s="7"/>
      <c r="AC605" s="7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5"/>
      <c r="W606" s="7"/>
      <c r="X606" s="7"/>
      <c r="Y606" s="7"/>
      <c r="Z606" s="5"/>
      <c r="AA606" s="7"/>
      <c r="AB606" s="7"/>
      <c r="AC606" s="7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5"/>
      <c r="W607" s="7"/>
      <c r="X607" s="7"/>
      <c r="Y607" s="7"/>
      <c r="Z607" s="5"/>
      <c r="AA607" s="7"/>
      <c r="AB607" s="7"/>
      <c r="AC607" s="7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5"/>
      <c r="W608" s="7"/>
      <c r="X608" s="7"/>
      <c r="Y608" s="7"/>
      <c r="Z608" s="5"/>
      <c r="AA608" s="7"/>
      <c r="AB608" s="7"/>
      <c r="AC608" s="7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5"/>
      <c r="W609" s="7"/>
      <c r="X609" s="7"/>
      <c r="Y609" s="7"/>
      <c r="Z609" s="5"/>
      <c r="AA609" s="7"/>
      <c r="AB609" s="7"/>
      <c r="AC609" s="7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5"/>
      <c r="W610" s="7"/>
      <c r="X610" s="7"/>
      <c r="Y610" s="7"/>
      <c r="Z610" s="5"/>
      <c r="AA610" s="7"/>
      <c r="AB610" s="7"/>
      <c r="AC610" s="7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5"/>
      <c r="W611" s="7"/>
      <c r="X611" s="7"/>
      <c r="Y611" s="7"/>
      <c r="Z611" s="5"/>
      <c r="AA611" s="7"/>
      <c r="AB611" s="7"/>
      <c r="AC611" s="7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5"/>
      <c r="W612" s="7"/>
      <c r="X612" s="7"/>
      <c r="Y612" s="7"/>
      <c r="Z612" s="5"/>
      <c r="AA612" s="7"/>
      <c r="AB612" s="7"/>
      <c r="AC612" s="7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5"/>
      <c r="W613" s="7"/>
      <c r="X613" s="7"/>
      <c r="Y613" s="7"/>
      <c r="Z613" s="5"/>
      <c r="AA613" s="7"/>
      <c r="AB613" s="7"/>
      <c r="AC613" s="7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5"/>
      <c r="W614" s="7"/>
      <c r="X614" s="7"/>
      <c r="Y614" s="7"/>
      <c r="Z614" s="5"/>
      <c r="AA614" s="7"/>
      <c r="AB614" s="7"/>
      <c r="AC614" s="7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5"/>
      <c r="W615" s="7"/>
      <c r="X615" s="7"/>
      <c r="Y615" s="7"/>
      <c r="Z615" s="5"/>
      <c r="AA615" s="7"/>
      <c r="AB615" s="7"/>
      <c r="AC615" s="7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5"/>
      <c r="W616" s="7"/>
      <c r="X616" s="7"/>
      <c r="Y616" s="7"/>
      <c r="Z616" s="5"/>
      <c r="AA616" s="7"/>
      <c r="AB616" s="7"/>
      <c r="AC616" s="7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5"/>
      <c r="W617" s="7"/>
      <c r="X617" s="7"/>
      <c r="Y617" s="7"/>
      <c r="Z617" s="5"/>
      <c r="AA617" s="7"/>
      <c r="AB617" s="7"/>
      <c r="AC617" s="7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5"/>
      <c r="W618" s="7"/>
      <c r="X618" s="7"/>
      <c r="Y618" s="7"/>
      <c r="Z618" s="5"/>
      <c r="AA618" s="7"/>
      <c r="AB618" s="7"/>
      <c r="AC618" s="7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5"/>
      <c r="W619" s="7"/>
      <c r="X619" s="7"/>
      <c r="Y619" s="7"/>
      <c r="Z619" s="5"/>
      <c r="AA619" s="7"/>
      <c r="AB619" s="7"/>
      <c r="AC619" s="7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5"/>
      <c r="W620" s="7"/>
      <c r="X620" s="7"/>
      <c r="Y620" s="7"/>
      <c r="Z620" s="5"/>
      <c r="AA620" s="7"/>
      <c r="AB620" s="7"/>
      <c r="AC620" s="7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5"/>
      <c r="W621" s="7"/>
      <c r="X621" s="7"/>
      <c r="Y621" s="7"/>
      <c r="Z621" s="5"/>
      <c r="AA621" s="7"/>
      <c r="AB621" s="7"/>
      <c r="AC621" s="7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5"/>
      <c r="W622" s="7"/>
      <c r="X622" s="7"/>
      <c r="Y622" s="7"/>
      <c r="Z622" s="5"/>
      <c r="AA622" s="7"/>
      <c r="AB622" s="7"/>
      <c r="AC622" s="7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5"/>
      <c r="W623" s="7"/>
      <c r="X623" s="7"/>
      <c r="Y623" s="7"/>
      <c r="Z623" s="5"/>
      <c r="AA623" s="7"/>
      <c r="AB623" s="7"/>
      <c r="AC623" s="7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5"/>
      <c r="W624" s="7"/>
      <c r="X624" s="7"/>
      <c r="Y624" s="7"/>
      <c r="Z624" s="5"/>
      <c r="AA624" s="7"/>
      <c r="AB624" s="7"/>
      <c r="AC624" s="7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5"/>
      <c r="W625" s="7"/>
      <c r="X625" s="7"/>
      <c r="Y625" s="7"/>
      <c r="Z625" s="5"/>
      <c r="AA625" s="7"/>
      <c r="AB625" s="7"/>
      <c r="AC625" s="7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5"/>
      <c r="W626" s="7"/>
      <c r="X626" s="7"/>
      <c r="Y626" s="7"/>
      <c r="Z626" s="5"/>
      <c r="AA626" s="7"/>
      <c r="AB626" s="7"/>
      <c r="AC626" s="7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5"/>
      <c r="W627" s="7"/>
      <c r="X627" s="7"/>
      <c r="Y627" s="7"/>
      <c r="Z627" s="5"/>
      <c r="AA627" s="7"/>
      <c r="AB627" s="7"/>
      <c r="AC627" s="7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5"/>
      <c r="W628" s="7"/>
      <c r="X628" s="7"/>
      <c r="Y628" s="7"/>
      <c r="Z628" s="5"/>
      <c r="AA628" s="7"/>
      <c r="AB628" s="7"/>
      <c r="AC628" s="7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5"/>
      <c r="W629" s="7"/>
      <c r="X629" s="7"/>
      <c r="Y629" s="7"/>
      <c r="Z629" s="5"/>
      <c r="AA629" s="7"/>
      <c r="AB629" s="7"/>
      <c r="AC629" s="7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5"/>
      <c r="W630" s="7"/>
      <c r="X630" s="7"/>
      <c r="Y630" s="7"/>
      <c r="Z630" s="5"/>
      <c r="AA630" s="7"/>
      <c r="AB630" s="7"/>
      <c r="AC630" s="7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5"/>
      <c r="W631" s="7"/>
      <c r="X631" s="7"/>
      <c r="Y631" s="7"/>
      <c r="Z631" s="5"/>
      <c r="AA631" s="7"/>
      <c r="AB631" s="7"/>
      <c r="AC631" s="7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5"/>
      <c r="W632" s="7"/>
      <c r="X632" s="7"/>
      <c r="Y632" s="7"/>
      <c r="Z632" s="5"/>
      <c r="AA632" s="7"/>
      <c r="AB632" s="7"/>
      <c r="AC632" s="7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5"/>
      <c r="W633" s="7"/>
      <c r="X633" s="7"/>
      <c r="Y633" s="7"/>
      <c r="Z633" s="5"/>
      <c r="AA633" s="7"/>
      <c r="AB633" s="7"/>
      <c r="AC633" s="7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5"/>
      <c r="W634" s="7"/>
      <c r="X634" s="7"/>
      <c r="Y634" s="7"/>
      <c r="Z634" s="5"/>
      <c r="AA634" s="7"/>
      <c r="AB634" s="7"/>
      <c r="AC634" s="7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5"/>
      <c r="W635" s="7"/>
      <c r="X635" s="7"/>
      <c r="Y635" s="7"/>
      <c r="Z635" s="5"/>
      <c r="AA635" s="7"/>
      <c r="AB635" s="7"/>
      <c r="AC635" s="7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5"/>
      <c r="W636" s="7"/>
      <c r="X636" s="7"/>
      <c r="Y636" s="7"/>
      <c r="Z636" s="5"/>
      <c r="AA636" s="7"/>
      <c r="AB636" s="7"/>
      <c r="AC636" s="7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5"/>
      <c r="W637" s="7"/>
      <c r="X637" s="7"/>
      <c r="Y637" s="7"/>
      <c r="Z637" s="5"/>
      <c r="AA637" s="7"/>
      <c r="AB637" s="7"/>
      <c r="AC637" s="7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5"/>
      <c r="W638" s="7"/>
      <c r="X638" s="7"/>
      <c r="Y638" s="7"/>
      <c r="Z638" s="5"/>
      <c r="AA638" s="7"/>
      <c r="AB638" s="7"/>
      <c r="AC638" s="7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5"/>
      <c r="W639" s="7"/>
      <c r="X639" s="7"/>
      <c r="Y639" s="7"/>
      <c r="Z639" s="5"/>
      <c r="AA639" s="7"/>
      <c r="AB639" s="7"/>
      <c r="AC639" s="7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5"/>
      <c r="W640" s="7"/>
      <c r="X640" s="7"/>
      <c r="Y640" s="7"/>
      <c r="Z640" s="5"/>
      <c r="AA640" s="7"/>
      <c r="AB640" s="7"/>
      <c r="AC640" s="7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5"/>
      <c r="W641" s="7"/>
      <c r="X641" s="7"/>
      <c r="Y641" s="7"/>
      <c r="Z641" s="5"/>
      <c r="AA641" s="7"/>
      <c r="AB641" s="7"/>
      <c r="AC641" s="7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5"/>
      <c r="W642" s="7"/>
      <c r="X642" s="7"/>
      <c r="Y642" s="7"/>
      <c r="Z642" s="5"/>
      <c r="AA642" s="7"/>
      <c r="AB642" s="7"/>
      <c r="AC642" s="7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5"/>
      <c r="W643" s="7"/>
      <c r="X643" s="7"/>
      <c r="Y643" s="7"/>
      <c r="Z643" s="5"/>
      <c r="AA643" s="7"/>
      <c r="AB643" s="7"/>
      <c r="AC643" s="7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5"/>
      <c r="W644" s="7"/>
      <c r="X644" s="7"/>
      <c r="Y644" s="7"/>
      <c r="Z644" s="5"/>
      <c r="AA644" s="7"/>
      <c r="AB644" s="7"/>
      <c r="AC644" s="7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5"/>
      <c r="W645" s="7"/>
      <c r="X645" s="7"/>
      <c r="Y645" s="7"/>
      <c r="Z645" s="5"/>
      <c r="AA645" s="7"/>
      <c r="AB645" s="7"/>
      <c r="AC645" s="7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5"/>
      <c r="W646" s="7"/>
      <c r="X646" s="7"/>
      <c r="Y646" s="7"/>
      <c r="Z646" s="5"/>
      <c r="AA646" s="7"/>
      <c r="AB646" s="7"/>
      <c r="AC646" s="7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5"/>
      <c r="W647" s="7"/>
      <c r="X647" s="7"/>
      <c r="Y647" s="7"/>
      <c r="Z647" s="5"/>
      <c r="AA647" s="7"/>
      <c r="AB647" s="7"/>
      <c r="AC647" s="7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5"/>
      <c r="W648" s="7"/>
      <c r="X648" s="7"/>
      <c r="Y648" s="7"/>
      <c r="Z648" s="5"/>
      <c r="AA648" s="7"/>
      <c r="AB648" s="7"/>
      <c r="AC648" s="7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5"/>
      <c r="W649" s="7"/>
      <c r="X649" s="7"/>
      <c r="Y649" s="7"/>
      <c r="Z649" s="5"/>
      <c r="AA649" s="7"/>
      <c r="AB649" s="7"/>
      <c r="AC649" s="7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5"/>
      <c r="W650" s="7"/>
      <c r="X650" s="7"/>
      <c r="Y650" s="7"/>
      <c r="Z650" s="5"/>
      <c r="AA650" s="7"/>
      <c r="AB650" s="7"/>
      <c r="AC650" s="7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5"/>
      <c r="W651" s="7"/>
      <c r="X651" s="7"/>
      <c r="Y651" s="7"/>
      <c r="Z651" s="5"/>
      <c r="AA651" s="7"/>
      <c r="AB651" s="7"/>
      <c r="AC651" s="7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5"/>
      <c r="W652" s="7"/>
      <c r="X652" s="7"/>
      <c r="Y652" s="7"/>
      <c r="Z652" s="5"/>
      <c r="AA652" s="7"/>
      <c r="AB652" s="7"/>
      <c r="AC652" s="7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5"/>
      <c r="W653" s="7"/>
      <c r="X653" s="7"/>
      <c r="Y653" s="7"/>
      <c r="Z653" s="5"/>
      <c r="AA653" s="7"/>
      <c r="AB653" s="7"/>
      <c r="AC653" s="7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5"/>
      <c r="W654" s="7"/>
      <c r="X654" s="7"/>
      <c r="Y654" s="7"/>
      <c r="Z654" s="5"/>
      <c r="AA654" s="7"/>
      <c r="AB654" s="7"/>
      <c r="AC654" s="7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5"/>
      <c r="W655" s="7"/>
      <c r="X655" s="7"/>
      <c r="Y655" s="7"/>
      <c r="Z655" s="5"/>
      <c r="AA655" s="7"/>
      <c r="AB655" s="7"/>
      <c r="AC655" s="7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5"/>
      <c r="W656" s="7"/>
      <c r="X656" s="7"/>
      <c r="Y656" s="7"/>
      <c r="Z656" s="5"/>
      <c r="AA656" s="7"/>
      <c r="AB656" s="7"/>
      <c r="AC656" s="7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5"/>
      <c r="W657" s="7"/>
      <c r="X657" s="7"/>
      <c r="Y657" s="7"/>
      <c r="Z657" s="5"/>
      <c r="AA657" s="7"/>
      <c r="AB657" s="7"/>
      <c r="AC657" s="7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5"/>
      <c r="W658" s="7"/>
      <c r="X658" s="7"/>
      <c r="Y658" s="7"/>
      <c r="Z658" s="5"/>
      <c r="AA658" s="7"/>
      <c r="AB658" s="7"/>
      <c r="AC658" s="7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5"/>
      <c r="W659" s="7"/>
      <c r="X659" s="7"/>
      <c r="Y659" s="7"/>
      <c r="Z659" s="5"/>
      <c r="AA659" s="7"/>
      <c r="AB659" s="7"/>
      <c r="AC659" s="7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5"/>
      <c r="W660" s="7"/>
      <c r="X660" s="7"/>
      <c r="Y660" s="7"/>
      <c r="Z660" s="5"/>
      <c r="AA660" s="7"/>
      <c r="AB660" s="7"/>
      <c r="AC660" s="7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5"/>
      <c r="W661" s="7"/>
      <c r="X661" s="7"/>
      <c r="Y661" s="7"/>
      <c r="Z661" s="5"/>
      <c r="AA661" s="7"/>
      <c r="AB661" s="7"/>
      <c r="AC661" s="7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5"/>
      <c r="W662" s="7"/>
      <c r="X662" s="7"/>
      <c r="Y662" s="7"/>
      <c r="Z662" s="5"/>
      <c r="AA662" s="7"/>
      <c r="AB662" s="7"/>
      <c r="AC662" s="7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5"/>
      <c r="W663" s="7"/>
      <c r="X663" s="7"/>
      <c r="Y663" s="7"/>
      <c r="Z663" s="5"/>
      <c r="AA663" s="7"/>
      <c r="AB663" s="7"/>
      <c r="AC663" s="7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5"/>
      <c r="W664" s="7"/>
      <c r="X664" s="7"/>
      <c r="Y664" s="7"/>
      <c r="Z664" s="5"/>
      <c r="AA664" s="7"/>
      <c r="AB664" s="7"/>
      <c r="AC664" s="7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5"/>
      <c r="W665" s="7"/>
      <c r="X665" s="7"/>
      <c r="Y665" s="7"/>
      <c r="Z665" s="5"/>
      <c r="AA665" s="7"/>
      <c r="AB665" s="7"/>
      <c r="AC665" s="7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5"/>
      <c r="W666" s="7"/>
      <c r="X666" s="7"/>
      <c r="Y666" s="7"/>
      <c r="Z666" s="5"/>
      <c r="AA666" s="7"/>
      <c r="AB666" s="7"/>
      <c r="AC666" s="7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5"/>
      <c r="W667" s="7"/>
      <c r="X667" s="7"/>
      <c r="Y667" s="7"/>
      <c r="Z667" s="5"/>
      <c r="AA667" s="7"/>
      <c r="AB667" s="7"/>
      <c r="AC667" s="7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5"/>
      <c r="W668" s="7"/>
      <c r="X668" s="7"/>
      <c r="Y668" s="7"/>
      <c r="Z668" s="5"/>
      <c r="AA668" s="7"/>
      <c r="AB668" s="7"/>
      <c r="AC668" s="7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5"/>
      <c r="W669" s="7"/>
      <c r="X669" s="7"/>
      <c r="Y669" s="7"/>
      <c r="Z669" s="5"/>
      <c r="AA669" s="7"/>
      <c r="AB669" s="7"/>
      <c r="AC669" s="7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5"/>
      <c r="W670" s="7"/>
      <c r="X670" s="7"/>
      <c r="Y670" s="7"/>
      <c r="Z670" s="5"/>
      <c r="AA670" s="7"/>
      <c r="AB670" s="7"/>
      <c r="AC670" s="7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5"/>
      <c r="W671" s="7"/>
      <c r="X671" s="7"/>
      <c r="Y671" s="7"/>
      <c r="Z671" s="5"/>
      <c r="AA671" s="7"/>
      <c r="AB671" s="7"/>
      <c r="AC671" s="7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5"/>
      <c r="W672" s="7"/>
      <c r="X672" s="7"/>
      <c r="Y672" s="7"/>
      <c r="Z672" s="5"/>
      <c r="AA672" s="7"/>
      <c r="AB672" s="7"/>
      <c r="AC672" s="7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5"/>
      <c r="W673" s="7"/>
      <c r="X673" s="7"/>
      <c r="Y673" s="7"/>
      <c r="Z673" s="5"/>
      <c r="AA673" s="7"/>
      <c r="AB673" s="7"/>
      <c r="AC673" s="7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5"/>
      <c r="W674" s="7"/>
      <c r="X674" s="7"/>
      <c r="Y674" s="7"/>
      <c r="Z674" s="5"/>
      <c r="AA674" s="7"/>
      <c r="AB674" s="7"/>
      <c r="AC674" s="7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5"/>
      <c r="W675" s="7"/>
      <c r="X675" s="7"/>
      <c r="Y675" s="7"/>
      <c r="Z675" s="5"/>
      <c r="AA675" s="7"/>
      <c r="AB675" s="7"/>
      <c r="AC675" s="7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5"/>
      <c r="W676" s="7"/>
      <c r="X676" s="7"/>
      <c r="Y676" s="7"/>
      <c r="Z676" s="5"/>
      <c r="AA676" s="7"/>
      <c r="AB676" s="7"/>
      <c r="AC676" s="7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5"/>
      <c r="W677" s="7"/>
      <c r="X677" s="7"/>
      <c r="Y677" s="7"/>
      <c r="Z677" s="5"/>
      <c r="AA677" s="7"/>
      <c r="AB677" s="7"/>
      <c r="AC677" s="7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5"/>
      <c r="W678" s="7"/>
      <c r="X678" s="7"/>
      <c r="Y678" s="7"/>
      <c r="Z678" s="5"/>
      <c r="AA678" s="7"/>
      <c r="AB678" s="7"/>
      <c r="AC678" s="7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5"/>
      <c r="W679" s="7"/>
      <c r="X679" s="7"/>
      <c r="Y679" s="7"/>
      <c r="Z679" s="5"/>
      <c r="AA679" s="7"/>
      <c r="AB679" s="7"/>
      <c r="AC679" s="7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5"/>
      <c r="W680" s="7"/>
      <c r="X680" s="7"/>
      <c r="Y680" s="7"/>
      <c r="Z680" s="5"/>
      <c r="AA680" s="7"/>
      <c r="AB680" s="7"/>
      <c r="AC680" s="7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5"/>
      <c r="W681" s="7"/>
      <c r="X681" s="7"/>
      <c r="Y681" s="7"/>
      <c r="Z681" s="5"/>
      <c r="AA681" s="7"/>
      <c r="AB681" s="7"/>
      <c r="AC681" s="7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5"/>
      <c r="W682" s="7"/>
      <c r="X682" s="7"/>
      <c r="Y682" s="7"/>
      <c r="Z682" s="5"/>
      <c r="AA682" s="7"/>
      <c r="AB682" s="7"/>
      <c r="AC682" s="7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5"/>
      <c r="W683" s="7"/>
      <c r="X683" s="7"/>
      <c r="Y683" s="7"/>
      <c r="Z683" s="5"/>
      <c r="AA683" s="7"/>
      <c r="AB683" s="7"/>
      <c r="AC683" s="7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5"/>
      <c r="W684" s="7"/>
      <c r="X684" s="7"/>
      <c r="Y684" s="7"/>
      <c r="Z684" s="5"/>
      <c r="AA684" s="7"/>
      <c r="AB684" s="7"/>
      <c r="AC684" s="7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5"/>
      <c r="W685" s="7"/>
      <c r="X685" s="7"/>
      <c r="Y685" s="7"/>
      <c r="Z685" s="5"/>
      <c r="AA685" s="7"/>
      <c r="AB685" s="7"/>
      <c r="AC685" s="7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5"/>
      <c r="W686" s="7"/>
      <c r="X686" s="7"/>
      <c r="Y686" s="7"/>
      <c r="Z686" s="5"/>
      <c r="AA686" s="7"/>
      <c r="AB686" s="7"/>
      <c r="AC686" s="7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5"/>
      <c r="W687" s="7"/>
      <c r="X687" s="7"/>
      <c r="Y687" s="7"/>
      <c r="Z687" s="5"/>
      <c r="AA687" s="7"/>
      <c r="AB687" s="7"/>
      <c r="AC687" s="7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5"/>
      <c r="W688" s="7"/>
      <c r="X688" s="7"/>
      <c r="Y688" s="7"/>
      <c r="Z688" s="5"/>
      <c r="AA688" s="7"/>
      <c r="AB688" s="7"/>
      <c r="AC688" s="7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5"/>
      <c r="W689" s="7"/>
      <c r="X689" s="7"/>
      <c r="Y689" s="7"/>
      <c r="Z689" s="5"/>
      <c r="AA689" s="7"/>
      <c r="AB689" s="7"/>
      <c r="AC689" s="7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5"/>
      <c r="W690" s="7"/>
      <c r="X690" s="7"/>
      <c r="Y690" s="7"/>
      <c r="Z690" s="5"/>
      <c r="AA690" s="7"/>
      <c r="AB690" s="7"/>
      <c r="AC690" s="7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5"/>
      <c r="W691" s="7"/>
      <c r="X691" s="7"/>
      <c r="Y691" s="7"/>
      <c r="Z691" s="5"/>
      <c r="AA691" s="7"/>
      <c r="AB691" s="7"/>
      <c r="AC691" s="7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5"/>
      <c r="W692" s="7"/>
      <c r="X692" s="7"/>
      <c r="Y692" s="7"/>
      <c r="Z692" s="5"/>
      <c r="AA692" s="7"/>
      <c r="AB692" s="7"/>
      <c r="AC692" s="7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5"/>
      <c r="W693" s="7"/>
      <c r="X693" s="7"/>
      <c r="Y693" s="7"/>
      <c r="Z693" s="5"/>
      <c r="AA693" s="7"/>
      <c r="AB693" s="7"/>
      <c r="AC693" s="7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5"/>
      <c r="W694" s="7"/>
      <c r="X694" s="7"/>
      <c r="Y694" s="7"/>
      <c r="Z694" s="5"/>
      <c r="AA694" s="7"/>
      <c r="AB694" s="7"/>
      <c r="AC694" s="7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5"/>
      <c r="W695" s="7"/>
      <c r="X695" s="7"/>
      <c r="Y695" s="7"/>
      <c r="Z695" s="5"/>
      <c r="AA695" s="7"/>
      <c r="AB695" s="7"/>
      <c r="AC695" s="7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5"/>
      <c r="W696" s="7"/>
      <c r="X696" s="7"/>
      <c r="Y696" s="7"/>
      <c r="Z696" s="5"/>
      <c r="AA696" s="7"/>
      <c r="AB696" s="7"/>
      <c r="AC696" s="7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5"/>
      <c r="W697" s="7"/>
      <c r="X697" s="7"/>
      <c r="Y697" s="7"/>
      <c r="Z697" s="5"/>
      <c r="AA697" s="7"/>
      <c r="AB697" s="7"/>
      <c r="AC697" s="7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5"/>
      <c r="W698" s="7"/>
      <c r="X698" s="7"/>
      <c r="Y698" s="7"/>
      <c r="Z698" s="5"/>
      <c r="AA698" s="7"/>
      <c r="AB698" s="7"/>
      <c r="AC698" s="7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5"/>
      <c r="W699" s="7"/>
      <c r="X699" s="7"/>
      <c r="Y699" s="7"/>
      <c r="Z699" s="5"/>
      <c r="AA699" s="7"/>
      <c r="AB699" s="7"/>
      <c r="AC699" s="7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5"/>
      <c r="W700" s="7"/>
      <c r="X700" s="7"/>
      <c r="Y700" s="7"/>
      <c r="Z700" s="5"/>
      <c r="AA700" s="7"/>
      <c r="AB700" s="7"/>
      <c r="AC700" s="7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5"/>
      <c r="W701" s="7"/>
      <c r="X701" s="7"/>
      <c r="Y701" s="7"/>
      <c r="Z701" s="5"/>
      <c r="AA701" s="7"/>
      <c r="AB701" s="7"/>
      <c r="AC701" s="7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5"/>
      <c r="W702" s="7"/>
      <c r="X702" s="7"/>
      <c r="Y702" s="7"/>
      <c r="Z702" s="5"/>
      <c r="AA702" s="7"/>
      <c r="AB702" s="7"/>
      <c r="AC702" s="7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5"/>
      <c r="W703" s="7"/>
      <c r="X703" s="7"/>
      <c r="Y703" s="7"/>
      <c r="Z703" s="5"/>
      <c r="AA703" s="7"/>
      <c r="AB703" s="7"/>
      <c r="AC703" s="7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5"/>
      <c r="W704" s="7"/>
      <c r="X704" s="7"/>
      <c r="Y704" s="7"/>
      <c r="Z704" s="5"/>
      <c r="AA704" s="7"/>
      <c r="AB704" s="7"/>
      <c r="AC704" s="7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5"/>
      <c r="W705" s="7"/>
      <c r="X705" s="7"/>
      <c r="Y705" s="7"/>
      <c r="Z705" s="5"/>
      <c r="AA705" s="7"/>
      <c r="AB705" s="7"/>
      <c r="AC705" s="7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5"/>
      <c r="W706" s="7"/>
      <c r="X706" s="7"/>
      <c r="Y706" s="7"/>
      <c r="Z706" s="5"/>
      <c r="AA706" s="7"/>
      <c r="AB706" s="7"/>
      <c r="AC706" s="7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5"/>
      <c r="W707" s="7"/>
      <c r="X707" s="7"/>
      <c r="Y707" s="7"/>
      <c r="Z707" s="5"/>
      <c r="AA707" s="7"/>
      <c r="AB707" s="7"/>
      <c r="AC707" s="7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5"/>
      <c r="W708" s="7"/>
      <c r="X708" s="7"/>
      <c r="Y708" s="7"/>
      <c r="Z708" s="5"/>
      <c r="AA708" s="7"/>
      <c r="AB708" s="7"/>
      <c r="AC708" s="7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5"/>
      <c r="W709" s="7"/>
      <c r="X709" s="7"/>
      <c r="Y709" s="7"/>
      <c r="Z709" s="5"/>
      <c r="AA709" s="7"/>
      <c r="AB709" s="7"/>
      <c r="AC709" s="7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5"/>
      <c r="W710" s="7"/>
      <c r="X710" s="7"/>
      <c r="Y710" s="7"/>
      <c r="Z710" s="5"/>
      <c r="AA710" s="7"/>
      <c r="AB710" s="7"/>
      <c r="AC710" s="7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5"/>
      <c r="W711" s="7"/>
      <c r="X711" s="7"/>
      <c r="Y711" s="7"/>
      <c r="Z711" s="5"/>
      <c r="AA711" s="7"/>
      <c r="AB711" s="7"/>
      <c r="AC711" s="7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5"/>
      <c r="W712" s="7"/>
      <c r="X712" s="7"/>
      <c r="Y712" s="7"/>
      <c r="Z712" s="5"/>
      <c r="AA712" s="7"/>
      <c r="AB712" s="7"/>
      <c r="AC712" s="7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5"/>
      <c r="W713" s="7"/>
      <c r="X713" s="7"/>
      <c r="Y713" s="7"/>
      <c r="Z713" s="5"/>
      <c r="AA713" s="7"/>
      <c r="AB713" s="7"/>
      <c r="AC713" s="7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5"/>
      <c r="W714" s="7"/>
      <c r="X714" s="7"/>
      <c r="Y714" s="7"/>
      <c r="Z714" s="5"/>
      <c r="AA714" s="7"/>
      <c r="AB714" s="7"/>
      <c r="AC714" s="7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5"/>
      <c r="W715" s="7"/>
      <c r="X715" s="7"/>
      <c r="Y715" s="7"/>
      <c r="Z715" s="5"/>
      <c r="AA715" s="7"/>
      <c r="AB715" s="7"/>
      <c r="AC715" s="7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5"/>
      <c r="W716" s="7"/>
      <c r="X716" s="7"/>
      <c r="Y716" s="7"/>
      <c r="Z716" s="5"/>
      <c r="AA716" s="7"/>
      <c r="AB716" s="7"/>
      <c r="AC716" s="7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5"/>
      <c r="W717" s="7"/>
      <c r="X717" s="7"/>
      <c r="Y717" s="7"/>
      <c r="Z717" s="5"/>
      <c r="AA717" s="7"/>
      <c r="AB717" s="7"/>
      <c r="AC717" s="7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5"/>
      <c r="W718" s="7"/>
      <c r="X718" s="7"/>
      <c r="Y718" s="7"/>
      <c r="Z718" s="5"/>
      <c r="AA718" s="7"/>
      <c r="AB718" s="7"/>
      <c r="AC718" s="7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5"/>
      <c r="W719" s="7"/>
      <c r="X719" s="7"/>
      <c r="Y719" s="7"/>
      <c r="Z719" s="5"/>
      <c r="AA719" s="7"/>
      <c r="AB719" s="7"/>
      <c r="AC719" s="7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5"/>
      <c r="W720" s="7"/>
      <c r="X720" s="7"/>
      <c r="Y720" s="7"/>
      <c r="Z720" s="5"/>
      <c r="AA720" s="7"/>
      <c r="AB720" s="7"/>
      <c r="AC720" s="7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5"/>
      <c r="W721" s="7"/>
      <c r="X721" s="7"/>
      <c r="Y721" s="7"/>
      <c r="Z721" s="5"/>
      <c r="AA721" s="7"/>
      <c r="AB721" s="7"/>
      <c r="AC721" s="7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5"/>
      <c r="W722" s="7"/>
      <c r="X722" s="7"/>
      <c r="Y722" s="7"/>
      <c r="Z722" s="5"/>
      <c r="AA722" s="7"/>
      <c r="AB722" s="7"/>
      <c r="AC722" s="7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5"/>
      <c r="W723" s="7"/>
      <c r="X723" s="7"/>
      <c r="Y723" s="7"/>
      <c r="Z723" s="5"/>
      <c r="AA723" s="7"/>
      <c r="AB723" s="7"/>
      <c r="AC723" s="7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5"/>
      <c r="W724" s="7"/>
      <c r="X724" s="7"/>
      <c r="Y724" s="7"/>
      <c r="Z724" s="5"/>
      <c r="AA724" s="7"/>
      <c r="AB724" s="7"/>
      <c r="AC724" s="7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5"/>
      <c r="W725" s="7"/>
      <c r="X725" s="7"/>
      <c r="Y725" s="7"/>
      <c r="Z725" s="5"/>
      <c r="AA725" s="7"/>
      <c r="AB725" s="7"/>
      <c r="AC725" s="7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5"/>
      <c r="W726" s="7"/>
      <c r="X726" s="7"/>
      <c r="Y726" s="7"/>
      <c r="Z726" s="5"/>
      <c r="AA726" s="7"/>
      <c r="AB726" s="7"/>
      <c r="AC726" s="7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5"/>
      <c r="W727" s="7"/>
      <c r="X727" s="7"/>
      <c r="Y727" s="7"/>
      <c r="Z727" s="5"/>
      <c r="AA727" s="7"/>
      <c r="AB727" s="7"/>
      <c r="AC727" s="7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5"/>
      <c r="W728" s="7"/>
      <c r="X728" s="7"/>
      <c r="Y728" s="7"/>
      <c r="Z728" s="5"/>
      <c r="AA728" s="7"/>
      <c r="AB728" s="7"/>
      <c r="AC728" s="7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5"/>
      <c r="W729" s="7"/>
      <c r="X729" s="7"/>
      <c r="Y729" s="7"/>
      <c r="Z729" s="5"/>
      <c r="AA729" s="7"/>
      <c r="AB729" s="7"/>
      <c r="AC729" s="7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5"/>
      <c r="W730" s="7"/>
      <c r="X730" s="7"/>
      <c r="Y730" s="7"/>
      <c r="Z730" s="5"/>
      <c r="AA730" s="7"/>
      <c r="AB730" s="7"/>
      <c r="AC730" s="7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5"/>
      <c r="W731" s="7"/>
      <c r="X731" s="7"/>
      <c r="Y731" s="7"/>
      <c r="Z731" s="5"/>
      <c r="AA731" s="7"/>
      <c r="AB731" s="7"/>
      <c r="AC731" s="7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5"/>
      <c r="W732" s="7"/>
      <c r="X732" s="7"/>
      <c r="Y732" s="7"/>
      <c r="Z732" s="5"/>
      <c r="AA732" s="7"/>
      <c r="AB732" s="7"/>
      <c r="AC732" s="7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5"/>
      <c r="W733" s="7"/>
      <c r="X733" s="7"/>
      <c r="Y733" s="7"/>
      <c r="Z733" s="5"/>
      <c r="AA733" s="7"/>
      <c r="AB733" s="7"/>
      <c r="AC733" s="7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5"/>
      <c r="W734" s="7"/>
      <c r="X734" s="7"/>
      <c r="Y734" s="7"/>
      <c r="Z734" s="5"/>
      <c r="AA734" s="7"/>
      <c r="AB734" s="7"/>
      <c r="AC734" s="7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5"/>
      <c r="W735" s="7"/>
      <c r="X735" s="7"/>
      <c r="Y735" s="7"/>
      <c r="Z735" s="5"/>
      <c r="AA735" s="7"/>
      <c r="AB735" s="7"/>
      <c r="AC735" s="7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5"/>
      <c r="W736" s="7"/>
      <c r="X736" s="7"/>
      <c r="Y736" s="7"/>
      <c r="Z736" s="5"/>
      <c r="AA736" s="7"/>
      <c r="AB736" s="7"/>
      <c r="AC736" s="7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5"/>
      <c r="W737" s="7"/>
      <c r="X737" s="7"/>
      <c r="Y737" s="7"/>
      <c r="Z737" s="5"/>
      <c r="AA737" s="7"/>
      <c r="AB737" s="7"/>
      <c r="AC737" s="7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5"/>
      <c r="W738" s="7"/>
      <c r="X738" s="7"/>
      <c r="Y738" s="7"/>
      <c r="Z738" s="5"/>
      <c r="AA738" s="7"/>
      <c r="AB738" s="7"/>
      <c r="AC738" s="7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5"/>
      <c r="W739" s="7"/>
      <c r="X739" s="7"/>
      <c r="Y739" s="7"/>
      <c r="Z739" s="5"/>
      <c r="AA739" s="7"/>
      <c r="AB739" s="7"/>
      <c r="AC739" s="7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5"/>
      <c r="W740" s="7"/>
      <c r="X740" s="7"/>
      <c r="Y740" s="7"/>
      <c r="Z740" s="5"/>
      <c r="AA740" s="7"/>
      <c r="AB740" s="7"/>
      <c r="AC740" s="7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5"/>
      <c r="W741" s="7"/>
      <c r="X741" s="7"/>
      <c r="Y741" s="7"/>
      <c r="Z741" s="5"/>
      <c r="AA741" s="7"/>
      <c r="AB741" s="7"/>
      <c r="AC741" s="7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5"/>
      <c r="W742" s="7"/>
      <c r="X742" s="7"/>
      <c r="Y742" s="7"/>
      <c r="Z742" s="5"/>
      <c r="AA742" s="7"/>
      <c r="AB742" s="7"/>
      <c r="AC742" s="7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5"/>
      <c r="W743" s="7"/>
      <c r="X743" s="7"/>
      <c r="Y743" s="7"/>
      <c r="Z743" s="5"/>
      <c r="AA743" s="7"/>
      <c r="AB743" s="7"/>
      <c r="AC743" s="7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5"/>
      <c r="W744" s="7"/>
      <c r="X744" s="7"/>
      <c r="Y744" s="7"/>
      <c r="Z744" s="5"/>
      <c r="AA744" s="7"/>
      <c r="AB744" s="7"/>
      <c r="AC744" s="7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5"/>
      <c r="W745" s="7"/>
      <c r="X745" s="7"/>
      <c r="Y745" s="7"/>
      <c r="Z745" s="5"/>
      <c r="AA745" s="7"/>
      <c r="AB745" s="7"/>
      <c r="AC745" s="7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5"/>
      <c r="W746" s="7"/>
      <c r="X746" s="7"/>
      <c r="Y746" s="7"/>
      <c r="Z746" s="5"/>
      <c r="AA746" s="7"/>
      <c r="AB746" s="7"/>
      <c r="AC746" s="7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5"/>
      <c r="W747" s="7"/>
      <c r="X747" s="7"/>
      <c r="Y747" s="7"/>
      <c r="Z747" s="5"/>
      <c r="AA747" s="7"/>
      <c r="AB747" s="7"/>
      <c r="AC747" s="7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5"/>
      <c r="W748" s="7"/>
      <c r="X748" s="7"/>
      <c r="Y748" s="7"/>
      <c r="Z748" s="5"/>
      <c r="AA748" s="7"/>
      <c r="AB748" s="7"/>
      <c r="AC748" s="7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5"/>
      <c r="W749" s="7"/>
      <c r="X749" s="7"/>
      <c r="Y749" s="7"/>
      <c r="Z749" s="5"/>
      <c r="AA749" s="7"/>
      <c r="AB749" s="7"/>
      <c r="AC749" s="7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5"/>
      <c r="W750" s="7"/>
      <c r="X750" s="7"/>
      <c r="Y750" s="7"/>
      <c r="Z750" s="5"/>
      <c r="AA750" s="7"/>
      <c r="AB750" s="7"/>
      <c r="AC750" s="7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5"/>
      <c r="W751" s="7"/>
      <c r="X751" s="7"/>
      <c r="Y751" s="7"/>
      <c r="Z751" s="5"/>
      <c r="AA751" s="7"/>
      <c r="AB751" s="7"/>
      <c r="AC751" s="7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5"/>
      <c r="W752" s="7"/>
      <c r="X752" s="7"/>
      <c r="Y752" s="7"/>
      <c r="Z752" s="5"/>
      <c r="AA752" s="7"/>
      <c r="AB752" s="7"/>
      <c r="AC752" s="7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5"/>
      <c r="W753" s="7"/>
      <c r="X753" s="7"/>
      <c r="Y753" s="7"/>
      <c r="Z753" s="5"/>
      <c r="AA753" s="7"/>
      <c r="AB753" s="7"/>
      <c r="AC753" s="7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5"/>
      <c r="W754" s="7"/>
      <c r="X754" s="7"/>
      <c r="Y754" s="7"/>
      <c r="Z754" s="5"/>
      <c r="AA754" s="7"/>
      <c r="AB754" s="7"/>
      <c r="AC754" s="7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5"/>
      <c r="W755" s="7"/>
      <c r="X755" s="7"/>
      <c r="Y755" s="7"/>
      <c r="Z755" s="5"/>
      <c r="AA755" s="7"/>
      <c r="AB755" s="7"/>
      <c r="AC755" s="7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5"/>
      <c r="W756" s="7"/>
      <c r="X756" s="7"/>
      <c r="Y756" s="7"/>
      <c r="Z756" s="5"/>
      <c r="AA756" s="7"/>
      <c r="AB756" s="7"/>
      <c r="AC756" s="7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5"/>
      <c r="W757" s="7"/>
      <c r="X757" s="7"/>
      <c r="Y757" s="7"/>
      <c r="Z757" s="5"/>
      <c r="AA757" s="7"/>
      <c r="AB757" s="7"/>
      <c r="AC757" s="7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5"/>
      <c r="W758" s="7"/>
      <c r="X758" s="7"/>
      <c r="Y758" s="7"/>
      <c r="Z758" s="5"/>
      <c r="AA758" s="7"/>
      <c r="AB758" s="7"/>
      <c r="AC758" s="7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5"/>
      <c r="W759" s="7"/>
      <c r="X759" s="7"/>
      <c r="Y759" s="7"/>
      <c r="Z759" s="5"/>
      <c r="AA759" s="7"/>
      <c r="AB759" s="7"/>
      <c r="AC759" s="7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5"/>
      <c r="W760" s="7"/>
      <c r="X760" s="7"/>
      <c r="Y760" s="7"/>
      <c r="Z760" s="5"/>
      <c r="AA760" s="7"/>
      <c r="AB760" s="7"/>
      <c r="AC760" s="7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5"/>
      <c r="W761" s="7"/>
      <c r="X761" s="7"/>
      <c r="Y761" s="7"/>
      <c r="Z761" s="5"/>
      <c r="AA761" s="7"/>
      <c r="AB761" s="7"/>
      <c r="AC761" s="7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5"/>
      <c r="W762" s="7"/>
      <c r="X762" s="7"/>
      <c r="Y762" s="7"/>
      <c r="Z762" s="5"/>
      <c r="AA762" s="7"/>
      <c r="AB762" s="7"/>
      <c r="AC762" s="7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5"/>
      <c r="W763" s="7"/>
      <c r="X763" s="7"/>
      <c r="Y763" s="7"/>
      <c r="Z763" s="5"/>
      <c r="AA763" s="7"/>
      <c r="AB763" s="7"/>
      <c r="AC763" s="7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5"/>
      <c r="W764" s="7"/>
      <c r="X764" s="7"/>
      <c r="Y764" s="7"/>
      <c r="Z764" s="5"/>
      <c r="AA764" s="7"/>
      <c r="AB764" s="7"/>
      <c r="AC764" s="7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5"/>
      <c r="W765" s="7"/>
      <c r="X765" s="7"/>
      <c r="Y765" s="7"/>
      <c r="Z765" s="5"/>
      <c r="AA765" s="7"/>
      <c r="AB765" s="7"/>
      <c r="AC765" s="7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5"/>
      <c r="W766" s="7"/>
      <c r="X766" s="7"/>
      <c r="Y766" s="7"/>
      <c r="Z766" s="5"/>
      <c r="AA766" s="7"/>
      <c r="AB766" s="7"/>
      <c r="AC766" s="7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5"/>
      <c r="W767" s="7"/>
      <c r="X767" s="7"/>
      <c r="Y767" s="7"/>
      <c r="Z767" s="5"/>
      <c r="AA767" s="7"/>
      <c r="AB767" s="7"/>
      <c r="AC767" s="7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5"/>
      <c r="W768" s="7"/>
      <c r="X768" s="7"/>
      <c r="Y768" s="7"/>
      <c r="Z768" s="5"/>
      <c r="AA768" s="7"/>
      <c r="AB768" s="7"/>
      <c r="AC768" s="7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5"/>
      <c r="W769" s="7"/>
      <c r="X769" s="7"/>
      <c r="Y769" s="7"/>
      <c r="Z769" s="5"/>
      <c r="AA769" s="7"/>
      <c r="AB769" s="7"/>
      <c r="AC769" s="7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5"/>
      <c r="W770" s="7"/>
      <c r="X770" s="7"/>
      <c r="Y770" s="7"/>
      <c r="Z770" s="5"/>
      <c r="AA770" s="7"/>
      <c r="AB770" s="7"/>
      <c r="AC770" s="7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5"/>
      <c r="W771" s="7"/>
      <c r="X771" s="7"/>
      <c r="Y771" s="7"/>
      <c r="Z771" s="5"/>
      <c r="AA771" s="7"/>
      <c r="AB771" s="7"/>
      <c r="AC771" s="7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5"/>
      <c r="W772" s="7"/>
      <c r="X772" s="7"/>
      <c r="Y772" s="7"/>
      <c r="Z772" s="5"/>
      <c r="AA772" s="7"/>
      <c r="AB772" s="7"/>
      <c r="AC772" s="7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5"/>
      <c r="W773" s="7"/>
      <c r="X773" s="7"/>
      <c r="Y773" s="7"/>
      <c r="Z773" s="5"/>
      <c r="AA773" s="7"/>
      <c r="AB773" s="7"/>
      <c r="AC773" s="7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5"/>
      <c r="W774" s="7"/>
      <c r="X774" s="7"/>
      <c r="Y774" s="7"/>
      <c r="Z774" s="5"/>
      <c r="AA774" s="7"/>
      <c r="AB774" s="7"/>
      <c r="AC774" s="7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5"/>
      <c r="W775" s="7"/>
      <c r="X775" s="7"/>
      <c r="Y775" s="7"/>
      <c r="Z775" s="5"/>
      <c r="AA775" s="7"/>
      <c r="AB775" s="7"/>
      <c r="AC775" s="7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5"/>
      <c r="W776" s="7"/>
      <c r="X776" s="7"/>
      <c r="Y776" s="7"/>
      <c r="Z776" s="5"/>
      <c r="AA776" s="7"/>
      <c r="AB776" s="7"/>
      <c r="AC776" s="7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5"/>
      <c r="W777" s="7"/>
      <c r="X777" s="7"/>
      <c r="Y777" s="7"/>
      <c r="Z777" s="5"/>
      <c r="AA777" s="7"/>
      <c r="AB777" s="7"/>
      <c r="AC777" s="7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5"/>
      <c r="W778" s="7"/>
      <c r="X778" s="7"/>
      <c r="Y778" s="7"/>
      <c r="Z778" s="5"/>
      <c r="AA778" s="7"/>
      <c r="AB778" s="7"/>
      <c r="AC778" s="7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5"/>
      <c r="W779" s="7"/>
      <c r="X779" s="7"/>
      <c r="Y779" s="7"/>
      <c r="Z779" s="5"/>
      <c r="AA779" s="7"/>
      <c r="AB779" s="7"/>
      <c r="AC779" s="7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5"/>
      <c r="W780" s="7"/>
      <c r="X780" s="7"/>
      <c r="Y780" s="7"/>
      <c r="Z780" s="5"/>
      <c r="AA780" s="7"/>
      <c r="AB780" s="7"/>
      <c r="AC780" s="7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5"/>
      <c r="W781" s="7"/>
      <c r="X781" s="7"/>
      <c r="Y781" s="7"/>
      <c r="Z781" s="5"/>
      <c r="AA781" s="7"/>
      <c r="AB781" s="7"/>
      <c r="AC781" s="7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5"/>
      <c r="W782" s="7"/>
      <c r="X782" s="7"/>
      <c r="Y782" s="7"/>
      <c r="Z782" s="5"/>
      <c r="AA782" s="7"/>
      <c r="AB782" s="7"/>
      <c r="AC782" s="7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5"/>
      <c r="W783" s="7"/>
      <c r="X783" s="7"/>
      <c r="Y783" s="7"/>
      <c r="Z783" s="5"/>
      <c r="AA783" s="7"/>
      <c r="AB783" s="7"/>
      <c r="AC783" s="7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5"/>
      <c r="W784" s="7"/>
      <c r="X784" s="7"/>
      <c r="Y784" s="7"/>
      <c r="Z784" s="5"/>
      <c r="AA784" s="7"/>
      <c r="AB784" s="7"/>
      <c r="AC784" s="7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5"/>
      <c r="W785" s="7"/>
      <c r="X785" s="7"/>
      <c r="Y785" s="7"/>
      <c r="Z785" s="5"/>
      <c r="AA785" s="7"/>
      <c r="AB785" s="7"/>
      <c r="AC785" s="7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5"/>
      <c r="W786" s="7"/>
      <c r="X786" s="7"/>
      <c r="Y786" s="7"/>
      <c r="Z786" s="5"/>
      <c r="AA786" s="7"/>
      <c r="AB786" s="7"/>
      <c r="AC786" s="7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5"/>
      <c r="W787" s="7"/>
      <c r="X787" s="7"/>
      <c r="Y787" s="7"/>
      <c r="Z787" s="5"/>
      <c r="AA787" s="7"/>
      <c r="AB787" s="7"/>
      <c r="AC787" s="7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5"/>
      <c r="W788" s="7"/>
      <c r="X788" s="7"/>
      <c r="Y788" s="7"/>
      <c r="Z788" s="5"/>
      <c r="AA788" s="7"/>
      <c r="AB788" s="7"/>
      <c r="AC788" s="7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5"/>
      <c r="W789" s="7"/>
      <c r="X789" s="7"/>
      <c r="Y789" s="7"/>
      <c r="Z789" s="5"/>
      <c r="AA789" s="7"/>
      <c r="AB789" s="7"/>
      <c r="AC789" s="7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5"/>
      <c r="W790" s="7"/>
      <c r="X790" s="7"/>
      <c r="Y790" s="7"/>
      <c r="Z790" s="5"/>
      <c r="AA790" s="7"/>
      <c r="AB790" s="7"/>
      <c r="AC790" s="7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5"/>
      <c r="W791" s="7"/>
      <c r="X791" s="7"/>
      <c r="Y791" s="7"/>
      <c r="Z791" s="5"/>
      <c r="AA791" s="7"/>
      <c r="AB791" s="7"/>
      <c r="AC791" s="7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5"/>
      <c r="W792" s="7"/>
      <c r="X792" s="7"/>
      <c r="Y792" s="7"/>
      <c r="Z792" s="5"/>
      <c r="AA792" s="7"/>
      <c r="AB792" s="7"/>
      <c r="AC792" s="7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5"/>
      <c r="W793" s="7"/>
      <c r="X793" s="7"/>
      <c r="Y793" s="7"/>
      <c r="Z793" s="5"/>
      <c r="AA793" s="7"/>
      <c r="AB793" s="7"/>
      <c r="AC793" s="7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5"/>
      <c r="W794" s="7"/>
      <c r="X794" s="7"/>
      <c r="Y794" s="7"/>
      <c r="Z794" s="5"/>
      <c r="AA794" s="7"/>
      <c r="AB794" s="7"/>
      <c r="AC794" s="7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5"/>
      <c r="W795" s="7"/>
      <c r="X795" s="7"/>
      <c r="Y795" s="7"/>
      <c r="Z795" s="5"/>
      <c r="AA795" s="7"/>
      <c r="AB795" s="7"/>
      <c r="AC795" s="7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5"/>
      <c r="W796" s="7"/>
      <c r="X796" s="7"/>
      <c r="Y796" s="7"/>
      <c r="Z796" s="5"/>
      <c r="AA796" s="7"/>
      <c r="AB796" s="7"/>
      <c r="AC796" s="7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5"/>
      <c r="W797" s="7"/>
      <c r="X797" s="7"/>
      <c r="Y797" s="7"/>
      <c r="Z797" s="5"/>
      <c r="AA797" s="7"/>
      <c r="AB797" s="7"/>
      <c r="AC797" s="7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5"/>
      <c r="W798" s="7"/>
      <c r="X798" s="7"/>
      <c r="Y798" s="7"/>
      <c r="Z798" s="5"/>
      <c r="AA798" s="7"/>
      <c r="AB798" s="7"/>
      <c r="AC798" s="7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5"/>
      <c r="W799" s="7"/>
      <c r="X799" s="7"/>
      <c r="Y799" s="7"/>
      <c r="Z799" s="5"/>
      <c r="AA799" s="7"/>
      <c r="AB799" s="7"/>
      <c r="AC799" s="7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5"/>
      <c r="W800" s="7"/>
      <c r="X800" s="7"/>
      <c r="Y800" s="7"/>
      <c r="Z800" s="5"/>
      <c r="AA800" s="7"/>
      <c r="AB800" s="7"/>
      <c r="AC800" s="7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5"/>
      <c r="W801" s="7"/>
      <c r="X801" s="7"/>
      <c r="Y801" s="7"/>
      <c r="Z801" s="5"/>
      <c r="AA801" s="7"/>
      <c r="AB801" s="7"/>
      <c r="AC801" s="7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5"/>
      <c r="W802" s="7"/>
      <c r="X802" s="7"/>
      <c r="Y802" s="7"/>
      <c r="Z802" s="5"/>
      <c r="AA802" s="7"/>
      <c r="AB802" s="7"/>
      <c r="AC802" s="7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5"/>
      <c r="W803" s="7"/>
      <c r="X803" s="7"/>
      <c r="Y803" s="7"/>
      <c r="Z803" s="5"/>
      <c r="AA803" s="7"/>
      <c r="AB803" s="7"/>
      <c r="AC803" s="7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5"/>
      <c r="W804" s="7"/>
      <c r="X804" s="7"/>
      <c r="Y804" s="7"/>
      <c r="Z804" s="5"/>
      <c r="AA804" s="7"/>
      <c r="AB804" s="7"/>
      <c r="AC804" s="7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5"/>
      <c r="W805" s="7"/>
      <c r="X805" s="7"/>
      <c r="Y805" s="7"/>
      <c r="Z805" s="5"/>
      <c r="AA805" s="7"/>
      <c r="AB805" s="7"/>
      <c r="AC805" s="7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5"/>
      <c r="W806" s="7"/>
      <c r="X806" s="7"/>
      <c r="Y806" s="7"/>
      <c r="Z806" s="5"/>
      <c r="AA806" s="7"/>
      <c r="AB806" s="7"/>
      <c r="AC806" s="7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5"/>
      <c r="W807" s="7"/>
      <c r="X807" s="7"/>
      <c r="Y807" s="7"/>
      <c r="Z807" s="5"/>
      <c r="AA807" s="7"/>
      <c r="AB807" s="7"/>
      <c r="AC807" s="7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5"/>
      <c r="W808" s="7"/>
      <c r="X808" s="7"/>
      <c r="Y808" s="7"/>
      <c r="Z808" s="5"/>
      <c r="AA808" s="7"/>
      <c r="AB808" s="7"/>
      <c r="AC808" s="7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5"/>
      <c r="W809" s="7"/>
      <c r="X809" s="7"/>
      <c r="Y809" s="7"/>
      <c r="Z809" s="5"/>
      <c r="AA809" s="7"/>
      <c r="AB809" s="7"/>
      <c r="AC809" s="7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5"/>
      <c r="W810" s="7"/>
      <c r="X810" s="7"/>
      <c r="Y810" s="7"/>
      <c r="Z810" s="5"/>
      <c r="AA810" s="7"/>
      <c r="AB810" s="7"/>
      <c r="AC810" s="7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5"/>
      <c r="W811" s="7"/>
      <c r="X811" s="7"/>
      <c r="Y811" s="7"/>
      <c r="Z811" s="5"/>
      <c r="AA811" s="7"/>
      <c r="AB811" s="7"/>
      <c r="AC811" s="7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5"/>
      <c r="W812" s="7"/>
      <c r="X812" s="7"/>
      <c r="Y812" s="7"/>
      <c r="Z812" s="5"/>
      <c r="AA812" s="7"/>
      <c r="AB812" s="7"/>
      <c r="AC812" s="7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5"/>
      <c r="W813" s="7"/>
      <c r="X813" s="7"/>
      <c r="Y813" s="7"/>
      <c r="Z813" s="5"/>
      <c r="AA813" s="7"/>
      <c r="AB813" s="7"/>
      <c r="AC813" s="7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5"/>
      <c r="W814" s="7"/>
      <c r="X814" s="7"/>
      <c r="Y814" s="7"/>
      <c r="Z814" s="5"/>
      <c r="AA814" s="7"/>
      <c r="AB814" s="7"/>
      <c r="AC814" s="7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5"/>
      <c r="W815" s="7"/>
      <c r="X815" s="7"/>
      <c r="Y815" s="7"/>
      <c r="Z815" s="5"/>
      <c r="AA815" s="7"/>
      <c r="AB815" s="7"/>
      <c r="AC815" s="7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5"/>
      <c r="W816" s="7"/>
      <c r="X816" s="7"/>
      <c r="Y816" s="7"/>
      <c r="Z816" s="5"/>
      <c r="AA816" s="7"/>
      <c r="AB816" s="7"/>
      <c r="AC816" s="7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5"/>
      <c r="W817" s="7"/>
      <c r="X817" s="7"/>
      <c r="Y817" s="7"/>
      <c r="Z817" s="5"/>
      <c r="AA817" s="7"/>
      <c r="AB817" s="7"/>
      <c r="AC817" s="7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5"/>
      <c r="W818" s="7"/>
      <c r="X818" s="7"/>
      <c r="Y818" s="7"/>
      <c r="Z818" s="5"/>
      <c r="AA818" s="7"/>
      <c r="AB818" s="7"/>
      <c r="AC818" s="7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5"/>
      <c r="W819" s="7"/>
      <c r="X819" s="7"/>
      <c r="Y819" s="7"/>
      <c r="Z819" s="5"/>
      <c r="AA819" s="7"/>
      <c r="AB819" s="7"/>
      <c r="AC819" s="7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5"/>
      <c r="W820" s="7"/>
      <c r="X820" s="7"/>
      <c r="Y820" s="7"/>
      <c r="Z820" s="5"/>
      <c r="AA820" s="7"/>
      <c r="AB820" s="7"/>
      <c r="AC820" s="7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5"/>
      <c r="W821" s="7"/>
      <c r="X821" s="7"/>
      <c r="Y821" s="7"/>
      <c r="Z821" s="5"/>
      <c r="AA821" s="7"/>
      <c r="AB821" s="7"/>
      <c r="AC821" s="7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5"/>
      <c r="W822" s="7"/>
      <c r="X822" s="7"/>
      <c r="Y822" s="7"/>
      <c r="Z822" s="5"/>
      <c r="AA822" s="7"/>
      <c r="AB822" s="7"/>
      <c r="AC822" s="7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5"/>
      <c r="W823" s="7"/>
      <c r="X823" s="7"/>
      <c r="Y823" s="7"/>
      <c r="Z823" s="5"/>
      <c r="AA823" s="7"/>
      <c r="AB823" s="7"/>
      <c r="AC823" s="7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5"/>
      <c r="W824" s="7"/>
      <c r="X824" s="7"/>
      <c r="Y824" s="7"/>
      <c r="Z824" s="5"/>
      <c r="AA824" s="7"/>
      <c r="AB824" s="7"/>
      <c r="AC824" s="7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5"/>
      <c r="W825" s="7"/>
      <c r="X825" s="7"/>
      <c r="Y825" s="7"/>
      <c r="Z825" s="5"/>
      <c r="AA825" s="7"/>
      <c r="AB825" s="7"/>
      <c r="AC825" s="7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5"/>
      <c r="W826" s="7"/>
      <c r="X826" s="7"/>
      <c r="Y826" s="7"/>
      <c r="Z826" s="5"/>
      <c r="AA826" s="7"/>
      <c r="AB826" s="7"/>
      <c r="AC826" s="7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5"/>
      <c r="W827" s="7"/>
      <c r="X827" s="7"/>
      <c r="Y827" s="7"/>
      <c r="Z827" s="5"/>
      <c r="AA827" s="7"/>
      <c r="AB827" s="7"/>
      <c r="AC827" s="7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5"/>
      <c r="W828" s="7"/>
      <c r="X828" s="7"/>
      <c r="Y828" s="7"/>
      <c r="Z828" s="5"/>
      <c r="AA828" s="7"/>
      <c r="AB828" s="7"/>
      <c r="AC828" s="7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5"/>
      <c r="W829" s="7"/>
      <c r="X829" s="7"/>
      <c r="Y829" s="7"/>
      <c r="Z829" s="5"/>
      <c r="AA829" s="7"/>
      <c r="AB829" s="7"/>
      <c r="AC829" s="7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5"/>
      <c r="W830" s="7"/>
      <c r="X830" s="7"/>
      <c r="Y830" s="7"/>
      <c r="Z830" s="5"/>
      <c r="AA830" s="7"/>
      <c r="AB830" s="7"/>
      <c r="AC830" s="7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5"/>
      <c r="W831" s="7"/>
      <c r="X831" s="7"/>
      <c r="Y831" s="7"/>
      <c r="Z831" s="5"/>
      <c r="AA831" s="7"/>
      <c r="AB831" s="7"/>
      <c r="AC831" s="7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5"/>
      <c r="W832" s="7"/>
      <c r="X832" s="7"/>
      <c r="Y832" s="7"/>
      <c r="Z832" s="5"/>
      <c r="AA832" s="7"/>
      <c r="AB832" s="7"/>
      <c r="AC832" s="7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5"/>
      <c r="W833" s="7"/>
      <c r="X833" s="7"/>
      <c r="Y833" s="7"/>
      <c r="Z833" s="5"/>
      <c r="AA833" s="7"/>
      <c r="AB833" s="7"/>
      <c r="AC833" s="7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5"/>
      <c r="W834" s="7"/>
      <c r="X834" s="7"/>
      <c r="Y834" s="7"/>
      <c r="Z834" s="5"/>
      <c r="AA834" s="7"/>
      <c r="AB834" s="7"/>
      <c r="AC834" s="7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5"/>
      <c r="W835" s="7"/>
      <c r="X835" s="7"/>
      <c r="Y835" s="7"/>
      <c r="Z835" s="5"/>
      <c r="AA835" s="7"/>
      <c r="AB835" s="7"/>
      <c r="AC835" s="7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5"/>
      <c r="W836" s="7"/>
      <c r="X836" s="7"/>
      <c r="Y836" s="7"/>
      <c r="Z836" s="5"/>
      <c r="AA836" s="7"/>
      <c r="AB836" s="7"/>
      <c r="AC836" s="7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5"/>
      <c r="W837" s="7"/>
      <c r="X837" s="7"/>
      <c r="Y837" s="7"/>
      <c r="Z837" s="5"/>
      <c r="AA837" s="7"/>
      <c r="AB837" s="7"/>
      <c r="AC837" s="7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5"/>
      <c r="W838" s="7"/>
      <c r="X838" s="7"/>
      <c r="Y838" s="7"/>
      <c r="Z838" s="5"/>
      <c r="AA838" s="7"/>
      <c r="AB838" s="7"/>
      <c r="AC838" s="7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5"/>
      <c r="W839" s="7"/>
      <c r="X839" s="7"/>
      <c r="Y839" s="7"/>
      <c r="Z839" s="5"/>
      <c r="AA839" s="7"/>
      <c r="AB839" s="7"/>
      <c r="AC839" s="7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5"/>
      <c r="W840" s="7"/>
      <c r="X840" s="7"/>
      <c r="Y840" s="7"/>
      <c r="Z840" s="5"/>
      <c r="AA840" s="7"/>
      <c r="AB840" s="7"/>
      <c r="AC840" s="7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5"/>
      <c r="W841" s="7"/>
      <c r="X841" s="7"/>
      <c r="Y841" s="7"/>
      <c r="Z841" s="5"/>
      <c r="AA841" s="7"/>
      <c r="AB841" s="7"/>
      <c r="AC841" s="7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5"/>
      <c r="W842" s="7"/>
      <c r="X842" s="7"/>
      <c r="Y842" s="7"/>
      <c r="Z842" s="5"/>
      <c r="AA842" s="7"/>
      <c r="AB842" s="7"/>
      <c r="AC842" s="7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5"/>
      <c r="W843" s="7"/>
      <c r="X843" s="7"/>
      <c r="Y843" s="7"/>
      <c r="Z843" s="5"/>
      <c r="AA843" s="7"/>
      <c r="AB843" s="7"/>
      <c r="AC843" s="7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5"/>
      <c r="W844" s="7"/>
      <c r="X844" s="7"/>
      <c r="Y844" s="7"/>
      <c r="Z844" s="5"/>
      <c r="AA844" s="7"/>
      <c r="AB844" s="7"/>
      <c r="AC844" s="7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5"/>
      <c r="W845" s="7"/>
      <c r="X845" s="7"/>
      <c r="Y845" s="7"/>
      <c r="Z845" s="5"/>
      <c r="AA845" s="7"/>
      <c r="AB845" s="7"/>
      <c r="AC845" s="7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5"/>
      <c r="W846" s="7"/>
      <c r="X846" s="7"/>
      <c r="Y846" s="7"/>
      <c r="Z846" s="5"/>
      <c r="AA846" s="7"/>
      <c r="AB846" s="7"/>
      <c r="AC846" s="7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5"/>
      <c r="W847" s="7"/>
      <c r="X847" s="7"/>
      <c r="Y847" s="7"/>
      <c r="Z847" s="5"/>
      <c r="AA847" s="7"/>
      <c r="AB847" s="7"/>
      <c r="AC847" s="7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5"/>
      <c r="W848" s="7"/>
      <c r="X848" s="7"/>
      <c r="Y848" s="7"/>
      <c r="Z848" s="5"/>
      <c r="AA848" s="7"/>
      <c r="AB848" s="7"/>
      <c r="AC848" s="7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5"/>
      <c r="W849" s="7"/>
      <c r="X849" s="7"/>
      <c r="Y849" s="7"/>
      <c r="Z849" s="5"/>
      <c r="AA849" s="7"/>
      <c r="AB849" s="7"/>
      <c r="AC849" s="7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5"/>
      <c r="W850" s="7"/>
      <c r="X850" s="7"/>
      <c r="Y850" s="7"/>
      <c r="Z850" s="5"/>
      <c r="AA850" s="7"/>
      <c r="AB850" s="7"/>
      <c r="AC850" s="7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5"/>
      <c r="W851" s="7"/>
      <c r="X851" s="7"/>
      <c r="Y851" s="7"/>
      <c r="Z851" s="5"/>
      <c r="AA851" s="7"/>
      <c r="AB851" s="7"/>
      <c r="AC851" s="7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5"/>
      <c r="W852" s="7"/>
      <c r="X852" s="7"/>
      <c r="Y852" s="7"/>
      <c r="Z852" s="5"/>
      <c r="AA852" s="7"/>
      <c r="AB852" s="7"/>
      <c r="AC852" s="7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5"/>
      <c r="W853" s="7"/>
      <c r="X853" s="7"/>
      <c r="Y853" s="7"/>
      <c r="Z853" s="5"/>
      <c r="AA853" s="7"/>
      <c r="AB853" s="7"/>
      <c r="AC853" s="7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5"/>
      <c r="W854" s="7"/>
      <c r="X854" s="7"/>
      <c r="Y854" s="7"/>
      <c r="Z854" s="5"/>
      <c r="AA854" s="7"/>
      <c r="AB854" s="7"/>
      <c r="AC854" s="7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5"/>
      <c r="W855" s="7"/>
      <c r="X855" s="7"/>
      <c r="Y855" s="7"/>
      <c r="Z855" s="5"/>
      <c r="AA855" s="7"/>
      <c r="AB855" s="7"/>
      <c r="AC855" s="7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5"/>
      <c r="W856" s="7"/>
      <c r="X856" s="7"/>
      <c r="Y856" s="7"/>
      <c r="Z856" s="5"/>
      <c r="AA856" s="7"/>
      <c r="AB856" s="7"/>
      <c r="AC856" s="7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5"/>
      <c r="W857" s="7"/>
      <c r="X857" s="7"/>
      <c r="Y857" s="7"/>
      <c r="Z857" s="5"/>
      <c r="AA857" s="7"/>
      <c r="AB857" s="7"/>
      <c r="AC857" s="7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5"/>
      <c r="W858" s="7"/>
      <c r="X858" s="7"/>
      <c r="Y858" s="7"/>
      <c r="Z858" s="5"/>
      <c r="AA858" s="7"/>
      <c r="AB858" s="7"/>
      <c r="AC858" s="7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5"/>
      <c r="W859" s="7"/>
      <c r="X859" s="7"/>
      <c r="Y859" s="7"/>
      <c r="Z859" s="5"/>
      <c r="AA859" s="7"/>
      <c r="AB859" s="7"/>
      <c r="AC859" s="7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5"/>
      <c r="W860" s="7"/>
      <c r="X860" s="7"/>
      <c r="Y860" s="7"/>
      <c r="Z860" s="5"/>
      <c r="AA860" s="7"/>
      <c r="AB860" s="7"/>
      <c r="AC860" s="7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5"/>
      <c r="W861" s="7"/>
      <c r="X861" s="7"/>
      <c r="Y861" s="7"/>
      <c r="Z861" s="5"/>
      <c r="AA861" s="7"/>
      <c r="AB861" s="7"/>
      <c r="AC861" s="7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5"/>
      <c r="W862" s="7"/>
      <c r="X862" s="7"/>
      <c r="Y862" s="7"/>
      <c r="Z862" s="5"/>
      <c r="AA862" s="7"/>
      <c r="AB862" s="7"/>
      <c r="AC862" s="7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5"/>
      <c r="W863" s="7"/>
      <c r="X863" s="7"/>
      <c r="Y863" s="7"/>
      <c r="Z863" s="5"/>
      <c r="AA863" s="7"/>
      <c r="AB863" s="7"/>
      <c r="AC863" s="7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5"/>
      <c r="W864" s="7"/>
      <c r="X864" s="7"/>
      <c r="Y864" s="7"/>
      <c r="Z864" s="5"/>
      <c r="AA864" s="7"/>
      <c r="AB864" s="7"/>
      <c r="AC864" s="7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5"/>
      <c r="W865" s="7"/>
      <c r="X865" s="7"/>
      <c r="Y865" s="7"/>
      <c r="Z865" s="5"/>
      <c r="AA865" s="7"/>
      <c r="AB865" s="7"/>
      <c r="AC865" s="7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5"/>
      <c r="W866" s="7"/>
      <c r="X866" s="7"/>
      <c r="Y866" s="7"/>
      <c r="Z866" s="5"/>
      <c r="AA866" s="7"/>
      <c r="AB866" s="7"/>
      <c r="AC866" s="7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5"/>
      <c r="W867" s="7"/>
      <c r="X867" s="7"/>
      <c r="Y867" s="7"/>
      <c r="Z867" s="5"/>
      <c r="AA867" s="7"/>
      <c r="AB867" s="7"/>
      <c r="AC867" s="7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5"/>
      <c r="W868" s="7"/>
      <c r="X868" s="7"/>
      <c r="Y868" s="7"/>
      <c r="Z868" s="5"/>
      <c r="AA868" s="7"/>
      <c r="AB868" s="7"/>
      <c r="AC868" s="7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5"/>
      <c r="W869" s="7"/>
      <c r="X869" s="7"/>
      <c r="Y869" s="7"/>
      <c r="Z869" s="5"/>
      <c r="AA869" s="7"/>
      <c r="AB869" s="7"/>
      <c r="AC869" s="7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5"/>
      <c r="W870" s="7"/>
      <c r="X870" s="7"/>
      <c r="Y870" s="7"/>
      <c r="Z870" s="5"/>
      <c r="AA870" s="7"/>
      <c r="AB870" s="7"/>
      <c r="AC870" s="7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5"/>
      <c r="W871" s="7"/>
      <c r="X871" s="7"/>
      <c r="Y871" s="7"/>
      <c r="Z871" s="5"/>
      <c r="AA871" s="7"/>
      <c r="AB871" s="7"/>
      <c r="AC871" s="7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5"/>
      <c r="W872" s="7"/>
      <c r="X872" s="7"/>
      <c r="Y872" s="7"/>
      <c r="Z872" s="5"/>
      <c r="AA872" s="7"/>
      <c r="AB872" s="7"/>
      <c r="AC872" s="7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5"/>
      <c r="W873" s="7"/>
      <c r="X873" s="7"/>
      <c r="Y873" s="7"/>
      <c r="Z873" s="5"/>
      <c r="AA873" s="7"/>
      <c r="AB873" s="7"/>
      <c r="AC873" s="7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5"/>
      <c r="W874" s="7"/>
      <c r="X874" s="7"/>
      <c r="Y874" s="7"/>
      <c r="Z874" s="5"/>
      <c r="AA874" s="7"/>
      <c r="AB874" s="7"/>
      <c r="AC874" s="7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5"/>
      <c r="W875" s="7"/>
      <c r="X875" s="7"/>
      <c r="Y875" s="7"/>
      <c r="Z875" s="5"/>
      <c r="AA875" s="7"/>
      <c r="AB875" s="7"/>
      <c r="AC875" s="7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5"/>
      <c r="W876" s="7"/>
      <c r="X876" s="7"/>
      <c r="Y876" s="7"/>
      <c r="Z876" s="5"/>
      <c r="AA876" s="7"/>
      <c r="AB876" s="7"/>
      <c r="AC876" s="7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5"/>
      <c r="W877" s="7"/>
      <c r="X877" s="7"/>
      <c r="Y877" s="7"/>
      <c r="Z877" s="5"/>
      <c r="AA877" s="7"/>
      <c r="AB877" s="7"/>
      <c r="AC877" s="7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5"/>
      <c r="W878" s="7"/>
      <c r="X878" s="7"/>
      <c r="Y878" s="7"/>
      <c r="Z878" s="5"/>
      <c r="AA878" s="7"/>
      <c r="AB878" s="7"/>
      <c r="AC878" s="7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5"/>
      <c r="W879" s="7"/>
      <c r="X879" s="7"/>
      <c r="Y879" s="7"/>
      <c r="Z879" s="5"/>
      <c r="AA879" s="7"/>
      <c r="AB879" s="7"/>
      <c r="AC879" s="7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5"/>
      <c r="W880" s="7"/>
      <c r="X880" s="7"/>
      <c r="Y880" s="7"/>
      <c r="Z880" s="5"/>
      <c r="AA880" s="7"/>
      <c r="AB880" s="7"/>
      <c r="AC880" s="7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5"/>
      <c r="W881" s="7"/>
      <c r="X881" s="7"/>
      <c r="Y881" s="7"/>
      <c r="Z881" s="5"/>
      <c r="AA881" s="7"/>
      <c r="AB881" s="7"/>
      <c r="AC881" s="7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5"/>
      <c r="W882" s="7"/>
      <c r="X882" s="7"/>
      <c r="Y882" s="7"/>
      <c r="Z882" s="5"/>
      <c r="AA882" s="7"/>
      <c r="AB882" s="7"/>
      <c r="AC882" s="7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5"/>
      <c r="W883" s="7"/>
      <c r="X883" s="7"/>
      <c r="Y883" s="7"/>
      <c r="Z883" s="5"/>
      <c r="AA883" s="7"/>
      <c r="AB883" s="7"/>
      <c r="AC883" s="7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5"/>
      <c r="W884" s="7"/>
      <c r="X884" s="7"/>
      <c r="Y884" s="7"/>
      <c r="Z884" s="5"/>
      <c r="AA884" s="7"/>
      <c r="AB884" s="7"/>
      <c r="AC884" s="7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5"/>
      <c r="W885" s="7"/>
      <c r="X885" s="7"/>
      <c r="Y885" s="7"/>
      <c r="Z885" s="5"/>
      <c r="AA885" s="7"/>
      <c r="AB885" s="7"/>
      <c r="AC885" s="7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5"/>
      <c r="W886" s="7"/>
      <c r="X886" s="7"/>
      <c r="Y886" s="7"/>
      <c r="Z886" s="5"/>
      <c r="AA886" s="7"/>
      <c r="AB886" s="7"/>
      <c r="AC886" s="7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5"/>
      <c r="W887" s="7"/>
      <c r="X887" s="7"/>
      <c r="Y887" s="7"/>
      <c r="Z887" s="5"/>
      <c r="AA887" s="7"/>
      <c r="AB887" s="7"/>
      <c r="AC887" s="7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5"/>
      <c r="W888" s="7"/>
      <c r="X888" s="7"/>
      <c r="Y888" s="7"/>
      <c r="Z888" s="5"/>
      <c r="AA888" s="7"/>
      <c r="AB888" s="7"/>
      <c r="AC888" s="7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5"/>
      <c r="W889" s="7"/>
      <c r="X889" s="7"/>
      <c r="Y889" s="7"/>
      <c r="Z889" s="5"/>
      <c r="AA889" s="7"/>
      <c r="AB889" s="7"/>
      <c r="AC889" s="7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5"/>
      <c r="W890" s="7"/>
      <c r="X890" s="7"/>
      <c r="Y890" s="7"/>
      <c r="Z890" s="5"/>
      <c r="AA890" s="7"/>
      <c r="AB890" s="7"/>
      <c r="AC890" s="7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5"/>
      <c r="W891" s="7"/>
      <c r="X891" s="7"/>
      <c r="Y891" s="7"/>
      <c r="Z891" s="5"/>
      <c r="AA891" s="7"/>
      <c r="AB891" s="7"/>
      <c r="AC891" s="7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5"/>
      <c r="W892" s="7"/>
      <c r="X892" s="7"/>
      <c r="Y892" s="7"/>
      <c r="Z892" s="5"/>
      <c r="AA892" s="7"/>
      <c r="AB892" s="7"/>
      <c r="AC892" s="7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5"/>
      <c r="W893" s="7"/>
      <c r="X893" s="7"/>
      <c r="Y893" s="7"/>
      <c r="Z893" s="5"/>
      <c r="AA893" s="7"/>
      <c r="AB893" s="7"/>
      <c r="AC893" s="7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5"/>
      <c r="W894" s="7"/>
      <c r="X894" s="7"/>
      <c r="Y894" s="7"/>
      <c r="Z894" s="5"/>
      <c r="AA894" s="7"/>
      <c r="AB894" s="7"/>
      <c r="AC894" s="7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5"/>
      <c r="W895" s="7"/>
      <c r="X895" s="7"/>
      <c r="Y895" s="7"/>
      <c r="Z895" s="5"/>
      <c r="AA895" s="7"/>
      <c r="AB895" s="7"/>
      <c r="AC895" s="7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5"/>
      <c r="W896" s="7"/>
      <c r="X896" s="7"/>
      <c r="Y896" s="7"/>
      <c r="Z896" s="5"/>
      <c r="AA896" s="7"/>
      <c r="AB896" s="7"/>
      <c r="AC896" s="7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5"/>
      <c r="W897" s="7"/>
      <c r="X897" s="7"/>
      <c r="Y897" s="7"/>
      <c r="Z897" s="5"/>
      <c r="AA897" s="7"/>
      <c r="AB897" s="7"/>
      <c r="AC897" s="7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5"/>
      <c r="W898" s="7"/>
      <c r="X898" s="7"/>
      <c r="Y898" s="7"/>
      <c r="Z898" s="5"/>
      <c r="AA898" s="7"/>
      <c r="AB898" s="7"/>
      <c r="AC898" s="7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5"/>
      <c r="W899" s="7"/>
      <c r="X899" s="7"/>
      <c r="Y899" s="7"/>
      <c r="Z899" s="5"/>
      <c r="AA899" s="7"/>
      <c r="AB899" s="7"/>
      <c r="AC899" s="7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5"/>
      <c r="W900" s="7"/>
      <c r="X900" s="7"/>
      <c r="Y900" s="7"/>
      <c r="Z900" s="5"/>
      <c r="AA900" s="7"/>
      <c r="AB900" s="7"/>
      <c r="AC900" s="7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5"/>
      <c r="W901" s="7"/>
      <c r="X901" s="7"/>
      <c r="Y901" s="7"/>
      <c r="Z901" s="5"/>
      <c r="AA901" s="7"/>
      <c r="AB901" s="7"/>
      <c r="AC901" s="7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5"/>
      <c r="W902" s="7"/>
      <c r="X902" s="7"/>
      <c r="Y902" s="7"/>
      <c r="Z902" s="5"/>
      <c r="AA902" s="7"/>
      <c r="AB902" s="7"/>
      <c r="AC902" s="7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5"/>
      <c r="W903" s="7"/>
      <c r="X903" s="7"/>
      <c r="Y903" s="7"/>
      <c r="Z903" s="5"/>
      <c r="AA903" s="7"/>
      <c r="AB903" s="7"/>
      <c r="AC903" s="7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5"/>
      <c r="W904" s="7"/>
      <c r="X904" s="7"/>
      <c r="Y904" s="7"/>
      <c r="Z904" s="5"/>
      <c r="AA904" s="7"/>
      <c r="AB904" s="7"/>
      <c r="AC904" s="7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5"/>
      <c r="W905" s="7"/>
      <c r="X905" s="7"/>
      <c r="Y905" s="7"/>
      <c r="Z905" s="5"/>
      <c r="AA905" s="7"/>
      <c r="AB905" s="7"/>
      <c r="AC905" s="7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5"/>
      <c r="W906" s="7"/>
      <c r="X906" s="7"/>
      <c r="Y906" s="7"/>
      <c r="Z906" s="5"/>
      <c r="AA906" s="7"/>
      <c r="AB906" s="7"/>
      <c r="AC906" s="7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5"/>
      <c r="W907" s="7"/>
      <c r="X907" s="7"/>
      <c r="Y907" s="7"/>
      <c r="Z907" s="5"/>
      <c r="AA907" s="7"/>
      <c r="AB907" s="7"/>
      <c r="AC907" s="7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5"/>
      <c r="W908" s="7"/>
      <c r="X908" s="7"/>
      <c r="Y908" s="7"/>
      <c r="Z908" s="5"/>
      <c r="AA908" s="7"/>
      <c r="AB908" s="7"/>
      <c r="AC908" s="7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5"/>
      <c r="W909" s="7"/>
      <c r="X909" s="7"/>
      <c r="Y909" s="7"/>
      <c r="Z909" s="5"/>
      <c r="AA909" s="7"/>
      <c r="AB909" s="7"/>
      <c r="AC909" s="7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5"/>
      <c r="W910" s="7"/>
      <c r="X910" s="7"/>
      <c r="Y910" s="7"/>
      <c r="Z910" s="5"/>
      <c r="AA910" s="7"/>
      <c r="AB910" s="7"/>
      <c r="AC910" s="7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5"/>
      <c r="W911" s="7"/>
      <c r="X911" s="7"/>
      <c r="Y911" s="7"/>
      <c r="Z911" s="5"/>
      <c r="AA911" s="7"/>
      <c r="AB911" s="7"/>
      <c r="AC911" s="7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5"/>
      <c r="W912" s="7"/>
      <c r="X912" s="7"/>
      <c r="Y912" s="7"/>
      <c r="Z912" s="5"/>
      <c r="AA912" s="7"/>
      <c r="AB912" s="7"/>
      <c r="AC912" s="7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5"/>
      <c r="W913" s="7"/>
      <c r="X913" s="7"/>
      <c r="Y913" s="7"/>
      <c r="Z913" s="5"/>
      <c r="AA913" s="7"/>
      <c r="AB913" s="7"/>
      <c r="AC913" s="7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5"/>
      <c r="W914" s="7"/>
      <c r="X914" s="7"/>
      <c r="Y914" s="7"/>
      <c r="Z914" s="5"/>
      <c r="AA914" s="7"/>
      <c r="AB914" s="7"/>
      <c r="AC914" s="7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5"/>
      <c r="W915" s="7"/>
      <c r="X915" s="7"/>
      <c r="Y915" s="7"/>
      <c r="Z915" s="5"/>
      <c r="AA915" s="7"/>
      <c r="AB915" s="7"/>
      <c r="AC915" s="7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5"/>
      <c r="W916" s="7"/>
      <c r="X916" s="7"/>
      <c r="Y916" s="7"/>
      <c r="Z916" s="5"/>
      <c r="AA916" s="7"/>
      <c r="AB916" s="7"/>
      <c r="AC916" s="7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5"/>
      <c r="W917" s="7"/>
      <c r="X917" s="7"/>
      <c r="Y917" s="7"/>
      <c r="Z917" s="5"/>
      <c r="AA917" s="7"/>
      <c r="AB917" s="7"/>
      <c r="AC917" s="7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5"/>
      <c r="W918" s="7"/>
      <c r="X918" s="7"/>
      <c r="Y918" s="7"/>
      <c r="Z918" s="5"/>
      <c r="AA918" s="7"/>
      <c r="AB918" s="7"/>
      <c r="AC918" s="7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5"/>
      <c r="W919" s="7"/>
      <c r="X919" s="7"/>
      <c r="Y919" s="7"/>
      <c r="Z919" s="5"/>
      <c r="AA919" s="7"/>
      <c r="AB919" s="7"/>
      <c r="AC919" s="7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5"/>
      <c r="W920" s="7"/>
      <c r="X920" s="7"/>
      <c r="Y920" s="7"/>
      <c r="Z920" s="5"/>
      <c r="AA920" s="7"/>
      <c r="AB920" s="7"/>
      <c r="AC920" s="7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5"/>
      <c r="W921" s="7"/>
      <c r="X921" s="7"/>
      <c r="Y921" s="7"/>
      <c r="Z921" s="5"/>
      <c r="AA921" s="7"/>
      <c r="AB921" s="7"/>
      <c r="AC921" s="7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5"/>
      <c r="W922" s="7"/>
      <c r="X922" s="7"/>
      <c r="Y922" s="7"/>
      <c r="Z922" s="5"/>
      <c r="AA922" s="7"/>
      <c r="AB922" s="7"/>
      <c r="AC922" s="7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5"/>
      <c r="W923" s="7"/>
      <c r="X923" s="7"/>
      <c r="Y923" s="7"/>
      <c r="Z923" s="5"/>
      <c r="AA923" s="7"/>
      <c r="AB923" s="7"/>
      <c r="AC923" s="7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5"/>
      <c r="W924" s="7"/>
      <c r="X924" s="7"/>
      <c r="Y924" s="7"/>
      <c r="Z924" s="5"/>
      <c r="AA924" s="7"/>
      <c r="AB924" s="7"/>
      <c r="AC924" s="7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5"/>
      <c r="W925" s="7"/>
      <c r="X925" s="7"/>
      <c r="Y925" s="7"/>
      <c r="Z925" s="5"/>
      <c r="AA925" s="7"/>
      <c r="AB925" s="7"/>
      <c r="AC925" s="7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5"/>
      <c r="W926" s="7"/>
      <c r="X926" s="7"/>
      <c r="Y926" s="7"/>
      <c r="Z926" s="5"/>
      <c r="AA926" s="7"/>
      <c r="AB926" s="7"/>
      <c r="AC926" s="7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5"/>
      <c r="W927" s="7"/>
      <c r="X927" s="7"/>
      <c r="Y927" s="7"/>
      <c r="Z927" s="5"/>
      <c r="AA927" s="7"/>
      <c r="AB927" s="7"/>
      <c r="AC927" s="7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5"/>
      <c r="W928" s="7"/>
      <c r="X928" s="7"/>
      <c r="Y928" s="7"/>
      <c r="Z928" s="5"/>
      <c r="AA928" s="7"/>
      <c r="AB928" s="7"/>
      <c r="AC928" s="7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5"/>
      <c r="W929" s="7"/>
      <c r="X929" s="7"/>
      <c r="Y929" s="7"/>
      <c r="Z929" s="5"/>
      <c r="AA929" s="7"/>
      <c r="AB929" s="7"/>
      <c r="AC929" s="7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5"/>
      <c r="W930" s="7"/>
      <c r="X930" s="7"/>
      <c r="Y930" s="7"/>
      <c r="Z930" s="5"/>
      <c r="AA930" s="7"/>
      <c r="AB930" s="7"/>
      <c r="AC930" s="7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5"/>
      <c r="W931" s="7"/>
      <c r="X931" s="7"/>
      <c r="Y931" s="7"/>
      <c r="Z931" s="5"/>
      <c r="AA931" s="7"/>
      <c r="AB931" s="7"/>
      <c r="AC931" s="7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5"/>
      <c r="W932" s="7"/>
      <c r="X932" s="7"/>
      <c r="Y932" s="7"/>
      <c r="Z932" s="5"/>
      <c r="AA932" s="7"/>
      <c r="AB932" s="7"/>
      <c r="AC932" s="7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5"/>
      <c r="W933" s="7"/>
      <c r="X933" s="7"/>
      <c r="Y933" s="7"/>
      <c r="Z933" s="5"/>
      <c r="AA933" s="7"/>
      <c r="AB933" s="7"/>
      <c r="AC933" s="7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5"/>
      <c r="W934" s="7"/>
      <c r="X934" s="7"/>
      <c r="Y934" s="7"/>
      <c r="Z934" s="5"/>
      <c r="AA934" s="7"/>
      <c r="AB934" s="7"/>
      <c r="AC934" s="7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5"/>
      <c r="W935" s="7"/>
      <c r="X935" s="7"/>
      <c r="Y935" s="7"/>
      <c r="Z935" s="5"/>
      <c r="AA935" s="7"/>
      <c r="AB935" s="7"/>
      <c r="AC935" s="7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5"/>
      <c r="W936" s="7"/>
      <c r="X936" s="7"/>
      <c r="Y936" s="7"/>
      <c r="Z936" s="5"/>
      <c r="AA936" s="7"/>
      <c r="AB936" s="7"/>
      <c r="AC936" s="7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5"/>
      <c r="W937" s="7"/>
      <c r="X937" s="7"/>
      <c r="Y937" s="7"/>
      <c r="Z937" s="5"/>
      <c r="AA937" s="7"/>
      <c r="AB937" s="7"/>
      <c r="AC937" s="7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5"/>
      <c r="W938" s="7"/>
      <c r="X938" s="7"/>
      <c r="Y938" s="7"/>
      <c r="Z938" s="5"/>
      <c r="AA938" s="7"/>
      <c r="AB938" s="7"/>
      <c r="AC938" s="7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5"/>
      <c r="W939" s="7"/>
      <c r="X939" s="7"/>
      <c r="Y939" s="7"/>
      <c r="Z939" s="5"/>
      <c r="AA939" s="7"/>
      <c r="AB939" s="7"/>
      <c r="AC939" s="7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5"/>
      <c r="W940" s="7"/>
      <c r="X940" s="7"/>
      <c r="Y940" s="7"/>
      <c r="Z940" s="5"/>
      <c r="AA940" s="7"/>
      <c r="AB940" s="7"/>
      <c r="AC940" s="7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5"/>
      <c r="W941" s="7"/>
      <c r="X941" s="7"/>
      <c r="Y941" s="7"/>
      <c r="Z941" s="5"/>
      <c r="AA941" s="7"/>
      <c r="AB941" s="7"/>
      <c r="AC941" s="7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5"/>
      <c r="W942" s="7"/>
      <c r="X942" s="7"/>
      <c r="Y942" s="7"/>
      <c r="Z942" s="5"/>
      <c r="AA942" s="7"/>
      <c r="AB942" s="7"/>
      <c r="AC942" s="7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5"/>
      <c r="W943" s="7"/>
      <c r="X943" s="7"/>
      <c r="Y943" s="7"/>
      <c r="Z943" s="5"/>
      <c r="AA943" s="7"/>
      <c r="AB943" s="7"/>
      <c r="AC943" s="7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5"/>
      <c r="W944" s="7"/>
      <c r="X944" s="7"/>
      <c r="Y944" s="7"/>
      <c r="Z944" s="5"/>
      <c r="AA944" s="7"/>
      <c r="AB944" s="7"/>
      <c r="AC944" s="7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5"/>
      <c r="W945" s="7"/>
      <c r="X945" s="7"/>
      <c r="Y945" s="7"/>
      <c r="Z945" s="5"/>
      <c r="AA945" s="7"/>
      <c r="AB945" s="7"/>
      <c r="AC945" s="7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5"/>
      <c r="W946" s="7"/>
      <c r="X946" s="7"/>
      <c r="Y946" s="7"/>
      <c r="Z946" s="5"/>
      <c r="AA946" s="7"/>
      <c r="AB946" s="7"/>
      <c r="AC946" s="7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5"/>
      <c r="W947" s="7"/>
      <c r="X947" s="7"/>
      <c r="Y947" s="7"/>
      <c r="Z947" s="5"/>
      <c r="AA947" s="7"/>
      <c r="AB947" s="7"/>
      <c r="AC947" s="7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5"/>
      <c r="W948" s="7"/>
      <c r="X948" s="7"/>
      <c r="Y948" s="7"/>
      <c r="Z948" s="5"/>
      <c r="AA948" s="7"/>
      <c r="AB948" s="7"/>
      <c r="AC948" s="7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5"/>
      <c r="W949" s="7"/>
      <c r="X949" s="7"/>
      <c r="Y949" s="7"/>
      <c r="Z949" s="5"/>
      <c r="AA949" s="7"/>
      <c r="AB949" s="7"/>
      <c r="AC949" s="7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5"/>
      <c r="W950" s="7"/>
      <c r="X950" s="7"/>
      <c r="Y950" s="7"/>
      <c r="Z950" s="5"/>
      <c r="AA950" s="7"/>
      <c r="AB950" s="7"/>
      <c r="AC950" s="7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5"/>
      <c r="W951" s="7"/>
      <c r="X951" s="7"/>
      <c r="Y951" s="7"/>
      <c r="Z951" s="5"/>
      <c r="AA951" s="7"/>
      <c r="AB951" s="7"/>
      <c r="AC951" s="7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5"/>
      <c r="W952" s="7"/>
      <c r="X952" s="7"/>
      <c r="Y952" s="7"/>
      <c r="Z952" s="5"/>
      <c r="AA952" s="7"/>
      <c r="AB952" s="7"/>
      <c r="AC952" s="7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5"/>
      <c r="W953" s="7"/>
      <c r="X953" s="7"/>
      <c r="Y953" s="7"/>
      <c r="Z953" s="5"/>
      <c r="AA953" s="7"/>
      <c r="AB953" s="7"/>
      <c r="AC953" s="7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5"/>
      <c r="W954" s="7"/>
      <c r="X954" s="7"/>
      <c r="Y954" s="7"/>
      <c r="Z954" s="5"/>
      <c r="AA954" s="7"/>
      <c r="AB954" s="7"/>
      <c r="AC954" s="7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5"/>
      <c r="W955" s="7"/>
      <c r="X955" s="7"/>
      <c r="Y955" s="7"/>
      <c r="Z955" s="5"/>
      <c r="AA955" s="7"/>
      <c r="AB955" s="7"/>
      <c r="AC955" s="7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5"/>
      <c r="W956" s="7"/>
      <c r="X956" s="7"/>
      <c r="Y956" s="7"/>
      <c r="Z956" s="5"/>
      <c r="AA956" s="7"/>
      <c r="AB956" s="7"/>
      <c r="AC956" s="7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5"/>
      <c r="W957" s="7"/>
      <c r="X957" s="7"/>
      <c r="Y957" s="7"/>
      <c r="Z957" s="5"/>
      <c r="AA957" s="7"/>
      <c r="AB957" s="7"/>
      <c r="AC957" s="7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5"/>
      <c r="W958" s="7"/>
      <c r="X958" s="7"/>
      <c r="Y958" s="7"/>
      <c r="Z958" s="5"/>
      <c r="AA958" s="7"/>
      <c r="AB958" s="7"/>
      <c r="AC958" s="7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5"/>
      <c r="W959" s="7"/>
      <c r="X959" s="7"/>
      <c r="Y959" s="7"/>
      <c r="Z959" s="5"/>
      <c r="AA959" s="7"/>
      <c r="AB959" s="7"/>
      <c r="AC959" s="7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5"/>
      <c r="W960" s="7"/>
      <c r="X960" s="7"/>
      <c r="Y960" s="7"/>
      <c r="Z960" s="5"/>
      <c r="AA960" s="7"/>
      <c r="AB960" s="7"/>
      <c r="AC960" s="7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5"/>
      <c r="W961" s="7"/>
      <c r="X961" s="7"/>
      <c r="Y961" s="7"/>
      <c r="Z961" s="5"/>
      <c r="AA961" s="7"/>
      <c r="AB961" s="7"/>
      <c r="AC961" s="7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5"/>
      <c r="W962" s="7"/>
      <c r="X962" s="7"/>
      <c r="Y962" s="7"/>
      <c r="Z962" s="5"/>
      <c r="AA962" s="7"/>
      <c r="AB962" s="7"/>
      <c r="AC962" s="7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5"/>
      <c r="W963" s="7"/>
      <c r="X963" s="7"/>
      <c r="Y963" s="7"/>
      <c r="Z963" s="5"/>
      <c r="AA963" s="7"/>
      <c r="AB963" s="7"/>
      <c r="AC963" s="7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5"/>
      <c r="W964" s="7"/>
      <c r="X964" s="7"/>
      <c r="Y964" s="7"/>
      <c r="Z964" s="5"/>
      <c r="AA964" s="7"/>
      <c r="AB964" s="7"/>
      <c r="AC964" s="7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5"/>
      <c r="W965" s="7"/>
      <c r="X965" s="7"/>
      <c r="Y965" s="7"/>
      <c r="Z965" s="5"/>
      <c r="AA965" s="7"/>
      <c r="AB965" s="7"/>
      <c r="AC965" s="7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5"/>
      <c r="W966" s="7"/>
      <c r="X966" s="7"/>
      <c r="Y966" s="7"/>
      <c r="Z966" s="5"/>
      <c r="AA966" s="7"/>
      <c r="AB966" s="7"/>
      <c r="AC966" s="7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5"/>
      <c r="W967" s="7"/>
      <c r="X967" s="7"/>
      <c r="Y967" s="7"/>
      <c r="Z967" s="5"/>
      <c r="AA967" s="7"/>
      <c r="AB967" s="7"/>
      <c r="AC967" s="7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5"/>
      <c r="W968" s="7"/>
      <c r="X968" s="7"/>
      <c r="Y968" s="7"/>
      <c r="Z968" s="5"/>
      <c r="AA968" s="7"/>
      <c r="AB968" s="7"/>
      <c r="AC968" s="7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5"/>
      <c r="W969" s="7"/>
      <c r="X969" s="7"/>
      <c r="Y969" s="7"/>
      <c r="Z969" s="5"/>
      <c r="AA969" s="7"/>
      <c r="AB969" s="7"/>
      <c r="AC969" s="7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5"/>
      <c r="W970" s="7"/>
      <c r="X970" s="7"/>
      <c r="Y970" s="7"/>
      <c r="Z970" s="5"/>
      <c r="AA970" s="7"/>
      <c r="AB970" s="7"/>
      <c r="AC970" s="7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5"/>
      <c r="W971" s="7"/>
      <c r="X971" s="7"/>
      <c r="Y971" s="7"/>
      <c r="Z971" s="5"/>
      <c r="AA971" s="7"/>
      <c r="AB971" s="7"/>
      <c r="AC971" s="7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5"/>
      <c r="W972" s="7"/>
      <c r="X972" s="7"/>
      <c r="Y972" s="7"/>
      <c r="Z972" s="5"/>
      <c r="AA972" s="7"/>
      <c r="AB972" s="7"/>
      <c r="AC972" s="7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5"/>
      <c r="W973" s="7"/>
      <c r="X973" s="7"/>
      <c r="Y973" s="7"/>
      <c r="Z973" s="5"/>
      <c r="AA973" s="7"/>
      <c r="AB973" s="7"/>
      <c r="AC973" s="7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5"/>
      <c r="W974" s="7"/>
      <c r="X974" s="7"/>
      <c r="Y974" s="7"/>
      <c r="Z974" s="5"/>
      <c r="AA974" s="7"/>
      <c r="AB974" s="7"/>
      <c r="AC974" s="7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5"/>
      <c r="W975" s="7"/>
      <c r="X975" s="7"/>
      <c r="Y975" s="7"/>
      <c r="Z975" s="5"/>
      <c r="AA975" s="7"/>
      <c r="AB975" s="7"/>
      <c r="AC975" s="7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5"/>
      <c r="W976" s="7"/>
      <c r="X976" s="7"/>
      <c r="Y976" s="7"/>
      <c r="Z976" s="5"/>
      <c r="AA976" s="7"/>
      <c r="AB976" s="7"/>
      <c r="AC976" s="7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5"/>
      <c r="W977" s="7"/>
      <c r="X977" s="7"/>
      <c r="Y977" s="7"/>
      <c r="Z977" s="5"/>
      <c r="AA977" s="7"/>
      <c r="AB977" s="7"/>
      <c r="AC977" s="7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5"/>
      <c r="W978" s="7"/>
      <c r="X978" s="7"/>
      <c r="Y978" s="7"/>
      <c r="Z978" s="5"/>
      <c r="AA978" s="7"/>
      <c r="AB978" s="7"/>
      <c r="AC978" s="7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5"/>
      <c r="W979" s="7"/>
      <c r="X979" s="7"/>
      <c r="Y979" s="7"/>
      <c r="Z979" s="5"/>
      <c r="AA979" s="7"/>
      <c r="AB979" s="7"/>
      <c r="AC979" s="7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5"/>
      <c r="W980" s="7"/>
      <c r="X980" s="7"/>
      <c r="Y980" s="7"/>
      <c r="Z980" s="5"/>
      <c r="AA980" s="7"/>
      <c r="AB980" s="7"/>
      <c r="AC980" s="7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5"/>
      <c r="W981" s="7"/>
      <c r="X981" s="7"/>
      <c r="Y981" s="7"/>
      <c r="Z981" s="5"/>
      <c r="AA981" s="7"/>
      <c r="AB981" s="7"/>
      <c r="AC981" s="7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5"/>
      <c r="W982" s="7"/>
      <c r="X982" s="7"/>
      <c r="Y982" s="7"/>
      <c r="Z982" s="5"/>
      <c r="AA982" s="7"/>
      <c r="AB982" s="7"/>
      <c r="AC982" s="7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5"/>
      <c r="W983" s="7"/>
      <c r="X983" s="7"/>
      <c r="Y983" s="7"/>
      <c r="Z983" s="5"/>
      <c r="AA983" s="7"/>
      <c r="AB983" s="7"/>
      <c r="AC983" s="7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5"/>
      <c r="W984" s="7"/>
      <c r="X984" s="7"/>
      <c r="Y984" s="7"/>
      <c r="Z984" s="5"/>
      <c r="AA984" s="7"/>
      <c r="AB984" s="7"/>
      <c r="AC984" s="7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5"/>
      <c r="W985" s="7"/>
      <c r="X985" s="7"/>
      <c r="Y985" s="7"/>
      <c r="Z985" s="5"/>
      <c r="AA985" s="7"/>
      <c r="AB985" s="7"/>
      <c r="AC985" s="7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5"/>
      <c r="W986" s="7"/>
      <c r="X986" s="7"/>
      <c r="Y986" s="7"/>
      <c r="Z986" s="5"/>
      <c r="AA986" s="7"/>
      <c r="AB986" s="7"/>
      <c r="AC986" s="7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5"/>
      <c r="W987" s="7"/>
      <c r="X987" s="7"/>
      <c r="Y987" s="7"/>
      <c r="Z987" s="5"/>
      <c r="AA987" s="7"/>
      <c r="AB987" s="7"/>
      <c r="AC987" s="7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5"/>
      <c r="W988" s="7"/>
      <c r="X988" s="7"/>
      <c r="Y988" s="7"/>
      <c r="Z988" s="5"/>
      <c r="AA988" s="7"/>
      <c r="AB988" s="7"/>
      <c r="AC988" s="7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5"/>
      <c r="W989" s="7"/>
      <c r="X989" s="7"/>
      <c r="Y989" s="7"/>
      <c r="Z989" s="5"/>
      <c r="AA989" s="7"/>
      <c r="AB989" s="7"/>
      <c r="AC989" s="7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5"/>
      <c r="W990" s="7"/>
      <c r="X990" s="7"/>
      <c r="Y990" s="7"/>
      <c r="Z990" s="5"/>
      <c r="AA990" s="7"/>
      <c r="AB990" s="7"/>
      <c r="AC990" s="7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5"/>
      <c r="W991" s="7"/>
      <c r="X991" s="7"/>
      <c r="Y991" s="7"/>
      <c r="Z991" s="5"/>
      <c r="AA991" s="7"/>
      <c r="AB991" s="7"/>
      <c r="AC991" s="7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5"/>
      <c r="W992" s="7"/>
      <c r="X992" s="7"/>
      <c r="Y992" s="7"/>
      <c r="Z992" s="5"/>
      <c r="AA992" s="7"/>
      <c r="AB992" s="7"/>
      <c r="AC992" s="7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5"/>
      <c r="W993" s="7"/>
      <c r="X993" s="7"/>
      <c r="Y993" s="7"/>
      <c r="Z993" s="5"/>
      <c r="AA993" s="7"/>
      <c r="AB993" s="7"/>
      <c r="AC993" s="7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5"/>
      <c r="W994" s="7"/>
      <c r="X994" s="7"/>
      <c r="Y994" s="7"/>
      <c r="Z994" s="5"/>
      <c r="AA994" s="7"/>
      <c r="AB994" s="7"/>
      <c r="AC994" s="7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5"/>
      <c r="W995" s="7"/>
      <c r="X995" s="7"/>
      <c r="Y995" s="7"/>
      <c r="Z995" s="5"/>
      <c r="AA995" s="7"/>
      <c r="AB995" s="7"/>
      <c r="AC995" s="7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5"/>
      <c r="W996" s="7"/>
      <c r="X996" s="7"/>
      <c r="Y996" s="7"/>
      <c r="Z996" s="5"/>
      <c r="AA996" s="7"/>
      <c r="AB996" s="7"/>
      <c r="AC996" s="7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5"/>
      <c r="W997" s="7"/>
      <c r="X997" s="7"/>
      <c r="Y997" s="7"/>
      <c r="Z997" s="5"/>
      <c r="AA997" s="7"/>
      <c r="AB997" s="7"/>
      <c r="AC997" s="7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5"/>
      <c r="W998" s="7"/>
      <c r="X998" s="7"/>
      <c r="Y998" s="7"/>
      <c r="Z998" s="5"/>
      <c r="AA998" s="7"/>
      <c r="AB998" s="7"/>
      <c r="AC998" s="7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5"/>
      <c r="W999" s="7"/>
      <c r="X999" s="7"/>
      <c r="Y999" s="7"/>
      <c r="Z999" s="5"/>
      <c r="AA999" s="7"/>
      <c r="AB999" s="7"/>
      <c r="AC999" s="7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5"/>
      <c r="W1000" s="7"/>
      <c r="X1000" s="7"/>
      <c r="Y1000" s="7"/>
      <c r="Z1000" s="5"/>
      <c r="AA1000" s="7"/>
      <c r="AB1000" s="7"/>
      <c r="AC1000" s="7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5"/>
      <c r="W1001" s="7"/>
      <c r="X1001" s="7"/>
      <c r="Y1001" s="7"/>
      <c r="Z1001" s="5"/>
      <c r="AA1001" s="7"/>
      <c r="AB1001" s="7"/>
      <c r="AC1001" s="7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5"/>
      <c r="W1002" s="7"/>
      <c r="X1002" s="7"/>
      <c r="Y1002" s="7"/>
      <c r="Z1002" s="5"/>
      <c r="AA1002" s="7"/>
      <c r="AB1002" s="7"/>
      <c r="AC1002" s="7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5"/>
      <c r="W1003" s="7"/>
      <c r="X1003" s="7"/>
      <c r="Y1003" s="7"/>
      <c r="Z1003" s="5"/>
      <c r="AA1003" s="7"/>
      <c r="AB1003" s="7"/>
      <c r="AC1003" s="7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5"/>
      <c r="W1004" s="7"/>
      <c r="X1004" s="7"/>
      <c r="Y1004" s="7"/>
      <c r="Z1004" s="5"/>
      <c r="AA1004" s="7"/>
      <c r="AB1004" s="7"/>
      <c r="AC1004" s="7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5"/>
      <c r="W1005" s="7"/>
      <c r="X1005" s="7"/>
      <c r="Y1005" s="7"/>
      <c r="Z1005" s="5"/>
      <c r="AA1005" s="7"/>
      <c r="AB1005" s="7"/>
      <c r="AC1005" s="7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5"/>
      <c r="W1006" s="7"/>
      <c r="X1006" s="7"/>
      <c r="Y1006" s="7"/>
      <c r="Z1006" s="5"/>
      <c r="AA1006" s="7"/>
      <c r="AB1006" s="7"/>
      <c r="AC1006" s="7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5"/>
      <c r="W1007" s="7"/>
      <c r="X1007" s="7"/>
      <c r="Y1007" s="7"/>
      <c r="Z1007" s="5"/>
      <c r="AA1007" s="7"/>
      <c r="AB1007" s="7"/>
      <c r="AC1007" s="7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5"/>
      <c r="W1008" s="7"/>
      <c r="X1008" s="7"/>
      <c r="Y1008" s="7"/>
      <c r="Z1008" s="5"/>
      <c r="AA1008" s="7"/>
      <c r="AB1008" s="7"/>
      <c r="AC1008" s="7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5"/>
      <c r="W1009" s="7"/>
      <c r="X1009" s="7"/>
      <c r="Y1009" s="7"/>
      <c r="Z1009" s="5"/>
      <c r="AA1009" s="7"/>
      <c r="AB1009" s="7"/>
      <c r="AC1009" s="7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5"/>
      <c r="W1010" s="7"/>
      <c r="X1010" s="7"/>
      <c r="Y1010" s="7"/>
      <c r="Z1010" s="5"/>
      <c r="AA1010" s="7"/>
      <c r="AB1010" s="7"/>
      <c r="AC1010" s="7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5"/>
      <c r="W1011" s="7"/>
      <c r="X1011" s="7"/>
      <c r="Y1011" s="7"/>
      <c r="Z1011" s="5"/>
      <c r="AA1011" s="7"/>
      <c r="AB1011" s="7"/>
      <c r="AC1011" s="7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5"/>
      <c r="W1012" s="7"/>
      <c r="X1012" s="7"/>
      <c r="Y1012" s="7"/>
      <c r="Z1012" s="5"/>
      <c r="AA1012" s="7"/>
      <c r="AB1012" s="7"/>
      <c r="AC1012" s="7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5"/>
      <c r="W1013" s="7"/>
      <c r="X1013" s="7"/>
      <c r="Y1013" s="7"/>
      <c r="Z1013" s="5"/>
      <c r="AA1013" s="7"/>
      <c r="AB1013" s="7"/>
      <c r="AC1013" s="7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5"/>
      <c r="W1014" s="7"/>
      <c r="X1014" s="7"/>
      <c r="Y1014" s="7"/>
      <c r="Z1014" s="5"/>
      <c r="AA1014" s="7"/>
      <c r="AB1014" s="7"/>
      <c r="AC1014" s="7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5"/>
      <c r="W1015" s="7"/>
      <c r="X1015" s="7"/>
      <c r="Y1015" s="7"/>
      <c r="Z1015" s="5"/>
      <c r="AA1015" s="7"/>
      <c r="AB1015" s="7"/>
      <c r="AC1015" s="7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5"/>
      <c r="W1016" s="7"/>
      <c r="X1016" s="7"/>
      <c r="Y1016" s="7"/>
      <c r="Z1016" s="5"/>
      <c r="AA1016" s="7"/>
      <c r="AB1016" s="7"/>
      <c r="AC1016" s="7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5"/>
      <c r="W1017" s="7"/>
      <c r="X1017" s="7"/>
      <c r="Y1017" s="7"/>
      <c r="Z1017" s="5"/>
      <c r="AA1017" s="7"/>
      <c r="AB1017" s="7"/>
      <c r="AC1017" s="7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5"/>
      <c r="W1018" s="7"/>
      <c r="X1018" s="7"/>
      <c r="Y1018" s="7"/>
      <c r="Z1018" s="5"/>
      <c r="AA1018" s="7"/>
      <c r="AB1018" s="7"/>
      <c r="AC1018" s="7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5"/>
      <c r="W1019" s="7"/>
      <c r="X1019" s="7"/>
      <c r="Y1019" s="7"/>
      <c r="Z1019" s="5"/>
      <c r="AA1019" s="7"/>
      <c r="AB1019" s="7"/>
      <c r="AC1019" s="7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5"/>
      <c r="W1020" s="7"/>
      <c r="X1020" s="7"/>
      <c r="Y1020" s="7"/>
      <c r="Z1020" s="5"/>
      <c r="AA1020" s="7"/>
      <c r="AB1020" s="7"/>
      <c r="AC1020" s="7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5"/>
      <c r="W1021" s="7"/>
      <c r="X1021" s="7"/>
      <c r="Y1021" s="7"/>
      <c r="Z1021" s="5"/>
      <c r="AA1021" s="7"/>
      <c r="AB1021" s="7"/>
      <c r="AC1021" s="7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5"/>
      <c r="W1022" s="7"/>
      <c r="X1022" s="7"/>
      <c r="Y1022" s="7"/>
      <c r="Z1022" s="5"/>
      <c r="AA1022" s="7"/>
      <c r="AB1022" s="7"/>
      <c r="AC1022" s="7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5"/>
      <c r="W1023" s="7"/>
      <c r="X1023" s="7"/>
      <c r="Y1023" s="7"/>
      <c r="Z1023" s="5"/>
      <c r="AA1023" s="7"/>
      <c r="AB1023" s="7"/>
      <c r="AC1023" s="7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5"/>
      <c r="W1024" s="7"/>
      <c r="X1024" s="7"/>
      <c r="Y1024" s="7"/>
      <c r="Z1024" s="5"/>
      <c r="AA1024" s="7"/>
      <c r="AB1024" s="7"/>
      <c r="AC1024" s="7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5"/>
      <c r="W1025" s="7"/>
      <c r="X1025" s="7"/>
      <c r="Y1025" s="7"/>
      <c r="Z1025" s="5"/>
      <c r="AA1025" s="7"/>
      <c r="AB1025" s="7"/>
      <c r="AC1025" s="7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5"/>
      <c r="W1026" s="7"/>
      <c r="X1026" s="7"/>
      <c r="Y1026" s="7"/>
      <c r="Z1026" s="5"/>
      <c r="AA1026" s="7"/>
      <c r="AB1026" s="7"/>
      <c r="AC1026" s="7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5"/>
      <c r="W1027" s="7"/>
      <c r="X1027" s="7"/>
      <c r="Y1027" s="7"/>
      <c r="Z1027" s="5"/>
      <c r="AA1027" s="7"/>
      <c r="AB1027" s="7"/>
      <c r="AC1027" s="7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5"/>
      <c r="W1028" s="7"/>
      <c r="X1028" s="7"/>
      <c r="Y1028" s="7"/>
      <c r="Z1028" s="5"/>
      <c r="AA1028" s="7"/>
      <c r="AB1028" s="7"/>
      <c r="AC1028" s="7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5"/>
      <c r="W1029" s="7"/>
      <c r="X1029" s="7"/>
      <c r="Y1029" s="7"/>
      <c r="Z1029" s="5"/>
      <c r="AA1029" s="7"/>
      <c r="AB1029" s="7"/>
      <c r="AC1029" s="7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5"/>
      <c r="W1030" s="7"/>
      <c r="X1030" s="7"/>
      <c r="Y1030" s="7"/>
      <c r="Z1030" s="5"/>
      <c r="AA1030" s="7"/>
      <c r="AB1030" s="7"/>
      <c r="AC1030" s="7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5"/>
      <c r="W1031" s="7"/>
      <c r="X1031" s="7"/>
      <c r="Y1031" s="7"/>
      <c r="Z1031" s="5"/>
      <c r="AA1031" s="7"/>
      <c r="AB1031" s="7"/>
      <c r="AC1031" s="7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5"/>
      <c r="W1032" s="7"/>
      <c r="X1032" s="7"/>
      <c r="Y1032" s="7"/>
      <c r="Z1032" s="5"/>
      <c r="AA1032" s="7"/>
      <c r="AB1032" s="7"/>
      <c r="AC1032" s="7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5"/>
      <c r="W1033" s="7"/>
      <c r="X1033" s="7"/>
      <c r="Y1033" s="7"/>
      <c r="Z1033" s="5"/>
      <c r="AA1033" s="7"/>
      <c r="AB1033" s="7"/>
      <c r="AC1033" s="7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5"/>
      <c r="W1034" s="7"/>
      <c r="X1034" s="7"/>
      <c r="Y1034" s="7"/>
      <c r="Z1034" s="5"/>
      <c r="AA1034" s="7"/>
      <c r="AB1034" s="7"/>
      <c r="AC1034" s="7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5"/>
      <c r="W1035" s="7"/>
      <c r="X1035" s="7"/>
      <c r="Y1035" s="7"/>
      <c r="Z1035" s="5"/>
      <c r="AA1035" s="7"/>
      <c r="AB1035" s="7"/>
      <c r="AC1035" s="7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5"/>
      <c r="W1036" s="7"/>
      <c r="X1036" s="7"/>
      <c r="Y1036" s="7"/>
      <c r="Z1036" s="5"/>
      <c r="AA1036" s="7"/>
      <c r="AB1036" s="7"/>
      <c r="AC1036" s="7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5"/>
      <c r="W1037" s="7"/>
      <c r="X1037" s="7"/>
      <c r="Y1037" s="7"/>
      <c r="Z1037" s="5"/>
      <c r="AA1037" s="7"/>
      <c r="AB1037" s="7"/>
      <c r="AC1037" s="7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5"/>
      <c r="W1038" s="7"/>
      <c r="X1038" s="7"/>
      <c r="Y1038" s="7"/>
      <c r="Z1038" s="5"/>
      <c r="AA1038" s="7"/>
      <c r="AB1038" s="7"/>
      <c r="AC1038" s="7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5"/>
      <c r="W1039" s="7"/>
      <c r="X1039" s="7"/>
      <c r="Y1039" s="7"/>
      <c r="Z1039" s="5"/>
      <c r="AA1039" s="7"/>
      <c r="AB1039" s="7"/>
      <c r="AC1039" s="7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5"/>
      <c r="W1040" s="7"/>
      <c r="X1040" s="7"/>
      <c r="Y1040" s="7"/>
      <c r="Z1040" s="5"/>
      <c r="AA1040" s="7"/>
      <c r="AB1040" s="7"/>
      <c r="AC1040" s="7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5"/>
      <c r="W1041" s="7"/>
      <c r="X1041" s="7"/>
      <c r="Y1041" s="7"/>
      <c r="Z1041" s="5"/>
      <c r="AA1041" s="7"/>
      <c r="AB1041" s="7"/>
      <c r="AC1041" s="7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5"/>
      <c r="W1042" s="7"/>
      <c r="X1042" s="7"/>
      <c r="Y1042" s="7"/>
      <c r="Z1042" s="5"/>
      <c r="AA1042" s="7"/>
      <c r="AB1042" s="7"/>
      <c r="AC1042" s="7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5"/>
      <c r="W1043" s="7"/>
      <c r="X1043" s="7"/>
      <c r="Y1043" s="7"/>
      <c r="Z1043" s="5"/>
      <c r="AA1043" s="7"/>
      <c r="AB1043" s="7"/>
      <c r="AC1043" s="7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5"/>
      <c r="W1044" s="7"/>
      <c r="X1044" s="7"/>
      <c r="Y1044" s="7"/>
      <c r="Z1044" s="5"/>
      <c r="AA1044" s="7"/>
      <c r="AB1044" s="7"/>
      <c r="AC1044" s="7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5"/>
      <c r="W1045" s="7"/>
      <c r="X1045" s="7"/>
      <c r="Y1045" s="7"/>
      <c r="Z1045" s="5"/>
      <c r="AA1045" s="7"/>
      <c r="AB1045" s="7"/>
      <c r="AC1045" s="7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5"/>
      <c r="W1046" s="7"/>
      <c r="X1046" s="7"/>
      <c r="Y1046" s="7"/>
      <c r="Z1046" s="5"/>
      <c r="AA1046" s="7"/>
      <c r="AB1046" s="7"/>
      <c r="AC1046" s="7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5"/>
      <c r="W1047" s="7"/>
      <c r="X1047" s="7"/>
      <c r="Y1047" s="7"/>
      <c r="Z1047" s="5"/>
      <c r="AA1047" s="7"/>
      <c r="AB1047" s="7"/>
      <c r="AC1047" s="7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5"/>
      <c r="W1048" s="7"/>
      <c r="X1048" s="7"/>
      <c r="Y1048" s="7"/>
      <c r="Z1048" s="5"/>
      <c r="AA1048" s="7"/>
      <c r="AB1048" s="7"/>
      <c r="AC1048" s="7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5"/>
      <c r="W1049" s="7"/>
      <c r="X1049" s="7"/>
      <c r="Y1049" s="7"/>
      <c r="Z1049" s="5"/>
      <c r="AA1049" s="7"/>
      <c r="AB1049" s="7"/>
      <c r="AC1049" s="7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5"/>
      <c r="W1050" s="7"/>
      <c r="X1050" s="7"/>
      <c r="Y1050" s="7"/>
      <c r="Z1050" s="5"/>
      <c r="AA1050" s="7"/>
      <c r="AB1050" s="7"/>
      <c r="AC1050" s="7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5"/>
      <c r="W1051" s="7"/>
      <c r="X1051" s="7"/>
      <c r="Y1051" s="7"/>
      <c r="Z1051" s="5"/>
      <c r="AA1051" s="7"/>
      <c r="AB1051" s="7"/>
      <c r="AC1051" s="7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5"/>
      <c r="W1052" s="7"/>
      <c r="X1052" s="7"/>
      <c r="Y1052" s="7"/>
      <c r="Z1052" s="5"/>
      <c r="AA1052" s="7"/>
      <c r="AB1052" s="7"/>
      <c r="AC1052" s="7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5"/>
      <c r="W1053" s="7"/>
      <c r="X1053" s="7"/>
      <c r="Y1053" s="7"/>
      <c r="Z1053" s="5"/>
      <c r="AA1053" s="7"/>
      <c r="AB1053" s="7"/>
      <c r="AC1053" s="7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5"/>
      <c r="W1054" s="7"/>
      <c r="X1054" s="7"/>
      <c r="Y1054" s="7"/>
      <c r="Z1054" s="5"/>
      <c r="AA1054" s="7"/>
      <c r="AB1054" s="7"/>
      <c r="AC1054" s="7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5"/>
      <c r="W1055" s="7"/>
      <c r="X1055" s="7"/>
      <c r="Y1055" s="7"/>
      <c r="Z1055" s="5"/>
      <c r="AA1055" s="7"/>
      <c r="AB1055" s="7"/>
      <c r="AC1055" s="7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5"/>
      <c r="W1056" s="7"/>
      <c r="X1056" s="7"/>
      <c r="Y1056" s="7"/>
      <c r="Z1056" s="5"/>
      <c r="AA1056" s="7"/>
      <c r="AB1056" s="7"/>
      <c r="AC1056" s="7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5"/>
      <c r="W1057" s="7"/>
      <c r="X1057" s="7"/>
      <c r="Y1057" s="7"/>
      <c r="Z1057" s="5"/>
      <c r="AA1057" s="7"/>
      <c r="AB1057" s="7"/>
      <c r="AC1057" s="7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5"/>
      <c r="W1058" s="7"/>
      <c r="X1058" s="7"/>
      <c r="Y1058" s="7"/>
      <c r="Z1058" s="5"/>
      <c r="AA1058" s="7"/>
      <c r="AB1058" s="7"/>
      <c r="AC1058" s="7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5"/>
      <c r="W1059" s="7"/>
      <c r="X1059" s="7"/>
      <c r="Y1059" s="7"/>
      <c r="Z1059" s="5"/>
      <c r="AA1059" s="7"/>
      <c r="AB1059" s="7"/>
      <c r="AC1059" s="7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5"/>
      <c r="W1060" s="7"/>
      <c r="X1060" s="7"/>
      <c r="Y1060" s="7"/>
      <c r="Z1060" s="5"/>
      <c r="AA1060" s="7"/>
      <c r="AB1060" s="7"/>
      <c r="AC1060" s="7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5"/>
      <c r="W1061" s="7"/>
      <c r="X1061" s="7"/>
      <c r="Y1061" s="7"/>
      <c r="Z1061" s="5"/>
      <c r="AA1061" s="7"/>
      <c r="AB1061" s="7"/>
      <c r="AC1061" s="7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5"/>
      <c r="W1062" s="7"/>
      <c r="X1062" s="7"/>
      <c r="Y1062" s="7"/>
      <c r="Z1062" s="5"/>
      <c r="AA1062" s="7"/>
      <c r="AB1062" s="7"/>
      <c r="AC1062" s="7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5"/>
      <c r="W1063" s="7"/>
      <c r="X1063" s="7"/>
      <c r="Y1063" s="7"/>
      <c r="Z1063" s="5"/>
      <c r="AA1063" s="7"/>
      <c r="AB1063" s="7"/>
      <c r="AC1063" s="7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5"/>
      <c r="W1064" s="7"/>
      <c r="X1064" s="7"/>
      <c r="Y1064" s="7"/>
      <c r="Z1064" s="5"/>
      <c r="AA1064" s="7"/>
      <c r="AB1064" s="7"/>
      <c r="AC1064" s="7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5"/>
      <c r="W1065" s="7"/>
      <c r="X1065" s="7"/>
      <c r="Y1065" s="7"/>
      <c r="Z1065" s="5"/>
      <c r="AA1065" s="7"/>
      <c r="AB1065" s="7"/>
      <c r="AC1065" s="7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5"/>
      <c r="W1066" s="7"/>
      <c r="X1066" s="7"/>
      <c r="Y1066" s="7"/>
      <c r="Z1066" s="5"/>
      <c r="AA1066" s="7"/>
      <c r="AB1066" s="7"/>
      <c r="AC1066" s="7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5"/>
      <c r="W1067" s="7"/>
      <c r="X1067" s="7"/>
      <c r="Y1067" s="7"/>
      <c r="Z1067" s="5"/>
      <c r="AA1067" s="7"/>
      <c r="AB1067" s="7"/>
      <c r="AC1067" s="7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5"/>
      <c r="W1068" s="7"/>
      <c r="X1068" s="7"/>
      <c r="Y1068" s="7"/>
      <c r="Z1068" s="5"/>
      <c r="AA1068" s="7"/>
      <c r="AB1068" s="7"/>
      <c r="AC1068" s="7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5"/>
      <c r="W1069" s="7"/>
      <c r="X1069" s="7"/>
      <c r="Y1069" s="7"/>
      <c r="Z1069" s="5"/>
      <c r="AA1069" s="7"/>
      <c r="AB1069" s="7"/>
      <c r="AC1069" s="7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5"/>
      <c r="W1070" s="7"/>
      <c r="X1070" s="7"/>
      <c r="Y1070" s="7"/>
      <c r="Z1070" s="5"/>
      <c r="AA1070" s="7"/>
      <c r="AB1070" s="7"/>
      <c r="AC1070" s="7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5"/>
      <c r="W1071" s="7"/>
      <c r="X1071" s="7"/>
      <c r="Y1071" s="7"/>
      <c r="Z1071" s="5"/>
      <c r="AA1071" s="7"/>
      <c r="AB1071" s="7"/>
      <c r="AC1071" s="7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</sheetData>
  <mergeCells count="18">
    <mergeCell ref="F3:I3"/>
    <mergeCell ref="U4:U5"/>
    <mergeCell ref="W4:Y4"/>
    <mergeCell ref="H5:H6"/>
    <mergeCell ref="J5:J6"/>
    <mergeCell ref="N5:O5"/>
    <mergeCell ref="AA13:AA15"/>
    <mergeCell ref="D209:G209"/>
    <mergeCell ref="D227:G227"/>
    <mergeCell ref="D245:G245"/>
    <mergeCell ref="D263:G263"/>
    <mergeCell ref="D50:E50"/>
    <mergeCell ref="D78:E78"/>
    <mergeCell ref="D83:E83"/>
    <mergeCell ref="F102:H102"/>
    <mergeCell ref="J102:K102"/>
    <mergeCell ref="J149:K149"/>
    <mergeCell ref="J173:K173"/>
  </mergeCells>
  <dataValidations>
    <dataValidation type="list" allowBlank="1" sqref="J43:U43">
      <formula1>$J$7:$J$9</formula1>
    </dataValidation>
    <dataValidation type="list" allowBlank="1" sqref="J42:U42">
      <formula1>$AO$4:$AO$5</formula1>
    </dataValidation>
    <dataValidation type="list" allowBlank="1" sqref="J44:U44">
      <formula1>$AP$4:$AP$6</formula1>
    </dataValidation>
    <dataValidation type="list" allowBlank="1" sqref="H21:H40">
      <formula1>$AQ$4:$AQ$6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.63"/>
    <col customWidth="1" min="3" max="3" width="1.25"/>
    <col customWidth="1" min="4" max="4" width="19.88"/>
    <col customWidth="1" min="5" max="5" width="1.63"/>
    <col customWidth="1" min="7" max="7" width="1.63"/>
    <col customWidth="1" min="8" max="8" width="14.38"/>
    <col customWidth="1" min="9" max="9" width="1.63"/>
    <col customWidth="1" min="10" max="10" width="10.63"/>
    <col customWidth="1" min="11" max="21" width="9.13"/>
    <col customWidth="1" min="22" max="22" width="3.5"/>
    <col customWidth="1" min="23" max="23" width="13.75"/>
    <col customWidth="1" min="26" max="26" width="1.25"/>
    <col customWidth="1" min="27" max="29" width="11.38"/>
    <col customWidth="1" min="30" max="33" width="3.38"/>
    <col customWidth="1" min="34" max="35" width="1.63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/>
      <c r="W1" s="4"/>
      <c r="X1" s="4"/>
      <c r="Y1" s="4"/>
      <c r="Z1" s="2"/>
      <c r="AA1" s="4"/>
      <c r="AB1" s="4"/>
      <c r="AC1" s="4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5"/>
      <c r="AQ1" s="6" t="s">
        <v>0</v>
      </c>
    </row>
    <row r="2" ht="9.75" customHeight="1">
      <c r="A2" s="2"/>
      <c r="B2" s="5"/>
      <c r="C2" s="5"/>
      <c r="D2" s="5"/>
      <c r="E2" s="5"/>
      <c r="F2" s="5"/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"/>
      <c r="W2" s="7"/>
      <c r="X2" s="7"/>
      <c r="Y2" s="7"/>
      <c r="Z2" s="5"/>
      <c r="AA2" s="7"/>
      <c r="AB2" s="7"/>
      <c r="AC2" s="7"/>
      <c r="AD2" s="5"/>
      <c r="AE2" s="5"/>
      <c r="AF2" s="5"/>
      <c r="AG2" s="5"/>
      <c r="AH2" s="5"/>
      <c r="AI2" s="5"/>
      <c r="AJ2" s="2"/>
      <c r="AK2" s="2"/>
      <c r="AL2" s="2"/>
      <c r="AM2" s="2"/>
      <c r="AN2" s="2"/>
      <c r="AO2" s="2"/>
      <c r="AP2" s="5"/>
      <c r="AQ2" s="5"/>
    </row>
    <row r="3">
      <c r="A3" s="2"/>
      <c r="B3" s="5"/>
      <c r="C3" s="2"/>
      <c r="D3" s="2"/>
      <c r="E3" s="2"/>
      <c r="F3" s="9" t="s">
        <v>1</v>
      </c>
      <c r="J3" s="4"/>
      <c r="K3" s="11">
        <f>F6+K5+F13</f>
        <v>154</v>
      </c>
      <c r="L3" s="11">
        <f>F6+L5+F13</f>
        <v>149</v>
      </c>
      <c r="M3" s="11">
        <f>F6+M5+F13</f>
        <v>144</v>
      </c>
      <c r="N3" s="4"/>
      <c r="O3" s="4"/>
      <c r="P3" s="4"/>
      <c r="Q3" s="4"/>
      <c r="R3" s="4"/>
      <c r="S3" s="4"/>
      <c r="T3" s="4"/>
      <c r="U3" s="12"/>
      <c r="V3" s="2"/>
      <c r="W3" s="13"/>
      <c r="X3" s="13"/>
      <c r="Y3" s="13"/>
      <c r="Z3" s="2"/>
      <c r="AA3" s="4"/>
      <c r="AB3" s="4"/>
      <c r="AC3" s="4"/>
      <c r="AD3" s="2"/>
      <c r="AE3" s="2"/>
      <c r="AF3" s="2"/>
      <c r="AG3" s="2"/>
      <c r="AH3" s="2"/>
      <c r="AI3" s="5"/>
      <c r="AJ3" s="2"/>
      <c r="AK3" s="2"/>
      <c r="AL3" s="2"/>
      <c r="AM3" s="2"/>
      <c r="AN3" s="2"/>
      <c r="AO3" s="3"/>
      <c r="AP3" s="14"/>
      <c r="AQ3" s="14"/>
    </row>
    <row r="4" ht="14.25" customHeight="1">
      <c r="A4" s="2"/>
      <c r="B4" s="5"/>
      <c r="C4" s="2"/>
      <c r="D4" s="2"/>
      <c r="E4" s="2"/>
      <c r="F4" s="2"/>
      <c r="G4" s="2"/>
      <c r="H4" s="2"/>
      <c r="I4" s="2"/>
      <c r="J4" s="4"/>
      <c r="K4" s="11"/>
      <c r="L4" s="11"/>
      <c r="M4" s="11"/>
      <c r="N4" s="4"/>
      <c r="O4" s="4"/>
      <c r="P4" s="4"/>
      <c r="Q4" s="4"/>
      <c r="R4" s="4"/>
      <c r="S4" s="4"/>
      <c r="T4" s="4"/>
      <c r="U4" s="15" t="s">
        <v>2</v>
      </c>
      <c r="V4" s="2"/>
      <c r="W4" s="16" t="s">
        <v>3</v>
      </c>
      <c r="X4" s="17"/>
      <c r="Y4" s="18"/>
      <c r="Z4" s="2"/>
      <c r="AA4" s="4"/>
      <c r="AB4" s="4"/>
      <c r="AC4" s="4"/>
      <c r="AD4" s="2"/>
      <c r="AE4" s="2"/>
      <c r="AF4" s="2"/>
      <c r="AG4" s="2"/>
      <c r="AH4" s="2"/>
      <c r="AI4" s="5"/>
      <c r="AJ4" s="2"/>
      <c r="AK4" s="2"/>
      <c r="AL4" s="2"/>
      <c r="AM4" s="2"/>
      <c r="AN4" s="2"/>
      <c r="AO4" s="3" t="s">
        <v>4</v>
      </c>
      <c r="AP4" s="14" t="str">
        <f>K6</f>
        <v>Sea</v>
      </c>
      <c r="AQ4" s="14" t="str">
        <f>W5</f>
        <v>SkyRockets</v>
      </c>
    </row>
    <row r="5">
      <c r="A5" s="2"/>
      <c r="B5" s="5"/>
      <c r="C5" s="2"/>
      <c r="D5" s="3"/>
      <c r="E5" s="2"/>
      <c r="F5" s="2"/>
      <c r="G5" s="2"/>
      <c r="H5" s="12" t="s">
        <v>5</v>
      </c>
      <c r="I5" s="2"/>
      <c r="J5" s="12" t="s">
        <v>6</v>
      </c>
      <c r="K5" s="19">
        <v>25.0</v>
      </c>
      <c r="L5" s="19">
        <v>20.0</v>
      </c>
      <c r="M5" s="19">
        <v>15.0</v>
      </c>
      <c r="N5" s="13" t="s">
        <v>7</v>
      </c>
      <c r="P5" s="4"/>
      <c r="Q5" s="4"/>
      <c r="R5" s="4"/>
      <c r="S5" s="4"/>
      <c r="T5" s="4"/>
      <c r="U5" s="22"/>
      <c r="V5" s="2"/>
      <c r="W5" s="23" t="s">
        <v>8</v>
      </c>
      <c r="X5" s="24" t="s">
        <v>9</v>
      </c>
      <c r="Y5" s="25" t="s">
        <v>10</v>
      </c>
      <c r="Z5" s="2"/>
      <c r="AA5" s="4"/>
      <c r="AB5" s="4"/>
      <c r="AC5" s="4"/>
      <c r="AD5" s="2"/>
      <c r="AE5" s="2"/>
      <c r="AF5" s="2"/>
      <c r="AG5" s="2"/>
      <c r="AH5" s="2"/>
      <c r="AI5" s="5"/>
      <c r="AJ5" s="2"/>
      <c r="AK5" s="2"/>
      <c r="AL5" s="2"/>
      <c r="AM5" s="2"/>
      <c r="AN5" s="2"/>
      <c r="AO5" s="3" t="s">
        <v>11</v>
      </c>
      <c r="AP5" s="14" t="str">
        <f>L6</f>
        <v>Air</v>
      </c>
      <c r="AQ5" s="14" t="str">
        <f>X5</f>
        <v>Steady Eddy</v>
      </c>
    </row>
    <row r="6">
      <c r="A6" s="2"/>
      <c r="B6" s="5"/>
      <c r="C6" s="2"/>
      <c r="D6" s="3" t="s">
        <v>13</v>
      </c>
      <c r="E6" s="2"/>
      <c r="F6" s="26">
        <v>120.0</v>
      </c>
      <c r="G6" s="2"/>
      <c r="I6" s="2"/>
      <c r="K6" s="13" t="s">
        <v>14</v>
      </c>
      <c r="L6" s="13" t="s">
        <v>15</v>
      </c>
      <c r="M6" s="13" t="s">
        <v>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"/>
      <c r="AA6" s="4"/>
      <c r="AB6" s="4"/>
      <c r="AC6" s="4"/>
      <c r="AD6" s="2"/>
      <c r="AE6" s="2"/>
      <c r="AF6" s="2"/>
      <c r="AG6" s="2"/>
      <c r="AH6" s="2"/>
      <c r="AI6" s="5"/>
      <c r="AJ6" s="2"/>
      <c r="AK6" s="2"/>
      <c r="AL6" s="2"/>
      <c r="AM6" s="2"/>
      <c r="AN6" s="2"/>
      <c r="AO6" s="2"/>
      <c r="AP6" s="14" t="str">
        <f>M6</f>
        <v>Express</v>
      </c>
      <c r="AQ6" s="14" t="str">
        <f>Y5</f>
        <v>Slow Burn</v>
      </c>
    </row>
    <row r="7">
      <c r="A7" s="2"/>
      <c r="B7" s="5"/>
      <c r="C7" s="2"/>
      <c r="D7" s="3" t="s">
        <v>17</v>
      </c>
      <c r="E7" s="2"/>
      <c r="F7" s="28">
        <v>0.6</v>
      </c>
      <c r="G7" s="2"/>
      <c r="H7" s="29">
        <v>2500.0</v>
      </c>
      <c r="I7" s="2"/>
      <c r="J7" s="13" t="s">
        <v>18</v>
      </c>
      <c r="K7" s="29">
        <v>3500.0</v>
      </c>
      <c r="L7" s="29">
        <v>5000.0</v>
      </c>
      <c r="M7" s="29">
        <v>6500.0</v>
      </c>
      <c r="N7" s="4"/>
      <c r="O7" s="4"/>
      <c r="P7" s="4"/>
      <c r="Q7" s="4"/>
      <c r="R7" s="4"/>
      <c r="S7" s="4"/>
      <c r="T7" s="4"/>
      <c r="U7" s="30">
        <v>30.0</v>
      </c>
      <c r="V7" s="2"/>
      <c r="W7" s="31">
        <v>0.4</v>
      </c>
      <c r="X7" s="31">
        <v>0.2</v>
      </c>
      <c r="Y7" s="31">
        <v>0.1</v>
      </c>
      <c r="Z7" s="3" t="s">
        <v>0</v>
      </c>
      <c r="AA7" s="4"/>
      <c r="AB7" s="4"/>
      <c r="AC7" s="4"/>
      <c r="AD7" s="2"/>
      <c r="AE7" s="2"/>
      <c r="AF7" s="2"/>
      <c r="AG7" s="2"/>
      <c r="AH7" s="2"/>
      <c r="AI7" s="5"/>
      <c r="AJ7" s="2"/>
      <c r="AK7" s="2"/>
      <c r="AL7" s="2"/>
      <c r="AM7" s="2"/>
      <c r="AN7" s="2"/>
      <c r="AO7" s="2"/>
      <c r="AP7" s="14"/>
      <c r="AQ7" s="14"/>
    </row>
    <row r="8">
      <c r="A8" s="2"/>
      <c r="B8" s="5"/>
      <c r="C8" s="2"/>
      <c r="D8" s="3" t="s">
        <v>19</v>
      </c>
      <c r="E8" s="2"/>
      <c r="F8" s="28">
        <v>0.06</v>
      </c>
      <c r="G8" s="2"/>
      <c r="H8" s="29">
        <v>4000.0</v>
      </c>
      <c r="I8" s="2"/>
      <c r="J8" s="13" t="s">
        <v>20</v>
      </c>
      <c r="K8" s="29">
        <v>8000.0</v>
      </c>
      <c r="L8" s="29">
        <v>10000.0</v>
      </c>
      <c r="M8" s="29">
        <v>11500.0</v>
      </c>
      <c r="N8" s="4"/>
      <c r="O8" s="4"/>
      <c r="P8" s="4"/>
      <c r="Q8" s="4"/>
      <c r="R8" s="4"/>
      <c r="S8" s="4"/>
      <c r="T8" s="13" t="s">
        <v>0</v>
      </c>
      <c r="U8" s="30">
        <v>60.0</v>
      </c>
      <c r="V8" s="2"/>
      <c r="W8" s="31">
        <v>0.25</v>
      </c>
      <c r="X8" s="31">
        <v>0.3</v>
      </c>
      <c r="Y8" s="31">
        <v>0.3</v>
      </c>
      <c r="Z8" s="2"/>
      <c r="AA8" s="4"/>
      <c r="AB8" s="4"/>
      <c r="AC8" s="4"/>
      <c r="AD8" s="2"/>
      <c r="AE8" s="2"/>
      <c r="AF8" s="2"/>
      <c r="AG8" s="2"/>
      <c r="AH8" s="2"/>
      <c r="AI8" s="5"/>
      <c r="AJ8" s="2"/>
      <c r="AK8" s="2"/>
      <c r="AL8" s="2"/>
      <c r="AM8" s="2"/>
      <c r="AN8" s="2"/>
      <c r="AO8" s="2"/>
      <c r="AP8" s="14"/>
      <c r="AQ8" s="14"/>
    </row>
    <row r="9">
      <c r="A9" s="2"/>
      <c r="B9" s="5"/>
      <c r="C9" s="2"/>
      <c r="D9" s="3" t="s">
        <v>21</v>
      </c>
      <c r="E9" s="2"/>
      <c r="F9" s="28">
        <v>0.1</v>
      </c>
      <c r="G9" s="2"/>
      <c r="H9" s="29">
        <v>6000.0</v>
      </c>
      <c r="I9" s="2"/>
      <c r="J9" s="13" t="s">
        <v>22</v>
      </c>
      <c r="K9" s="29">
        <v>12000.0</v>
      </c>
      <c r="L9" s="29">
        <v>14000.0</v>
      </c>
      <c r="M9" s="29">
        <v>15500.0</v>
      </c>
      <c r="N9" s="4"/>
      <c r="O9" s="4"/>
      <c r="P9" s="4"/>
      <c r="Q9" s="4"/>
      <c r="R9" s="4"/>
      <c r="S9" s="4"/>
      <c r="T9" s="4"/>
      <c r="U9" s="30">
        <v>90.0</v>
      </c>
      <c r="V9" s="2"/>
      <c r="W9" s="31">
        <v>0.2</v>
      </c>
      <c r="X9" s="31">
        <v>0.2</v>
      </c>
      <c r="Y9" s="31">
        <v>0.4</v>
      </c>
      <c r="Z9" s="2"/>
      <c r="AA9" s="4"/>
      <c r="AB9" s="4"/>
      <c r="AC9" s="4"/>
      <c r="AD9" s="2"/>
      <c r="AE9" s="2"/>
      <c r="AF9" s="2"/>
      <c r="AG9" s="2"/>
      <c r="AH9" s="2"/>
      <c r="AI9" s="5"/>
      <c r="AJ9" s="2"/>
      <c r="AK9" s="2"/>
      <c r="AL9" s="2"/>
      <c r="AM9" s="2"/>
      <c r="AN9" s="2"/>
      <c r="AO9" s="2"/>
      <c r="AP9" s="5"/>
      <c r="AQ9" s="5"/>
    </row>
    <row r="10">
      <c r="A10" s="2"/>
      <c r="B10" s="5"/>
      <c r="C10" s="2"/>
      <c r="D10" s="3" t="s">
        <v>23</v>
      </c>
      <c r="E10" s="2"/>
      <c r="F10" s="26">
        <v>91.0</v>
      </c>
      <c r="G10" s="2"/>
      <c r="H10" s="2"/>
      <c r="I10" s="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30">
        <v>120.0</v>
      </c>
      <c r="V10" s="2"/>
      <c r="W10" s="31">
        <v>0.15</v>
      </c>
      <c r="X10" s="31">
        <v>0.3</v>
      </c>
      <c r="Y10" s="31">
        <v>0.2</v>
      </c>
      <c r="Z10" s="2"/>
      <c r="AA10" s="4"/>
      <c r="AB10" s="4"/>
      <c r="AC10" s="4"/>
      <c r="AD10" s="2"/>
      <c r="AE10" s="2"/>
      <c r="AF10" s="2"/>
      <c r="AG10" s="2"/>
      <c r="AH10" s="2"/>
      <c r="AI10" s="5"/>
      <c r="AJ10" s="2"/>
      <c r="AK10" s="2"/>
      <c r="AL10" s="2"/>
      <c r="AM10" s="2"/>
      <c r="AN10" s="2"/>
      <c r="AO10" s="2"/>
      <c r="AP10" s="5"/>
      <c r="AQ10" s="5"/>
    </row>
    <row r="11" ht="6.0" customHeight="1">
      <c r="A11" s="2"/>
      <c r="B11" s="5"/>
      <c r="C11" s="2"/>
      <c r="D11" s="2"/>
      <c r="E11" s="2"/>
      <c r="F11" s="2"/>
      <c r="G11" s="2"/>
      <c r="H11" s="2"/>
      <c r="I11" s="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2"/>
      <c r="W11" s="4"/>
      <c r="X11" s="4"/>
      <c r="Y11" s="4"/>
      <c r="Z11" s="2"/>
      <c r="AA11" s="4"/>
      <c r="AB11" s="4"/>
      <c r="AC11" s="4"/>
      <c r="AD11" s="2"/>
      <c r="AE11" s="2"/>
      <c r="AF11" s="2"/>
      <c r="AG11" s="2"/>
      <c r="AH11" s="2"/>
      <c r="AI11" s="5"/>
      <c r="AJ11" s="2"/>
      <c r="AK11" s="2"/>
      <c r="AL11" s="2"/>
      <c r="AM11" s="2"/>
      <c r="AN11" s="2"/>
      <c r="AO11" s="2"/>
      <c r="AP11" s="5"/>
      <c r="AQ11" s="5"/>
    </row>
    <row r="12">
      <c r="A12" s="2"/>
      <c r="B12" s="5"/>
      <c r="C12" s="2"/>
      <c r="D12" s="2"/>
      <c r="E12" s="2"/>
      <c r="F12" s="2"/>
      <c r="G12" s="2"/>
      <c r="H12" s="32" t="s">
        <v>24</v>
      </c>
      <c r="I12" s="33"/>
      <c r="J12" s="34">
        <f t="shared" ref="J12:U12" si="1">J54</f>
        <v>64585.8</v>
      </c>
      <c r="K12" s="34">
        <f t="shared" si="1"/>
        <v>23379.6</v>
      </c>
      <c r="L12" s="34">
        <f t="shared" si="1"/>
        <v>56586.6</v>
      </c>
      <c r="M12" s="34">
        <f t="shared" si="1"/>
        <v>33959.4</v>
      </c>
      <c r="N12" s="34">
        <f t="shared" si="1"/>
        <v>47503.8</v>
      </c>
      <c r="O12" s="34">
        <f t="shared" si="1"/>
        <v>60406.2</v>
      </c>
      <c r="P12" s="34">
        <f t="shared" si="1"/>
        <v>17821.8</v>
      </c>
      <c r="Q12" s="34">
        <f t="shared" si="1"/>
        <v>17206.2</v>
      </c>
      <c r="R12" s="34">
        <f t="shared" si="1"/>
        <v>47119.2</v>
      </c>
      <c r="S12" s="34">
        <f t="shared" si="1"/>
        <v>17749.8</v>
      </c>
      <c r="T12" s="34">
        <f t="shared" si="1"/>
        <v>21619.8</v>
      </c>
      <c r="U12" s="35">
        <f t="shared" si="1"/>
        <v>8024.4</v>
      </c>
      <c r="V12" s="2"/>
      <c r="W12" s="36">
        <f t="shared" ref="W12:Y12" si="2">100%-sum(W7:W10)</f>
        <v>0</v>
      </c>
      <c r="X12" s="36">
        <f t="shared" si="2"/>
        <v>0</v>
      </c>
      <c r="Y12" s="36">
        <f t="shared" si="2"/>
        <v>0</v>
      </c>
      <c r="Z12" s="4"/>
      <c r="AA12" s="4"/>
      <c r="AB12" s="4"/>
      <c r="AC12" s="4"/>
      <c r="AD12" s="2"/>
      <c r="AE12" s="2"/>
      <c r="AF12" s="2"/>
      <c r="AG12" s="2"/>
      <c r="AH12" s="2"/>
      <c r="AI12" s="5"/>
      <c r="AJ12" s="2"/>
      <c r="AK12" s="2"/>
      <c r="AL12" s="2"/>
      <c r="AM12" s="2"/>
      <c r="AN12" s="2"/>
      <c r="AO12" s="2"/>
      <c r="AP12" s="5"/>
      <c r="AQ12" s="5"/>
    </row>
    <row r="13">
      <c r="A13" s="2"/>
      <c r="B13" s="5"/>
      <c r="C13" s="2"/>
      <c r="D13" s="3" t="s">
        <v>25</v>
      </c>
      <c r="E13" s="2"/>
      <c r="F13" s="37">
        <v>9.0</v>
      </c>
      <c r="G13" s="2"/>
      <c r="H13" s="38" t="s">
        <v>26</v>
      </c>
      <c r="I13" s="2"/>
      <c r="J13" s="39">
        <f t="shared" ref="J13:U13" si="3">J75</f>
        <v>0</v>
      </c>
      <c r="K13" s="39">
        <f t="shared" si="3"/>
        <v>0</v>
      </c>
      <c r="L13" s="39">
        <f t="shared" si="3"/>
        <v>0</v>
      </c>
      <c r="M13" s="39">
        <f t="shared" si="3"/>
        <v>44798.62453</v>
      </c>
      <c r="N13" s="39">
        <f t="shared" si="3"/>
        <v>16216.78329</v>
      </c>
      <c r="O13" s="39">
        <f t="shared" si="3"/>
        <v>39250.1424</v>
      </c>
      <c r="P13" s="39">
        <f t="shared" si="3"/>
        <v>23555.24604</v>
      </c>
      <c r="Q13" s="39">
        <f t="shared" si="3"/>
        <v>32950.0432</v>
      </c>
      <c r="R13" s="39">
        <f t="shared" si="3"/>
        <v>41899.53013</v>
      </c>
      <c r="S13" s="39">
        <f t="shared" si="3"/>
        <v>12361.72853</v>
      </c>
      <c r="T13" s="39">
        <f t="shared" si="3"/>
        <v>11934.73013</v>
      </c>
      <c r="U13" s="40">
        <f t="shared" si="3"/>
        <v>32683.27324</v>
      </c>
      <c r="V13" s="2"/>
      <c r="W13" s="16" t="s">
        <v>27</v>
      </c>
      <c r="X13" s="41" t="s">
        <v>27</v>
      </c>
      <c r="Y13" s="41" t="s">
        <v>27</v>
      </c>
      <c r="Z13" s="42"/>
      <c r="AA13" s="43" t="str">
        <f>U4</f>
        <v>Stock Turn Days</v>
      </c>
      <c r="AB13" s="4"/>
      <c r="AC13" s="4"/>
      <c r="AD13" s="2"/>
      <c r="AE13" s="2"/>
      <c r="AF13" s="2"/>
      <c r="AG13" s="2"/>
      <c r="AH13" s="2"/>
      <c r="AI13" s="5"/>
      <c r="AJ13" s="2"/>
      <c r="AK13" s="2"/>
      <c r="AL13" s="2"/>
      <c r="AM13" s="2"/>
      <c r="AN13" s="2"/>
      <c r="AO13" s="2"/>
      <c r="AP13" s="5"/>
      <c r="AQ13" s="5"/>
    </row>
    <row r="14" ht="6.0" customHeight="1">
      <c r="A14" s="2"/>
      <c r="B14" s="5"/>
      <c r="C14" s="2"/>
      <c r="D14" s="2"/>
      <c r="E14" s="2"/>
      <c r="F14" s="2"/>
      <c r="G14" s="2"/>
      <c r="H14" s="44"/>
      <c r="I14" s="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5"/>
      <c r="V14" s="2"/>
      <c r="W14" s="46"/>
      <c r="X14" s="4"/>
      <c r="Y14" s="4"/>
      <c r="Z14" s="4"/>
      <c r="AA14" s="47"/>
      <c r="AB14" s="4"/>
      <c r="AC14" s="4"/>
      <c r="AD14" s="2"/>
      <c r="AE14" s="2"/>
      <c r="AF14" s="2"/>
      <c r="AG14" s="2"/>
      <c r="AH14" s="2"/>
      <c r="AI14" s="5"/>
      <c r="AJ14" s="2"/>
      <c r="AK14" s="2"/>
      <c r="AL14" s="2"/>
      <c r="AM14" s="2"/>
      <c r="AN14" s="2"/>
      <c r="AO14" s="2"/>
      <c r="AP14" s="5"/>
      <c r="AQ14" s="5"/>
    </row>
    <row r="15" ht="15.0" customHeight="1">
      <c r="A15" s="2"/>
      <c r="B15" s="5"/>
      <c r="C15" s="2"/>
      <c r="D15" s="2"/>
      <c r="E15" s="2"/>
      <c r="F15" s="2"/>
      <c r="G15" s="2"/>
      <c r="H15" s="48" t="s">
        <v>28</v>
      </c>
      <c r="I15" s="49"/>
      <c r="J15" s="50">
        <f t="shared" ref="J15:U15" si="4">sum(J12:J13)</f>
        <v>64585.8</v>
      </c>
      <c r="K15" s="50">
        <f t="shared" si="4"/>
        <v>23379.6</v>
      </c>
      <c r="L15" s="50">
        <f t="shared" si="4"/>
        <v>56586.6</v>
      </c>
      <c r="M15" s="50">
        <f t="shared" si="4"/>
        <v>78758.02453</v>
      </c>
      <c r="N15" s="50">
        <f t="shared" si="4"/>
        <v>63720.58329</v>
      </c>
      <c r="O15" s="50">
        <f t="shared" si="4"/>
        <v>99656.3424</v>
      </c>
      <c r="P15" s="50">
        <f t="shared" si="4"/>
        <v>41377.04604</v>
      </c>
      <c r="Q15" s="50">
        <f t="shared" si="4"/>
        <v>50156.2432</v>
      </c>
      <c r="R15" s="50">
        <f t="shared" si="4"/>
        <v>89018.73013</v>
      </c>
      <c r="S15" s="50">
        <f t="shared" si="4"/>
        <v>30111.52853</v>
      </c>
      <c r="T15" s="50">
        <f t="shared" si="4"/>
        <v>33554.53013</v>
      </c>
      <c r="U15" s="51">
        <f t="shared" si="4"/>
        <v>40707.67324</v>
      </c>
      <c r="V15" s="2"/>
      <c r="W15" s="52">
        <f>U8</f>
        <v>60</v>
      </c>
      <c r="X15" s="53">
        <f>U9</f>
        <v>90</v>
      </c>
      <c r="Y15" s="53">
        <f>U10</f>
        <v>120</v>
      </c>
      <c r="Z15" s="53"/>
      <c r="AA15" s="54"/>
      <c r="AB15" s="4"/>
      <c r="AC15" s="4"/>
      <c r="AD15" s="2"/>
      <c r="AE15" s="2"/>
      <c r="AF15" s="2"/>
      <c r="AG15" s="2"/>
      <c r="AH15" s="2"/>
      <c r="AI15" s="5"/>
      <c r="AJ15" s="2"/>
      <c r="AK15" s="2"/>
      <c r="AL15" s="2"/>
      <c r="AM15" s="2"/>
      <c r="AN15" s="2"/>
      <c r="AO15" s="2"/>
      <c r="AP15" s="5"/>
      <c r="AQ15" s="5"/>
    </row>
    <row r="16" ht="6.75" customHeight="1">
      <c r="A16" s="2"/>
      <c r="B16" s="5"/>
      <c r="C16" s="2"/>
      <c r="D16" s="2"/>
      <c r="E16" s="2"/>
      <c r="F16" s="2"/>
      <c r="G16" s="2"/>
      <c r="H16" s="2"/>
      <c r="I16" s="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2"/>
      <c r="W16" s="4"/>
      <c r="X16" s="4"/>
      <c r="Y16" s="4"/>
      <c r="Z16" s="2"/>
      <c r="AA16" s="4"/>
      <c r="AB16" s="4"/>
      <c r="AC16" s="4"/>
      <c r="AD16" s="2"/>
      <c r="AE16" s="2"/>
      <c r="AF16" s="2"/>
      <c r="AG16" s="2"/>
      <c r="AH16" s="2"/>
      <c r="AI16" s="5"/>
      <c r="AJ16" s="2"/>
      <c r="AK16" s="2"/>
      <c r="AL16" s="2"/>
      <c r="AM16" s="2"/>
      <c r="AN16" s="2"/>
      <c r="AO16" s="2"/>
      <c r="AP16" s="5"/>
      <c r="AQ16" s="5"/>
    </row>
    <row r="17">
      <c r="A17" s="2"/>
      <c r="B17" s="5"/>
      <c r="C17" s="2"/>
      <c r="D17" s="55"/>
      <c r="E17" s="2"/>
      <c r="F17" s="55"/>
      <c r="G17" s="56"/>
      <c r="H17" s="57" t="s">
        <v>29</v>
      </c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3"/>
      <c r="W17" s="12"/>
      <c r="X17" s="12"/>
      <c r="Y17" s="12"/>
      <c r="Z17" s="2"/>
      <c r="AA17" s="12"/>
      <c r="AB17" s="12"/>
      <c r="AC17" s="12"/>
      <c r="AD17" s="2"/>
      <c r="AE17" s="2"/>
      <c r="AF17" s="2"/>
      <c r="AG17" s="2"/>
      <c r="AH17" s="2"/>
      <c r="AI17" s="5"/>
      <c r="AJ17" s="2"/>
      <c r="AK17" s="2"/>
      <c r="AL17" s="2"/>
      <c r="AM17" s="2"/>
      <c r="AN17" s="2"/>
      <c r="AO17" s="2"/>
      <c r="AP17" s="5"/>
      <c r="AQ17" s="5"/>
    </row>
    <row r="18" ht="6.0" customHeight="1">
      <c r="A18" s="2"/>
      <c r="B18" s="5"/>
      <c r="C18" s="2"/>
      <c r="D18" s="55"/>
      <c r="E18" s="2"/>
      <c r="F18" s="55"/>
      <c r="G18" s="56"/>
      <c r="H18" s="12"/>
      <c r="I18" s="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3"/>
      <c r="W18" s="12"/>
      <c r="X18" s="12"/>
      <c r="Y18" s="12"/>
      <c r="Z18" s="2"/>
      <c r="AA18" s="12"/>
      <c r="AB18" s="12"/>
      <c r="AC18" s="12"/>
      <c r="AD18" s="2"/>
      <c r="AE18" s="2"/>
      <c r="AF18" s="2"/>
      <c r="AG18" s="2"/>
      <c r="AH18" s="2"/>
      <c r="AI18" s="5"/>
      <c r="AJ18" s="2"/>
      <c r="AK18" s="2"/>
      <c r="AL18" s="2"/>
      <c r="AM18" s="2"/>
      <c r="AN18" s="2"/>
      <c r="AO18" s="2"/>
      <c r="AP18" s="5"/>
      <c r="AQ18" s="5"/>
    </row>
    <row r="19">
      <c r="A19" s="2"/>
      <c r="B19" s="5"/>
      <c r="C19" s="2"/>
      <c r="D19" s="55" t="s">
        <v>30</v>
      </c>
      <c r="E19" s="2"/>
      <c r="F19" s="55" t="s">
        <v>31</v>
      </c>
      <c r="G19" s="56"/>
      <c r="H19" s="12" t="s">
        <v>32</v>
      </c>
      <c r="I19" s="2"/>
      <c r="J19" s="30" t="str">
        <f>'Supplier 1 Inputs'!J19</f>
        <v>Jan</v>
      </c>
      <c r="K19" s="30" t="str">
        <f>'Supplier 1 Inputs'!K19</f>
        <v>Feb</v>
      </c>
      <c r="L19" s="30" t="str">
        <f>'Supplier 1 Inputs'!L19</f>
        <v>Mar</v>
      </c>
      <c r="M19" s="30" t="str">
        <f>'Supplier 1 Inputs'!M19</f>
        <v>Apr</v>
      </c>
      <c r="N19" s="30" t="str">
        <f>'Supplier 1 Inputs'!N19</f>
        <v>May</v>
      </c>
      <c r="O19" s="30" t="str">
        <f>'Supplier 1 Inputs'!O19</f>
        <v>Jun</v>
      </c>
      <c r="P19" s="30" t="str">
        <f>'Supplier 1 Inputs'!P19</f>
        <v>Jul</v>
      </c>
      <c r="Q19" s="30" t="str">
        <f>'Supplier 1 Inputs'!Q19</f>
        <v>Aug</v>
      </c>
      <c r="R19" s="30" t="str">
        <f>'Supplier 1 Inputs'!R19</f>
        <v>Sep</v>
      </c>
      <c r="S19" s="30" t="str">
        <f>'Supplier 1 Inputs'!S19</f>
        <v>Oct</v>
      </c>
      <c r="T19" s="30" t="str">
        <f>'Supplier 1 Inputs'!T19</f>
        <v>Nov</v>
      </c>
      <c r="U19" s="30" t="str">
        <f>'Supplier 1 Inputs'!U19</f>
        <v>Dec</v>
      </c>
      <c r="V19" s="3"/>
      <c r="W19" s="59" t="s">
        <v>45</v>
      </c>
      <c r="X19" s="60" t="s">
        <v>46</v>
      </c>
      <c r="Y19" s="61" t="s">
        <v>47</v>
      </c>
      <c r="Z19" s="2"/>
      <c r="AA19" s="12" t="s">
        <v>48</v>
      </c>
      <c r="AB19" s="12" t="s">
        <v>49</v>
      </c>
      <c r="AC19" s="12" t="s">
        <v>50</v>
      </c>
      <c r="AD19" s="2"/>
      <c r="AE19" s="2"/>
      <c r="AF19" s="2"/>
      <c r="AG19" s="2"/>
      <c r="AH19" s="2"/>
      <c r="AI19" s="5"/>
      <c r="AJ19" s="2"/>
      <c r="AK19" s="2"/>
      <c r="AL19" s="2"/>
      <c r="AM19" s="2"/>
      <c r="AN19" s="2"/>
      <c r="AO19" s="2"/>
      <c r="AP19" s="5"/>
      <c r="AQ19" s="5"/>
    </row>
    <row r="20" ht="6.0" customHeight="1">
      <c r="A20" s="2"/>
      <c r="B20" s="5"/>
      <c r="C20" s="2"/>
      <c r="D20" s="2"/>
      <c r="E20" s="2"/>
      <c r="F20" s="2"/>
      <c r="G20" s="2"/>
      <c r="H20" s="2"/>
      <c r="I20" s="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"/>
      <c r="W20" s="4"/>
      <c r="X20" s="4"/>
      <c r="Y20" s="4"/>
      <c r="Z20" s="2"/>
      <c r="AA20" s="4"/>
      <c r="AB20" s="4"/>
      <c r="AC20" s="4"/>
      <c r="AD20" s="2"/>
      <c r="AE20" s="2"/>
      <c r="AF20" s="2"/>
      <c r="AG20" s="2"/>
      <c r="AH20" s="2"/>
      <c r="AI20" s="5"/>
      <c r="AJ20" s="2"/>
      <c r="AK20" s="2"/>
      <c r="AL20" s="2"/>
      <c r="AM20" s="2"/>
      <c r="AN20" s="2"/>
      <c r="AO20" s="2"/>
      <c r="AP20" s="5"/>
      <c r="AQ20" s="5"/>
    </row>
    <row r="21">
      <c r="A21" s="2"/>
      <c r="B21" s="5"/>
      <c r="C21" s="2"/>
      <c r="D21" s="26" t="s">
        <v>51</v>
      </c>
      <c r="E21" s="2"/>
      <c r="F21" s="62">
        <v>145.0</v>
      </c>
      <c r="G21" s="2"/>
      <c r="H21" s="26" t="s">
        <v>8</v>
      </c>
      <c r="I21" s="2"/>
      <c r="J21" s="63">
        <v>34.0</v>
      </c>
      <c r="K21" s="63">
        <v>12.0</v>
      </c>
      <c r="L21" s="63">
        <v>35.0</v>
      </c>
      <c r="M21" s="63">
        <v>24.0</v>
      </c>
      <c r="N21" s="63">
        <v>12.0</v>
      </c>
      <c r="O21" s="63">
        <v>46.0</v>
      </c>
      <c r="P21" s="63">
        <v>14.0</v>
      </c>
      <c r="Q21" s="63">
        <v>12.0</v>
      </c>
      <c r="R21" s="63">
        <v>36.0</v>
      </c>
      <c r="S21" s="63">
        <v>4.0</v>
      </c>
      <c r="T21" s="63">
        <v>2.0</v>
      </c>
      <c r="U21" s="63">
        <v>16.0</v>
      </c>
      <c r="V21" s="2"/>
      <c r="W21" s="64">
        <v>1.85</v>
      </c>
      <c r="X21" s="64">
        <v>1.52</v>
      </c>
      <c r="Y21" s="64">
        <v>1.22</v>
      </c>
      <c r="Z21" s="2"/>
      <c r="AA21" s="39">
        <f t="shared" ref="AA21:AA40" si="5">(F21*W21)+F21</f>
        <v>413.25</v>
      </c>
      <c r="AB21" s="39">
        <f t="shared" ref="AB21:AB40" si="6">(F21*X21)+F21</f>
        <v>365.4</v>
      </c>
      <c r="AC21" s="39">
        <f t="shared" ref="AC21:AC40" si="7">(F21*Y21)+F21</f>
        <v>321.9</v>
      </c>
      <c r="AD21" s="2"/>
      <c r="AE21" s="2"/>
      <c r="AF21" s="2"/>
      <c r="AG21" s="2"/>
      <c r="AH21" s="2"/>
      <c r="AI21" s="5"/>
      <c r="AJ21" s="2"/>
      <c r="AK21" s="2"/>
      <c r="AL21" s="2"/>
      <c r="AM21" s="2"/>
      <c r="AN21" s="2"/>
      <c r="AO21" s="2"/>
      <c r="AP21" s="5"/>
      <c r="AQ21" s="5"/>
    </row>
    <row r="22">
      <c r="A22" s="2"/>
      <c r="B22" s="5"/>
      <c r="C22" s="2"/>
      <c r="D22" s="26" t="s">
        <v>52</v>
      </c>
      <c r="E22" s="2"/>
      <c r="F22" s="62">
        <v>146.0</v>
      </c>
      <c r="G22" s="2"/>
      <c r="H22" s="26" t="s">
        <v>9</v>
      </c>
      <c r="I22" s="2"/>
      <c r="J22" s="63">
        <v>33.0</v>
      </c>
      <c r="K22" s="63">
        <v>14.0</v>
      </c>
      <c r="L22" s="63">
        <v>35.0</v>
      </c>
      <c r="M22" s="63">
        <v>23.0</v>
      </c>
      <c r="N22" s="63">
        <v>14.0</v>
      </c>
      <c r="O22" s="63">
        <v>45.0</v>
      </c>
      <c r="P22" s="63">
        <v>13.0</v>
      </c>
      <c r="Q22" s="63"/>
      <c r="R22" s="63">
        <v>25.0</v>
      </c>
      <c r="S22" s="63">
        <v>3.0</v>
      </c>
      <c r="T22" s="63"/>
      <c r="U22" s="63">
        <v>15.0</v>
      </c>
      <c r="V22" s="2"/>
      <c r="W22" s="64">
        <v>1.85</v>
      </c>
      <c r="X22" s="64">
        <v>1.52</v>
      </c>
      <c r="Y22" s="64">
        <v>1.22</v>
      </c>
      <c r="Z22" s="2"/>
      <c r="AA22" s="39">
        <f t="shared" si="5"/>
        <v>416.1</v>
      </c>
      <c r="AB22" s="39">
        <f t="shared" si="6"/>
        <v>367.92</v>
      </c>
      <c r="AC22" s="39">
        <f t="shared" si="7"/>
        <v>324.12</v>
      </c>
      <c r="AD22" s="2"/>
      <c r="AE22" s="2"/>
      <c r="AF22" s="2"/>
      <c r="AG22" s="2"/>
      <c r="AH22" s="2"/>
      <c r="AI22" s="5"/>
      <c r="AJ22" s="2"/>
      <c r="AK22" s="2"/>
      <c r="AL22" s="2"/>
      <c r="AM22" s="2"/>
      <c r="AN22" s="2"/>
      <c r="AO22" s="2"/>
      <c r="AP22" s="5"/>
      <c r="AQ22" s="5"/>
    </row>
    <row r="23">
      <c r="A23" s="2"/>
      <c r="B23" s="5"/>
      <c r="C23" s="2"/>
      <c r="D23" s="26" t="s">
        <v>53</v>
      </c>
      <c r="E23" s="2"/>
      <c r="F23" s="62">
        <v>147.0</v>
      </c>
      <c r="G23" s="2"/>
      <c r="H23" s="26" t="s">
        <v>10</v>
      </c>
      <c r="I23" s="2"/>
      <c r="J23" s="63">
        <v>35.0</v>
      </c>
      <c r="K23" s="63"/>
      <c r="L23" s="63">
        <v>34.0</v>
      </c>
      <c r="M23" s="63"/>
      <c r="N23" s="63">
        <v>16.0</v>
      </c>
      <c r="O23" s="63">
        <v>44.0</v>
      </c>
      <c r="P23" s="63">
        <v>15.0</v>
      </c>
      <c r="Q23" s="63"/>
      <c r="R23" s="63"/>
      <c r="S23" s="63">
        <v>5.0</v>
      </c>
      <c r="T23" s="63"/>
      <c r="U23" s="63"/>
      <c r="V23" s="2"/>
      <c r="W23" s="64">
        <v>1.85</v>
      </c>
      <c r="X23" s="64">
        <v>1.52</v>
      </c>
      <c r="Y23" s="64">
        <v>1.22</v>
      </c>
      <c r="Z23" s="2"/>
      <c r="AA23" s="39">
        <f t="shared" si="5"/>
        <v>418.95</v>
      </c>
      <c r="AB23" s="39">
        <f t="shared" si="6"/>
        <v>370.44</v>
      </c>
      <c r="AC23" s="39">
        <f t="shared" si="7"/>
        <v>326.34</v>
      </c>
      <c r="AD23" s="2"/>
      <c r="AE23" s="2"/>
      <c r="AF23" s="2"/>
      <c r="AG23" s="2"/>
      <c r="AH23" s="2"/>
      <c r="AI23" s="5"/>
      <c r="AJ23" s="2"/>
      <c r="AK23" s="2"/>
      <c r="AL23" s="2"/>
      <c r="AM23" s="2"/>
      <c r="AN23" s="2"/>
      <c r="AO23" s="2"/>
      <c r="AP23" s="5"/>
      <c r="AQ23" s="5"/>
    </row>
    <row r="24">
      <c r="A24" s="2"/>
      <c r="B24" s="5"/>
      <c r="C24" s="2"/>
      <c r="D24" s="26" t="s">
        <v>54</v>
      </c>
      <c r="E24" s="2"/>
      <c r="F24" s="62">
        <v>148.0</v>
      </c>
      <c r="G24" s="2"/>
      <c r="H24" s="26" t="s">
        <v>9</v>
      </c>
      <c r="I24" s="2"/>
      <c r="J24" s="63">
        <v>38.0</v>
      </c>
      <c r="K24" s="63"/>
      <c r="L24" s="63">
        <v>39.0</v>
      </c>
      <c r="M24" s="63"/>
      <c r="N24" s="63">
        <v>18.0</v>
      </c>
      <c r="O24" s="63">
        <v>49.0</v>
      </c>
      <c r="P24" s="63"/>
      <c r="Q24" s="63"/>
      <c r="R24" s="63"/>
      <c r="S24" s="63">
        <v>8.0</v>
      </c>
      <c r="T24" s="63">
        <v>18.0</v>
      </c>
      <c r="U24" s="63"/>
      <c r="V24" s="2"/>
      <c r="W24" s="64">
        <v>1.85</v>
      </c>
      <c r="X24" s="64">
        <v>1.52</v>
      </c>
      <c r="Y24" s="64">
        <v>1.22</v>
      </c>
      <c r="Z24" s="2"/>
      <c r="AA24" s="39">
        <f t="shared" si="5"/>
        <v>421.8</v>
      </c>
      <c r="AB24" s="39">
        <f t="shared" si="6"/>
        <v>372.96</v>
      </c>
      <c r="AC24" s="39">
        <f t="shared" si="7"/>
        <v>328.56</v>
      </c>
      <c r="AD24" s="2"/>
      <c r="AE24" s="2"/>
      <c r="AF24" s="2"/>
      <c r="AG24" s="2"/>
      <c r="AH24" s="2"/>
      <c r="AI24" s="5"/>
      <c r="AJ24" s="2"/>
      <c r="AK24" s="2"/>
      <c r="AL24" s="2"/>
      <c r="AM24" s="2"/>
      <c r="AN24" s="2"/>
      <c r="AO24" s="2"/>
      <c r="AP24" s="5"/>
      <c r="AQ24" s="5"/>
    </row>
    <row r="25">
      <c r="A25" s="2"/>
      <c r="B25" s="5"/>
      <c r="C25" s="2"/>
      <c r="D25" s="26" t="s">
        <v>55</v>
      </c>
      <c r="E25" s="2"/>
      <c r="F25" s="62">
        <v>149.0</v>
      </c>
      <c r="G25" s="2"/>
      <c r="H25" s="26" t="s">
        <v>8</v>
      </c>
      <c r="I25" s="2"/>
      <c r="J25" s="63">
        <v>36.0</v>
      </c>
      <c r="K25" s="63"/>
      <c r="L25" s="63">
        <v>38.0</v>
      </c>
      <c r="M25" s="63">
        <v>26.0</v>
      </c>
      <c r="N25" s="63">
        <v>11.0</v>
      </c>
      <c r="O25" s="63">
        <v>48.0</v>
      </c>
      <c r="P25" s="63"/>
      <c r="Q25" s="63">
        <v>11.0</v>
      </c>
      <c r="R25" s="63">
        <v>28.0</v>
      </c>
      <c r="S25" s="63">
        <v>6.0</v>
      </c>
      <c r="T25" s="63">
        <v>17.0</v>
      </c>
      <c r="U25" s="63"/>
      <c r="V25" s="2"/>
      <c r="W25" s="64">
        <v>1.85</v>
      </c>
      <c r="X25" s="64">
        <v>1.52</v>
      </c>
      <c r="Y25" s="64">
        <v>1.22</v>
      </c>
      <c r="Z25" s="2"/>
      <c r="AA25" s="39">
        <f t="shared" si="5"/>
        <v>424.65</v>
      </c>
      <c r="AB25" s="39">
        <f t="shared" si="6"/>
        <v>375.48</v>
      </c>
      <c r="AC25" s="39">
        <f t="shared" si="7"/>
        <v>330.78</v>
      </c>
      <c r="AD25" s="2"/>
      <c r="AE25" s="2"/>
      <c r="AF25" s="2"/>
      <c r="AG25" s="2"/>
      <c r="AH25" s="2"/>
      <c r="AI25" s="5"/>
      <c r="AJ25" s="2"/>
      <c r="AK25" s="2"/>
      <c r="AL25" s="2"/>
      <c r="AM25" s="2"/>
      <c r="AN25" s="2"/>
      <c r="AO25" s="2"/>
      <c r="AP25" s="5"/>
      <c r="AQ25" s="5"/>
    </row>
    <row r="26">
      <c r="A26" s="2"/>
      <c r="B26" s="5"/>
      <c r="C26" s="2"/>
      <c r="D26" s="26" t="s">
        <v>56</v>
      </c>
      <c r="E26" s="2"/>
      <c r="F26" s="62">
        <v>150.0</v>
      </c>
      <c r="G26" s="2"/>
      <c r="H26" s="26" t="s">
        <v>10</v>
      </c>
      <c r="I26" s="2"/>
      <c r="J26" s="63">
        <v>35.0</v>
      </c>
      <c r="K26" s="63">
        <v>13.0</v>
      </c>
      <c r="L26" s="63"/>
      <c r="M26" s="63">
        <v>25.0</v>
      </c>
      <c r="N26" s="63"/>
      <c r="O26" s="63">
        <v>47.0</v>
      </c>
      <c r="P26" s="63"/>
      <c r="Q26" s="63">
        <v>13.0</v>
      </c>
      <c r="R26" s="63">
        <v>37.0</v>
      </c>
      <c r="S26" s="63"/>
      <c r="T26" s="63">
        <v>13.0</v>
      </c>
      <c r="U26" s="63">
        <v>17.0</v>
      </c>
      <c r="V26" s="2"/>
      <c r="W26" s="64">
        <v>1.85</v>
      </c>
      <c r="X26" s="64">
        <v>1.52</v>
      </c>
      <c r="Y26" s="64">
        <v>1.22</v>
      </c>
      <c r="Z26" s="2"/>
      <c r="AA26" s="39">
        <f t="shared" si="5"/>
        <v>427.5</v>
      </c>
      <c r="AB26" s="39">
        <f t="shared" si="6"/>
        <v>378</v>
      </c>
      <c r="AC26" s="39">
        <f t="shared" si="7"/>
        <v>333</v>
      </c>
      <c r="AD26" s="2"/>
      <c r="AE26" s="2"/>
      <c r="AF26" s="2"/>
      <c r="AG26" s="2"/>
      <c r="AH26" s="2"/>
      <c r="AI26" s="5"/>
      <c r="AJ26" s="2"/>
      <c r="AK26" s="2"/>
      <c r="AL26" s="2"/>
      <c r="AM26" s="2"/>
      <c r="AN26" s="2"/>
      <c r="AO26" s="2"/>
      <c r="AP26" s="5"/>
      <c r="AQ26" s="5"/>
    </row>
    <row r="27">
      <c r="A27" s="2"/>
      <c r="B27" s="5"/>
      <c r="C27" s="2"/>
      <c r="D27" s="26" t="s">
        <v>57</v>
      </c>
      <c r="E27" s="2"/>
      <c r="F27" s="62">
        <v>151.0</v>
      </c>
      <c r="G27" s="2"/>
      <c r="H27" s="26" t="s">
        <v>8</v>
      </c>
      <c r="I27" s="2"/>
      <c r="J27" s="63">
        <v>34.0</v>
      </c>
      <c r="K27" s="63">
        <v>15.0</v>
      </c>
      <c r="L27" s="63"/>
      <c r="M27" s="63">
        <v>24.0</v>
      </c>
      <c r="N27" s="63"/>
      <c r="O27" s="63"/>
      <c r="P27" s="63"/>
      <c r="Q27" s="63">
        <v>15.0</v>
      </c>
      <c r="R27" s="63">
        <v>33.0</v>
      </c>
      <c r="S27" s="63"/>
      <c r="T27" s="63">
        <v>15.0</v>
      </c>
      <c r="U27" s="63">
        <v>3.0</v>
      </c>
      <c r="V27" s="2"/>
      <c r="W27" s="64">
        <v>1.85</v>
      </c>
      <c r="X27" s="64">
        <v>1.52</v>
      </c>
      <c r="Y27" s="64">
        <v>1.22</v>
      </c>
      <c r="Z27" s="2"/>
      <c r="AA27" s="39">
        <f t="shared" si="5"/>
        <v>430.35</v>
      </c>
      <c r="AB27" s="39">
        <f t="shared" si="6"/>
        <v>380.52</v>
      </c>
      <c r="AC27" s="39">
        <f t="shared" si="7"/>
        <v>335.22</v>
      </c>
      <c r="AD27" s="2"/>
      <c r="AE27" s="2"/>
      <c r="AF27" s="2"/>
      <c r="AG27" s="2"/>
      <c r="AH27" s="2"/>
      <c r="AI27" s="5"/>
      <c r="AJ27" s="2"/>
      <c r="AK27" s="2"/>
      <c r="AL27" s="2"/>
      <c r="AM27" s="2"/>
      <c r="AN27" s="2"/>
      <c r="AO27" s="2"/>
      <c r="AP27" s="5"/>
      <c r="AQ27" s="5"/>
    </row>
    <row r="28">
      <c r="A28" s="2"/>
      <c r="B28" s="5"/>
      <c r="C28" s="2"/>
      <c r="D28" s="26" t="s">
        <v>58</v>
      </c>
      <c r="E28" s="2"/>
      <c r="F28" s="62">
        <v>152.0</v>
      </c>
      <c r="G28" s="2"/>
      <c r="H28" s="26" t="s">
        <v>8</v>
      </c>
      <c r="I28" s="2"/>
      <c r="J28" s="63">
        <v>37.0</v>
      </c>
      <c r="K28" s="63">
        <v>17.0</v>
      </c>
      <c r="L28" s="63"/>
      <c r="M28" s="63">
        <v>27.0</v>
      </c>
      <c r="N28" s="63">
        <v>37.0</v>
      </c>
      <c r="O28" s="63"/>
      <c r="P28" s="63"/>
      <c r="Q28" s="63">
        <v>17.0</v>
      </c>
      <c r="R28" s="63"/>
      <c r="S28" s="63">
        <v>27.0</v>
      </c>
      <c r="T28" s="63">
        <v>17.0</v>
      </c>
      <c r="U28" s="63">
        <v>5.0</v>
      </c>
      <c r="V28" s="2"/>
      <c r="W28" s="64">
        <v>1.85</v>
      </c>
      <c r="X28" s="64">
        <v>1.52</v>
      </c>
      <c r="Y28" s="64">
        <v>1.22</v>
      </c>
      <c r="Z28" s="2"/>
      <c r="AA28" s="39">
        <f t="shared" si="5"/>
        <v>433.2</v>
      </c>
      <c r="AB28" s="39">
        <f t="shared" si="6"/>
        <v>383.04</v>
      </c>
      <c r="AC28" s="39">
        <f t="shared" si="7"/>
        <v>337.44</v>
      </c>
      <c r="AD28" s="2"/>
      <c r="AE28" s="2"/>
      <c r="AF28" s="2"/>
      <c r="AG28" s="2"/>
      <c r="AH28" s="2"/>
      <c r="AI28" s="5"/>
      <c r="AJ28" s="2"/>
      <c r="AK28" s="2"/>
      <c r="AL28" s="2"/>
      <c r="AM28" s="2"/>
      <c r="AN28" s="2"/>
      <c r="AO28" s="2"/>
      <c r="AP28" s="5"/>
      <c r="AQ28" s="5"/>
    </row>
    <row r="29">
      <c r="A29" s="2"/>
      <c r="B29" s="5"/>
      <c r="C29" s="2"/>
      <c r="D29" s="26" t="s">
        <v>59</v>
      </c>
      <c r="E29" s="2"/>
      <c r="F29" s="62">
        <v>153.0</v>
      </c>
      <c r="G29" s="2"/>
      <c r="H29" s="26" t="s">
        <v>9</v>
      </c>
      <c r="I29" s="2"/>
      <c r="J29" s="63">
        <v>34.0</v>
      </c>
      <c r="K29" s="63">
        <v>12.0</v>
      </c>
      <c r="L29" s="63">
        <v>37.0</v>
      </c>
      <c r="M29" s="63">
        <v>24.0</v>
      </c>
      <c r="N29" s="63">
        <v>32.0</v>
      </c>
      <c r="O29" s="63"/>
      <c r="P29" s="63"/>
      <c r="Q29" s="63">
        <v>12.0</v>
      </c>
      <c r="R29" s="63"/>
      <c r="S29" s="63">
        <v>24.0</v>
      </c>
      <c r="T29" s="63">
        <v>12.0</v>
      </c>
      <c r="U29" s="63">
        <v>7.0</v>
      </c>
      <c r="V29" s="2"/>
      <c r="W29" s="64">
        <v>1.85</v>
      </c>
      <c r="X29" s="64">
        <v>1.52</v>
      </c>
      <c r="Y29" s="64">
        <v>1.22</v>
      </c>
      <c r="Z29" s="2"/>
      <c r="AA29" s="39">
        <f t="shared" si="5"/>
        <v>436.05</v>
      </c>
      <c r="AB29" s="39">
        <f t="shared" si="6"/>
        <v>385.56</v>
      </c>
      <c r="AC29" s="39">
        <f t="shared" si="7"/>
        <v>339.66</v>
      </c>
      <c r="AD29" s="2"/>
      <c r="AE29" s="2"/>
      <c r="AF29" s="2"/>
      <c r="AG29" s="2"/>
      <c r="AH29" s="2"/>
      <c r="AI29" s="5"/>
      <c r="AJ29" s="2"/>
      <c r="AK29" s="2"/>
      <c r="AL29" s="2"/>
      <c r="AM29" s="2"/>
      <c r="AN29" s="2"/>
      <c r="AO29" s="2"/>
      <c r="AP29" s="5"/>
      <c r="AQ29" s="5"/>
    </row>
    <row r="30">
      <c r="A30" s="2"/>
      <c r="B30" s="5"/>
      <c r="C30" s="2"/>
      <c r="D30" s="26" t="s">
        <v>60</v>
      </c>
      <c r="E30" s="2"/>
      <c r="F30" s="62">
        <v>154.0</v>
      </c>
      <c r="G30" s="2"/>
      <c r="H30" s="26" t="s">
        <v>9</v>
      </c>
      <c r="I30" s="2"/>
      <c r="J30" s="63">
        <v>33.0</v>
      </c>
      <c r="K30" s="63">
        <v>14.0</v>
      </c>
      <c r="L30" s="63">
        <v>31.0</v>
      </c>
      <c r="M30" s="63">
        <v>23.0</v>
      </c>
      <c r="N30" s="63">
        <v>34.0</v>
      </c>
      <c r="O30" s="63">
        <v>31.0</v>
      </c>
      <c r="P30" s="63"/>
      <c r="Q30" s="63">
        <v>14.0</v>
      </c>
      <c r="R30" s="63">
        <v>41.0</v>
      </c>
      <c r="S30" s="63">
        <v>23.0</v>
      </c>
      <c r="T30" s="63"/>
      <c r="U30" s="63">
        <v>1.0</v>
      </c>
      <c r="V30" s="2"/>
      <c r="W30" s="64">
        <v>1.85</v>
      </c>
      <c r="X30" s="64">
        <v>1.52</v>
      </c>
      <c r="Y30" s="64">
        <v>1.22</v>
      </c>
      <c r="Z30" s="2"/>
      <c r="AA30" s="39">
        <f t="shared" si="5"/>
        <v>438.9</v>
      </c>
      <c r="AB30" s="39">
        <f t="shared" si="6"/>
        <v>388.08</v>
      </c>
      <c r="AC30" s="39">
        <f t="shared" si="7"/>
        <v>341.88</v>
      </c>
      <c r="AD30" s="2"/>
      <c r="AE30" s="2"/>
      <c r="AF30" s="2"/>
      <c r="AG30" s="2"/>
      <c r="AH30" s="2"/>
      <c r="AI30" s="5"/>
      <c r="AJ30" s="2"/>
      <c r="AK30" s="2"/>
      <c r="AL30" s="2"/>
      <c r="AM30" s="2"/>
      <c r="AN30" s="2"/>
      <c r="AO30" s="2"/>
      <c r="AP30" s="5"/>
      <c r="AQ30" s="5"/>
    </row>
    <row r="31">
      <c r="A31" s="2"/>
      <c r="B31" s="5"/>
      <c r="C31" s="2"/>
      <c r="D31" s="26" t="s">
        <v>61</v>
      </c>
      <c r="E31" s="2"/>
      <c r="F31" s="62">
        <v>155.0</v>
      </c>
      <c r="G31" s="2"/>
      <c r="H31" s="26" t="s">
        <v>9</v>
      </c>
      <c r="I31" s="2"/>
      <c r="J31" s="63">
        <v>35.0</v>
      </c>
      <c r="K31" s="63">
        <v>16.0</v>
      </c>
      <c r="L31" s="63">
        <v>35.0</v>
      </c>
      <c r="M31" s="63"/>
      <c r="N31" s="63">
        <v>36.0</v>
      </c>
      <c r="O31" s="63">
        <v>35.0</v>
      </c>
      <c r="P31" s="63">
        <v>15.0</v>
      </c>
      <c r="Q31" s="63">
        <v>16.0</v>
      </c>
      <c r="R31" s="63">
        <v>55.0</v>
      </c>
      <c r="S31" s="63">
        <v>25.0</v>
      </c>
      <c r="T31" s="63"/>
      <c r="U31" s="63">
        <v>5.0</v>
      </c>
      <c r="V31" s="2"/>
      <c r="W31" s="64">
        <v>1.85</v>
      </c>
      <c r="X31" s="64">
        <v>1.52</v>
      </c>
      <c r="Y31" s="64">
        <v>1.22</v>
      </c>
      <c r="Z31" s="2"/>
      <c r="AA31" s="39">
        <f t="shared" si="5"/>
        <v>441.75</v>
      </c>
      <c r="AB31" s="39">
        <f t="shared" si="6"/>
        <v>390.6</v>
      </c>
      <c r="AC31" s="39">
        <f t="shared" si="7"/>
        <v>344.1</v>
      </c>
      <c r="AD31" s="2"/>
      <c r="AE31" s="2"/>
      <c r="AF31" s="2"/>
      <c r="AG31" s="2"/>
      <c r="AH31" s="2"/>
      <c r="AI31" s="5"/>
      <c r="AJ31" s="2"/>
      <c r="AK31" s="2"/>
      <c r="AL31" s="2"/>
      <c r="AM31" s="2"/>
      <c r="AN31" s="2"/>
      <c r="AO31" s="2"/>
      <c r="AP31" s="5"/>
      <c r="AQ31" s="5"/>
    </row>
    <row r="32">
      <c r="A32" s="2"/>
      <c r="B32" s="5"/>
      <c r="C32" s="2"/>
      <c r="D32" s="26" t="s">
        <v>62</v>
      </c>
      <c r="E32" s="2"/>
      <c r="F32" s="62">
        <v>156.0</v>
      </c>
      <c r="G32" s="2"/>
      <c r="H32" s="26" t="s">
        <v>9</v>
      </c>
      <c r="I32" s="2"/>
      <c r="J32" s="63">
        <v>38.0</v>
      </c>
      <c r="K32" s="63">
        <v>18.0</v>
      </c>
      <c r="L32" s="63">
        <v>39.0</v>
      </c>
      <c r="M32" s="63"/>
      <c r="N32" s="63">
        <v>38.0</v>
      </c>
      <c r="O32" s="63">
        <v>39.0</v>
      </c>
      <c r="P32" s="63">
        <v>18.0</v>
      </c>
      <c r="Q32" s="63">
        <v>18.0</v>
      </c>
      <c r="R32" s="63">
        <v>69.0</v>
      </c>
      <c r="S32" s="63">
        <v>28.0</v>
      </c>
      <c r="T32" s="63">
        <v>18.0</v>
      </c>
      <c r="U32" s="63"/>
      <c r="V32" s="2"/>
      <c r="W32" s="64">
        <v>1.85</v>
      </c>
      <c r="X32" s="64">
        <v>1.52</v>
      </c>
      <c r="Y32" s="64">
        <v>1.22</v>
      </c>
      <c r="Z32" s="2"/>
      <c r="AA32" s="39">
        <f t="shared" si="5"/>
        <v>444.6</v>
      </c>
      <c r="AB32" s="39">
        <f t="shared" si="6"/>
        <v>393.12</v>
      </c>
      <c r="AC32" s="39">
        <f t="shared" si="7"/>
        <v>346.32</v>
      </c>
      <c r="AD32" s="2"/>
      <c r="AE32" s="2"/>
      <c r="AF32" s="2"/>
      <c r="AG32" s="2"/>
      <c r="AH32" s="2"/>
      <c r="AI32" s="5"/>
      <c r="AJ32" s="2"/>
      <c r="AK32" s="2"/>
      <c r="AL32" s="2"/>
      <c r="AM32" s="2"/>
      <c r="AN32" s="2"/>
      <c r="AO32" s="2"/>
      <c r="AP32" s="5"/>
      <c r="AQ32" s="5"/>
    </row>
    <row r="33">
      <c r="A33" s="2"/>
      <c r="B33" s="5"/>
      <c r="C33" s="2"/>
      <c r="D33" s="26" t="s">
        <v>63</v>
      </c>
      <c r="E33" s="2"/>
      <c r="F33" s="62">
        <v>157.0</v>
      </c>
      <c r="G33" s="2"/>
      <c r="H33" s="26" t="s">
        <v>9</v>
      </c>
      <c r="I33" s="2"/>
      <c r="J33" s="63">
        <v>36.0</v>
      </c>
      <c r="K33" s="63">
        <v>13.0</v>
      </c>
      <c r="L33" s="63">
        <v>38.0</v>
      </c>
      <c r="M33" s="63"/>
      <c r="N33" s="63">
        <v>33.0</v>
      </c>
      <c r="O33" s="63">
        <v>38.0</v>
      </c>
      <c r="P33" s="63">
        <v>16.0</v>
      </c>
      <c r="Q33" s="63">
        <v>13.0</v>
      </c>
      <c r="R33" s="63"/>
      <c r="S33" s="63">
        <v>26.0</v>
      </c>
      <c r="T33" s="63">
        <v>13.0</v>
      </c>
      <c r="U33" s="63"/>
      <c r="V33" s="2"/>
      <c r="W33" s="64">
        <v>1.85</v>
      </c>
      <c r="X33" s="64">
        <v>1.52</v>
      </c>
      <c r="Y33" s="64">
        <v>1.22</v>
      </c>
      <c r="Z33" s="2"/>
      <c r="AA33" s="39">
        <f t="shared" si="5"/>
        <v>447.45</v>
      </c>
      <c r="AB33" s="39">
        <f t="shared" si="6"/>
        <v>395.64</v>
      </c>
      <c r="AC33" s="39">
        <f t="shared" si="7"/>
        <v>348.54</v>
      </c>
      <c r="AD33" s="2"/>
      <c r="AE33" s="2"/>
      <c r="AF33" s="2"/>
      <c r="AG33" s="2"/>
      <c r="AH33" s="2"/>
      <c r="AI33" s="5"/>
      <c r="AJ33" s="2"/>
      <c r="AK33" s="2"/>
      <c r="AL33" s="2"/>
      <c r="AM33" s="2"/>
      <c r="AN33" s="2"/>
      <c r="AO33" s="2"/>
      <c r="AP33" s="5"/>
      <c r="AQ33" s="5"/>
    </row>
    <row r="34">
      <c r="A34" s="2"/>
      <c r="B34" s="5"/>
      <c r="C34" s="2"/>
      <c r="D34" s="26" t="s">
        <v>64</v>
      </c>
      <c r="E34" s="2"/>
      <c r="F34" s="62">
        <v>158.0</v>
      </c>
      <c r="G34" s="2"/>
      <c r="H34" s="26" t="s">
        <v>8</v>
      </c>
      <c r="I34" s="2"/>
      <c r="J34" s="63">
        <v>35.0</v>
      </c>
      <c r="K34" s="63">
        <v>15.0</v>
      </c>
      <c r="L34" s="63">
        <v>35.0</v>
      </c>
      <c r="M34" s="63">
        <v>25.0</v>
      </c>
      <c r="N34" s="63"/>
      <c r="O34" s="63"/>
      <c r="P34" s="63">
        <v>15.0</v>
      </c>
      <c r="Q34" s="63"/>
      <c r="R34" s="63"/>
      <c r="S34" s="63"/>
      <c r="T34" s="63">
        <v>15.0</v>
      </c>
      <c r="U34" s="63"/>
      <c r="V34" s="2"/>
      <c r="W34" s="64">
        <v>1.85</v>
      </c>
      <c r="X34" s="64">
        <v>1.52</v>
      </c>
      <c r="Y34" s="64">
        <v>1.22</v>
      </c>
      <c r="Z34" s="2"/>
      <c r="AA34" s="39">
        <f t="shared" si="5"/>
        <v>450.3</v>
      </c>
      <c r="AB34" s="39">
        <f t="shared" si="6"/>
        <v>398.16</v>
      </c>
      <c r="AC34" s="39">
        <f t="shared" si="7"/>
        <v>350.76</v>
      </c>
      <c r="AD34" s="2"/>
      <c r="AE34" s="2"/>
      <c r="AF34" s="2"/>
      <c r="AG34" s="2"/>
      <c r="AH34" s="2"/>
      <c r="AI34" s="5"/>
      <c r="AJ34" s="2"/>
      <c r="AK34" s="2"/>
      <c r="AL34" s="2"/>
      <c r="AM34" s="2"/>
      <c r="AN34" s="2"/>
      <c r="AO34" s="2"/>
      <c r="AP34" s="5"/>
      <c r="AQ34" s="5"/>
    </row>
    <row r="35">
      <c r="A35" s="2"/>
      <c r="B35" s="5"/>
      <c r="C35" s="2"/>
      <c r="D35" s="26" t="s">
        <v>65</v>
      </c>
      <c r="E35" s="2"/>
      <c r="F35" s="62">
        <v>159.0</v>
      </c>
      <c r="G35" s="2"/>
      <c r="H35" s="26" t="s">
        <v>8</v>
      </c>
      <c r="I35" s="2"/>
      <c r="J35" s="63">
        <v>34.0</v>
      </c>
      <c r="K35" s="63">
        <v>17.0</v>
      </c>
      <c r="L35" s="63">
        <v>32.0</v>
      </c>
      <c r="M35" s="63">
        <v>24.0</v>
      </c>
      <c r="N35" s="63"/>
      <c r="O35" s="63"/>
      <c r="P35" s="63">
        <v>14.0</v>
      </c>
      <c r="Q35" s="63"/>
      <c r="R35" s="63">
        <v>42.0</v>
      </c>
      <c r="S35" s="63"/>
      <c r="T35" s="63">
        <v>17.0</v>
      </c>
      <c r="U35" s="63"/>
      <c r="V35" s="2"/>
      <c r="W35" s="64">
        <v>1.85</v>
      </c>
      <c r="X35" s="64">
        <v>1.52</v>
      </c>
      <c r="Y35" s="64">
        <v>1.22</v>
      </c>
      <c r="Z35" s="2"/>
      <c r="AA35" s="39">
        <f t="shared" si="5"/>
        <v>453.15</v>
      </c>
      <c r="AB35" s="39">
        <f t="shared" si="6"/>
        <v>400.68</v>
      </c>
      <c r="AC35" s="39">
        <f t="shared" si="7"/>
        <v>352.98</v>
      </c>
      <c r="AD35" s="2"/>
      <c r="AE35" s="2"/>
      <c r="AF35" s="2"/>
      <c r="AG35" s="2"/>
      <c r="AH35" s="2"/>
      <c r="AI35" s="5"/>
      <c r="AJ35" s="2"/>
      <c r="AK35" s="2"/>
      <c r="AL35" s="2"/>
      <c r="AM35" s="2"/>
      <c r="AN35" s="2"/>
      <c r="AO35" s="2"/>
      <c r="AP35" s="5"/>
      <c r="AQ35" s="5"/>
    </row>
    <row r="36">
      <c r="A36" s="2"/>
      <c r="B36" s="5"/>
      <c r="C36" s="2"/>
      <c r="D36" s="26" t="s">
        <v>66</v>
      </c>
      <c r="E36" s="2"/>
      <c r="F36" s="62">
        <v>160.0</v>
      </c>
      <c r="G36" s="2"/>
      <c r="H36" s="26" t="s">
        <v>8</v>
      </c>
      <c r="I36" s="2"/>
      <c r="J36" s="63">
        <v>37.0</v>
      </c>
      <c r="K36" s="63">
        <v>19.0</v>
      </c>
      <c r="L36" s="63">
        <v>36.0</v>
      </c>
      <c r="M36" s="63">
        <v>27.0</v>
      </c>
      <c r="N36" s="63">
        <v>49.0</v>
      </c>
      <c r="O36" s="63">
        <v>46.0</v>
      </c>
      <c r="P36" s="63">
        <v>17.0</v>
      </c>
      <c r="Q36" s="63"/>
      <c r="R36" s="63">
        <v>36.0</v>
      </c>
      <c r="S36" s="63"/>
      <c r="T36" s="63">
        <v>19.0</v>
      </c>
      <c r="U36" s="63"/>
      <c r="V36" s="2"/>
      <c r="W36" s="64">
        <v>1.85</v>
      </c>
      <c r="X36" s="64">
        <v>1.52</v>
      </c>
      <c r="Y36" s="64">
        <v>1.22</v>
      </c>
      <c r="Z36" s="2"/>
      <c r="AA36" s="39">
        <f t="shared" si="5"/>
        <v>456</v>
      </c>
      <c r="AB36" s="39">
        <f t="shared" si="6"/>
        <v>403.2</v>
      </c>
      <c r="AC36" s="39">
        <f t="shared" si="7"/>
        <v>355.2</v>
      </c>
      <c r="AD36" s="2"/>
      <c r="AE36" s="2"/>
      <c r="AF36" s="2"/>
      <c r="AG36" s="2"/>
      <c r="AH36" s="2"/>
      <c r="AI36" s="5"/>
      <c r="AJ36" s="2"/>
      <c r="AK36" s="2"/>
      <c r="AL36" s="2"/>
      <c r="AM36" s="2"/>
      <c r="AN36" s="2"/>
      <c r="AO36" s="2"/>
      <c r="AP36" s="5"/>
      <c r="AQ36" s="5"/>
    </row>
    <row r="37">
      <c r="A37" s="2"/>
      <c r="B37" s="5"/>
      <c r="C37" s="2"/>
      <c r="D37" s="26" t="s">
        <v>67</v>
      </c>
      <c r="E37" s="2"/>
      <c r="F37" s="62">
        <v>161.0</v>
      </c>
      <c r="G37" s="2"/>
      <c r="H37" s="26" t="s">
        <v>10</v>
      </c>
      <c r="I37" s="2"/>
      <c r="J37" s="63">
        <v>36.0</v>
      </c>
      <c r="K37" s="63">
        <v>11.0</v>
      </c>
      <c r="L37" s="63">
        <v>35.0</v>
      </c>
      <c r="M37" s="63">
        <v>26.0</v>
      </c>
      <c r="N37" s="63">
        <v>41.0</v>
      </c>
      <c r="O37" s="63">
        <v>45.0</v>
      </c>
      <c r="P37" s="63">
        <v>16.0</v>
      </c>
      <c r="Q37" s="63"/>
      <c r="R37" s="63">
        <v>25.0</v>
      </c>
      <c r="S37" s="63">
        <v>6.0</v>
      </c>
      <c r="T37" s="63">
        <v>11.0</v>
      </c>
      <c r="U37" s="63"/>
      <c r="V37" s="2"/>
      <c r="W37" s="64">
        <v>1.85</v>
      </c>
      <c r="X37" s="64">
        <v>1.52</v>
      </c>
      <c r="Y37" s="64">
        <v>1.22</v>
      </c>
      <c r="Z37" s="2"/>
      <c r="AA37" s="39">
        <f t="shared" si="5"/>
        <v>458.85</v>
      </c>
      <c r="AB37" s="39">
        <f t="shared" si="6"/>
        <v>405.72</v>
      </c>
      <c r="AC37" s="39">
        <f t="shared" si="7"/>
        <v>357.42</v>
      </c>
      <c r="AD37" s="2"/>
      <c r="AE37" s="2"/>
      <c r="AF37" s="2"/>
      <c r="AG37" s="2"/>
      <c r="AH37" s="2"/>
      <c r="AI37" s="5"/>
      <c r="AJ37" s="2"/>
      <c r="AK37" s="2"/>
      <c r="AL37" s="2"/>
      <c r="AM37" s="2"/>
      <c r="AN37" s="2"/>
      <c r="AO37" s="2"/>
      <c r="AP37" s="5"/>
      <c r="AQ37" s="5"/>
    </row>
    <row r="38">
      <c r="A38" s="2"/>
      <c r="B38" s="5"/>
      <c r="C38" s="2"/>
      <c r="D38" s="26" t="s">
        <v>68</v>
      </c>
      <c r="E38" s="2"/>
      <c r="F38" s="62">
        <v>162.0</v>
      </c>
      <c r="G38" s="2"/>
      <c r="H38" s="26" t="s">
        <v>10</v>
      </c>
      <c r="I38" s="2"/>
      <c r="J38" s="63">
        <v>32.0</v>
      </c>
      <c r="K38" s="63">
        <v>12.0</v>
      </c>
      <c r="L38" s="63">
        <v>34.0</v>
      </c>
      <c r="M38" s="63">
        <v>22.0</v>
      </c>
      <c r="N38" s="63">
        <v>42.0</v>
      </c>
      <c r="O38" s="63">
        <v>44.0</v>
      </c>
      <c r="P38" s="63">
        <v>12.0</v>
      </c>
      <c r="Q38" s="63">
        <v>12.0</v>
      </c>
      <c r="R38" s="63">
        <v>24.0</v>
      </c>
      <c r="S38" s="63">
        <v>2.0</v>
      </c>
      <c r="T38" s="63">
        <v>12.0</v>
      </c>
      <c r="U38" s="63">
        <v>4.0</v>
      </c>
      <c r="V38" s="2"/>
      <c r="W38" s="64">
        <v>1.85</v>
      </c>
      <c r="X38" s="64">
        <v>1.52</v>
      </c>
      <c r="Y38" s="64">
        <v>1.22</v>
      </c>
      <c r="Z38" s="2"/>
      <c r="AA38" s="39">
        <f t="shared" si="5"/>
        <v>461.7</v>
      </c>
      <c r="AB38" s="39">
        <f t="shared" si="6"/>
        <v>408.24</v>
      </c>
      <c r="AC38" s="39">
        <f t="shared" si="7"/>
        <v>359.64</v>
      </c>
      <c r="AD38" s="2"/>
      <c r="AE38" s="2"/>
      <c r="AF38" s="2"/>
      <c r="AG38" s="2"/>
      <c r="AH38" s="2"/>
      <c r="AI38" s="5"/>
      <c r="AJ38" s="2"/>
      <c r="AK38" s="2"/>
      <c r="AL38" s="2"/>
      <c r="AM38" s="2"/>
      <c r="AN38" s="2"/>
      <c r="AO38" s="2"/>
      <c r="AP38" s="5"/>
      <c r="AQ38" s="5"/>
    </row>
    <row r="39">
      <c r="A39" s="2"/>
      <c r="B39" s="5"/>
      <c r="C39" s="2"/>
      <c r="D39" s="26" t="s">
        <v>69</v>
      </c>
      <c r="E39" s="2"/>
      <c r="F39" s="62">
        <v>163.0</v>
      </c>
      <c r="G39" s="2"/>
      <c r="H39" s="26" t="s">
        <v>8</v>
      </c>
      <c r="I39" s="2"/>
      <c r="J39" s="63">
        <v>31.0</v>
      </c>
      <c r="K39" s="63">
        <v>14.0</v>
      </c>
      <c r="L39" s="63">
        <v>37.0</v>
      </c>
      <c r="M39" s="63">
        <v>21.0</v>
      </c>
      <c r="N39" s="63">
        <v>44.0</v>
      </c>
      <c r="O39" s="63">
        <v>47.0</v>
      </c>
      <c r="P39" s="63">
        <v>11.0</v>
      </c>
      <c r="Q39" s="63">
        <v>14.0</v>
      </c>
      <c r="R39" s="63">
        <v>17.0</v>
      </c>
      <c r="S39" s="63">
        <v>1.0</v>
      </c>
      <c r="T39" s="63">
        <v>14.0</v>
      </c>
      <c r="U39" s="63">
        <v>7.0</v>
      </c>
      <c r="V39" s="2"/>
      <c r="W39" s="64">
        <v>1.85</v>
      </c>
      <c r="X39" s="64">
        <v>1.52</v>
      </c>
      <c r="Y39" s="64">
        <v>1.22</v>
      </c>
      <c r="Z39" s="2"/>
      <c r="AA39" s="39">
        <f t="shared" si="5"/>
        <v>464.55</v>
      </c>
      <c r="AB39" s="39">
        <f t="shared" si="6"/>
        <v>410.76</v>
      </c>
      <c r="AC39" s="39">
        <f t="shared" si="7"/>
        <v>361.86</v>
      </c>
      <c r="AD39" s="2"/>
      <c r="AE39" s="2"/>
      <c r="AF39" s="2"/>
      <c r="AG39" s="2"/>
      <c r="AH39" s="2"/>
      <c r="AI39" s="5"/>
      <c r="AJ39" s="2"/>
      <c r="AK39" s="2"/>
      <c r="AL39" s="2"/>
      <c r="AM39" s="2"/>
      <c r="AN39" s="2"/>
      <c r="AO39" s="2"/>
      <c r="AP39" s="5"/>
      <c r="AQ39" s="5"/>
    </row>
    <row r="40">
      <c r="A40" s="2"/>
      <c r="B40" s="5"/>
      <c r="C40" s="2"/>
      <c r="D40" s="26" t="s">
        <v>70</v>
      </c>
      <c r="E40" s="2"/>
      <c r="F40" s="62">
        <v>164.0</v>
      </c>
      <c r="G40" s="2"/>
      <c r="H40" s="26" t="s">
        <v>9</v>
      </c>
      <c r="I40" s="2"/>
      <c r="J40" s="63">
        <v>34.0</v>
      </c>
      <c r="K40" s="63">
        <v>18.0</v>
      </c>
      <c r="L40" s="63">
        <v>38.0</v>
      </c>
      <c r="M40" s="63">
        <v>24.0</v>
      </c>
      <c r="N40" s="63">
        <v>48.0</v>
      </c>
      <c r="O40" s="63">
        <v>48.0</v>
      </c>
      <c r="P40" s="63">
        <v>14.0</v>
      </c>
      <c r="Q40" s="63">
        <v>18.0</v>
      </c>
      <c r="R40" s="63">
        <v>38.0</v>
      </c>
      <c r="S40" s="63">
        <v>4.0</v>
      </c>
      <c r="T40" s="63">
        <v>18.0</v>
      </c>
      <c r="U40" s="63">
        <v>8.0</v>
      </c>
      <c r="V40" s="2"/>
      <c r="W40" s="64">
        <v>1.85</v>
      </c>
      <c r="X40" s="64">
        <v>1.52</v>
      </c>
      <c r="Y40" s="64">
        <v>1.22</v>
      </c>
      <c r="Z40" s="2"/>
      <c r="AA40" s="39">
        <f t="shared" si="5"/>
        <v>467.4</v>
      </c>
      <c r="AB40" s="39">
        <f t="shared" si="6"/>
        <v>413.28</v>
      </c>
      <c r="AC40" s="39">
        <f t="shared" si="7"/>
        <v>364.08</v>
      </c>
      <c r="AD40" s="2"/>
      <c r="AE40" s="2"/>
      <c r="AF40" s="2"/>
      <c r="AG40" s="2"/>
      <c r="AH40" s="2"/>
      <c r="AI40" s="5"/>
      <c r="AJ40" s="2"/>
      <c r="AK40" s="2"/>
      <c r="AL40" s="2"/>
      <c r="AM40" s="2"/>
      <c r="AN40" s="2"/>
      <c r="AO40" s="2"/>
      <c r="AP40" s="5"/>
      <c r="AQ40" s="5"/>
    </row>
    <row r="41" ht="11.25" customHeight="1">
      <c r="A41" s="2"/>
      <c r="B41" s="5"/>
      <c r="C41" s="2"/>
      <c r="D41" s="55"/>
      <c r="E41" s="55"/>
      <c r="F41" s="55"/>
      <c r="G41" s="2"/>
      <c r="H41" s="2"/>
      <c r="I41" s="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2"/>
      <c r="W41" s="4"/>
      <c r="X41" s="4"/>
      <c r="Y41" s="4"/>
      <c r="Z41" s="2"/>
      <c r="AA41" s="4"/>
      <c r="AB41" s="4"/>
      <c r="AC41" s="4"/>
      <c r="AD41" s="2"/>
      <c r="AE41" s="2"/>
      <c r="AF41" s="2"/>
      <c r="AG41" s="2"/>
      <c r="AH41" s="2"/>
      <c r="AI41" s="5"/>
      <c r="AJ41" s="2"/>
      <c r="AK41" s="2"/>
      <c r="AL41" s="2"/>
      <c r="AM41" s="2"/>
      <c r="AN41" s="2"/>
      <c r="AO41" s="2"/>
      <c r="AP41" s="5"/>
      <c r="AQ41" s="5"/>
    </row>
    <row r="42" ht="13.5" customHeight="1">
      <c r="A42" s="2"/>
      <c r="B42" s="5"/>
      <c r="C42" s="2"/>
      <c r="D42" s="55"/>
      <c r="E42" s="55"/>
      <c r="F42" s="55"/>
      <c r="G42" s="2"/>
      <c r="H42" s="3" t="s">
        <v>71</v>
      </c>
      <c r="I42" s="2"/>
      <c r="J42" s="65" t="s">
        <v>4</v>
      </c>
      <c r="K42" s="65" t="s">
        <v>11</v>
      </c>
      <c r="L42" s="65" t="s">
        <v>4</v>
      </c>
      <c r="M42" s="65" t="s">
        <v>4</v>
      </c>
      <c r="N42" s="65" t="s">
        <v>11</v>
      </c>
      <c r="O42" s="65" t="s">
        <v>11</v>
      </c>
      <c r="P42" s="65" t="s">
        <v>11</v>
      </c>
      <c r="Q42" s="65" t="s">
        <v>4</v>
      </c>
      <c r="R42" s="65" t="s">
        <v>11</v>
      </c>
      <c r="S42" s="65" t="s">
        <v>11</v>
      </c>
      <c r="T42" s="65" t="s">
        <v>4</v>
      </c>
      <c r="U42" s="65" t="s">
        <v>11</v>
      </c>
      <c r="V42" s="2"/>
      <c r="W42" s="4"/>
      <c r="X42" s="4"/>
      <c r="Y42" s="4"/>
      <c r="Z42" s="2"/>
      <c r="AA42" s="4"/>
      <c r="AB42" s="4"/>
      <c r="AC42" s="4"/>
      <c r="AD42" s="2"/>
      <c r="AE42" s="2"/>
      <c r="AF42" s="2"/>
      <c r="AG42" s="2"/>
      <c r="AH42" s="2"/>
      <c r="AI42" s="5"/>
      <c r="AJ42" s="2"/>
      <c r="AK42" s="2"/>
      <c r="AL42" s="2"/>
      <c r="AM42" s="2"/>
      <c r="AN42" s="2"/>
      <c r="AO42" s="2"/>
      <c r="AP42" s="5"/>
      <c r="AQ42" s="5"/>
    </row>
    <row r="43" ht="13.5" customHeight="1">
      <c r="A43" s="2"/>
      <c r="B43" s="5"/>
      <c r="C43" s="2"/>
      <c r="D43" s="55"/>
      <c r="E43" s="55"/>
      <c r="F43" s="55"/>
      <c r="G43" s="2"/>
      <c r="H43" s="3" t="s">
        <v>6</v>
      </c>
      <c r="I43" s="2"/>
      <c r="J43" s="65" t="s">
        <v>18</v>
      </c>
      <c r="K43" s="65" t="s">
        <v>20</v>
      </c>
      <c r="L43" s="65" t="s">
        <v>22</v>
      </c>
      <c r="M43" s="65" t="s">
        <v>20</v>
      </c>
      <c r="N43" s="65" t="s">
        <v>18</v>
      </c>
      <c r="O43" s="65" t="s">
        <v>20</v>
      </c>
      <c r="P43" s="65" t="s">
        <v>22</v>
      </c>
      <c r="Q43" s="65" t="s">
        <v>18</v>
      </c>
      <c r="R43" s="65" t="s">
        <v>18</v>
      </c>
      <c r="S43" s="65" t="s">
        <v>20</v>
      </c>
      <c r="T43" s="65" t="s">
        <v>22</v>
      </c>
      <c r="U43" s="65" t="s">
        <v>20</v>
      </c>
      <c r="V43" s="2"/>
      <c r="W43" s="4"/>
      <c r="X43" s="4"/>
      <c r="Y43" s="4"/>
      <c r="Z43" s="2"/>
      <c r="AA43" s="4"/>
      <c r="AB43" s="4"/>
      <c r="AC43" s="4"/>
      <c r="AD43" s="2"/>
      <c r="AE43" s="2"/>
      <c r="AF43" s="2"/>
      <c r="AG43" s="2"/>
      <c r="AH43" s="2"/>
      <c r="AI43" s="5"/>
      <c r="AJ43" s="2"/>
      <c r="AK43" s="2"/>
      <c r="AL43" s="2"/>
      <c r="AM43" s="2"/>
      <c r="AN43" s="2"/>
      <c r="AO43" s="2"/>
      <c r="AP43" s="5"/>
      <c r="AQ43" s="5"/>
    </row>
    <row r="44" ht="13.5" customHeight="1">
      <c r="A44" s="2"/>
      <c r="B44" s="5"/>
      <c r="C44" s="2"/>
      <c r="D44" s="55"/>
      <c r="E44" s="55"/>
      <c r="F44" s="55"/>
      <c r="G44" s="2"/>
      <c r="H44" s="3" t="s">
        <v>72</v>
      </c>
      <c r="I44" s="2"/>
      <c r="J44" s="65" t="s">
        <v>15</v>
      </c>
      <c r="K44" s="65" t="s">
        <v>14</v>
      </c>
      <c r="L44" s="65" t="s">
        <v>16</v>
      </c>
      <c r="M44" s="65" t="s">
        <v>16</v>
      </c>
      <c r="N44" s="65" t="s">
        <v>14</v>
      </c>
      <c r="O44" s="65" t="s">
        <v>15</v>
      </c>
      <c r="P44" s="65" t="s">
        <v>16</v>
      </c>
      <c r="Q44" s="65" t="s">
        <v>14</v>
      </c>
      <c r="R44" s="65" t="s">
        <v>15</v>
      </c>
      <c r="S44" s="65" t="s">
        <v>16</v>
      </c>
      <c r="T44" s="65" t="s">
        <v>14</v>
      </c>
      <c r="U44" s="65" t="s">
        <v>16</v>
      </c>
      <c r="V44" s="2"/>
      <c r="W44" s="4"/>
      <c r="X44" s="4"/>
      <c r="Y44" s="4"/>
      <c r="Z44" s="2"/>
      <c r="AA44" s="4"/>
      <c r="AB44" s="4"/>
      <c r="AC44" s="4"/>
      <c r="AD44" s="2"/>
      <c r="AE44" s="2"/>
      <c r="AF44" s="2"/>
      <c r="AG44" s="2"/>
      <c r="AH44" s="2"/>
      <c r="AI44" s="5"/>
      <c r="AJ44" s="2"/>
      <c r="AK44" s="2"/>
      <c r="AL44" s="2"/>
      <c r="AM44" s="2"/>
      <c r="AN44" s="2"/>
      <c r="AO44" s="2"/>
      <c r="AP44" s="5"/>
      <c r="AQ44" s="5"/>
    </row>
    <row r="45" ht="13.5" customHeight="1">
      <c r="A45" s="2"/>
      <c r="B45" s="5"/>
      <c r="C45" s="2"/>
      <c r="D45" s="55"/>
      <c r="E45" s="55"/>
      <c r="F45" s="55"/>
      <c r="G45" s="2"/>
      <c r="H45" s="3" t="s">
        <v>73</v>
      </c>
      <c r="I45" s="2"/>
      <c r="J45" s="19">
        <v>1.0</v>
      </c>
      <c r="K45" s="19">
        <v>1.5</v>
      </c>
      <c r="L45" s="19">
        <v>2.0</v>
      </c>
      <c r="M45" s="19">
        <v>1.0</v>
      </c>
      <c r="N45" s="19">
        <v>1.5</v>
      </c>
      <c r="O45" s="19">
        <v>2.0</v>
      </c>
      <c r="P45" s="19">
        <v>1.0</v>
      </c>
      <c r="Q45" s="19">
        <v>1.25</v>
      </c>
      <c r="R45" s="19">
        <v>1.0</v>
      </c>
      <c r="S45" s="19">
        <v>1.0</v>
      </c>
      <c r="T45" s="19">
        <v>1.0</v>
      </c>
      <c r="U45" s="19">
        <v>1.0</v>
      </c>
      <c r="V45" s="2"/>
      <c r="W45" s="4"/>
      <c r="X45" s="4"/>
      <c r="Y45" s="4"/>
      <c r="Z45" s="2"/>
      <c r="AA45" s="4"/>
      <c r="AB45" s="4"/>
      <c r="AC45" s="4"/>
      <c r="AD45" s="2"/>
      <c r="AE45" s="2"/>
      <c r="AF45" s="2"/>
      <c r="AG45" s="2"/>
      <c r="AH45" s="2"/>
      <c r="AI45" s="5"/>
      <c r="AJ45" s="2"/>
      <c r="AK45" s="2"/>
      <c r="AL45" s="2"/>
      <c r="AM45" s="2"/>
      <c r="AN45" s="2"/>
      <c r="AO45" s="2"/>
      <c r="AP45" s="5"/>
      <c r="AQ45" s="5"/>
    </row>
    <row r="46" ht="5.25" customHeight="1">
      <c r="A46" s="2"/>
      <c r="B46" s="5"/>
      <c r="C46" s="2"/>
      <c r="D46" s="55"/>
      <c r="E46" s="55"/>
      <c r="F46" s="55"/>
      <c r="G46" s="2"/>
      <c r="H46" s="2"/>
      <c r="I46" s="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"/>
      <c r="W46" s="4"/>
      <c r="X46" s="4"/>
      <c r="Y46" s="4"/>
      <c r="Z46" s="2"/>
      <c r="AA46" s="4"/>
      <c r="AB46" s="4"/>
      <c r="AC46" s="4"/>
      <c r="AD46" s="2"/>
      <c r="AE46" s="2"/>
      <c r="AF46" s="2"/>
      <c r="AG46" s="2"/>
      <c r="AH46" s="2"/>
      <c r="AI46" s="5"/>
      <c r="AJ46" s="2"/>
      <c r="AK46" s="2"/>
      <c r="AL46" s="2"/>
      <c r="AM46" s="2"/>
      <c r="AN46" s="2"/>
      <c r="AO46" s="2"/>
      <c r="AP46" s="5"/>
      <c r="AQ46" s="5"/>
    </row>
    <row r="47" ht="13.5" customHeight="1">
      <c r="A47" s="2"/>
      <c r="B47" s="5"/>
      <c r="C47" s="2"/>
      <c r="D47" s="55"/>
      <c r="E47" s="55"/>
      <c r="F47" s="55"/>
      <c r="G47" s="2"/>
      <c r="H47" s="66" t="s">
        <v>74</v>
      </c>
      <c r="I47" s="67"/>
      <c r="J47" s="68">
        <f t="shared" ref="J47:U47" si="8">J98</f>
        <v>0</v>
      </c>
      <c r="K47" s="68">
        <f t="shared" si="8"/>
        <v>0</v>
      </c>
      <c r="L47" s="68">
        <f t="shared" si="8"/>
        <v>0</v>
      </c>
      <c r="M47" s="68">
        <f t="shared" si="8"/>
        <v>7500</v>
      </c>
      <c r="N47" s="68">
        <f t="shared" si="8"/>
        <v>12000</v>
      </c>
      <c r="O47" s="68">
        <f t="shared" si="8"/>
        <v>43000</v>
      </c>
      <c r="P47" s="68">
        <f t="shared" si="8"/>
        <v>11500</v>
      </c>
      <c r="Q47" s="68">
        <f t="shared" si="8"/>
        <v>5250</v>
      </c>
      <c r="R47" s="68">
        <f t="shared" si="8"/>
        <v>20000</v>
      </c>
      <c r="S47" s="68">
        <f t="shared" si="8"/>
        <v>21500</v>
      </c>
      <c r="T47" s="68">
        <f t="shared" si="8"/>
        <v>4375</v>
      </c>
      <c r="U47" s="69">
        <f t="shared" si="8"/>
        <v>7500</v>
      </c>
      <c r="V47" s="2"/>
      <c r="W47" s="4"/>
      <c r="X47" s="4"/>
      <c r="Y47" s="4"/>
      <c r="Z47" s="2"/>
      <c r="AA47" s="4"/>
      <c r="AB47" s="4"/>
      <c r="AC47" s="4"/>
      <c r="AD47" s="2"/>
      <c r="AE47" s="2"/>
      <c r="AF47" s="2"/>
      <c r="AG47" s="2"/>
      <c r="AH47" s="2"/>
      <c r="AI47" s="5"/>
      <c r="AJ47" s="2"/>
      <c r="AK47" s="2"/>
      <c r="AL47" s="2"/>
      <c r="AM47" s="2"/>
      <c r="AN47" s="2"/>
      <c r="AO47" s="2"/>
      <c r="AP47" s="5"/>
      <c r="AQ47" s="5"/>
    </row>
    <row r="48" ht="6.0" customHeight="1">
      <c r="A48" s="2"/>
      <c r="B48" s="5"/>
      <c r="C48" s="2"/>
      <c r="D48" s="55"/>
      <c r="E48" s="55"/>
      <c r="F48" s="55"/>
      <c r="G48" s="2"/>
      <c r="H48" s="2"/>
      <c r="I48" s="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2"/>
      <c r="W48" s="4"/>
      <c r="X48" s="4"/>
      <c r="Y48" s="4"/>
      <c r="Z48" s="2"/>
      <c r="AA48" s="4"/>
      <c r="AB48" s="4"/>
      <c r="AC48" s="4"/>
      <c r="AD48" s="2"/>
      <c r="AE48" s="2"/>
      <c r="AF48" s="2"/>
      <c r="AG48" s="2"/>
      <c r="AH48" s="2"/>
      <c r="AI48" s="5"/>
      <c r="AJ48" s="2"/>
      <c r="AK48" s="2"/>
      <c r="AL48" s="2"/>
      <c r="AM48" s="2"/>
      <c r="AN48" s="2"/>
      <c r="AO48" s="2"/>
      <c r="AP48" s="5"/>
      <c r="AQ48" s="5"/>
    </row>
    <row r="49" ht="7.5" customHeight="1">
      <c r="A49" s="2"/>
      <c r="B49" s="5"/>
      <c r="C49" s="2"/>
      <c r="D49" s="55"/>
      <c r="E49" s="55"/>
      <c r="F49" s="55"/>
      <c r="G49" s="2"/>
      <c r="H49" s="2"/>
      <c r="I49" s="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2"/>
      <c r="W49" s="4"/>
      <c r="X49" s="4"/>
      <c r="Y49" s="4"/>
      <c r="Z49" s="2"/>
      <c r="AA49" s="4"/>
      <c r="AB49" s="4"/>
      <c r="AC49" s="4"/>
      <c r="AD49" s="2"/>
      <c r="AE49" s="2"/>
      <c r="AF49" s="2"/>
      <c r="AG49" s="2"/>
      <c r="AH49" s="2"/>
      <c r="AI49" s="5"/>
      <c r="AJ49" s="2"/>
      <c r="AK49" s="2"/>
      <c r="AL49" s="2"/>
      <c r="AM49" s="2"/>
      <c r="AN49" s="2"/>
      <c r="AO49" s="2"/>
      <c r="AP49" s="5"/>
      <c r="AQ49" s="5"/>
    </row>
    <row r="50">
      <c r="A50" s="2"/>
      <c r="B50" s="5"/>
      <c r="C50" s="2"/>
      <c r="D50" s="70" t="s">
        <v>75</v>
      </c>
      <c r="F50" s="55"/>
      <c r="G50" s="2"/>
      <c r="H50" s="2"/>
      <c r="I50" s="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2"/>
      <c r="W50" s="4"/>
      <c r="X50" s="4"/>
      <c r="Y50" s="4"/>
      <c r="Z50" s="2"/>
      <c r="AA50" s="4"/>
      <c r="AB50" s="4"/>
      <c r="AC50" s="4"/>
      <c r="AD50" s="2"/>
      <c r="AE50" s="2"/>
      <c r="AF50" s="2"/>
      <c r="AG50" s="2"/>
      <c r="AH50" s="2"/>
      <c r="AI50" s="5"/>
      <c r="AJ50" s="2"/>
      <c r="AK50" s="2"/>
      <c r="AL50" s="2"/>
      <c r="AM50" s="2"/>
      <c r="AN50" s="2"/>
      <c r="AO50" s="2"/>
      <c r="AP50" s="5"/>
      <c r="AQ50" s="5"/>
    </row>
    <row r="51">
      <c r="A51" s="2"/>
      <c r="B51" s="5"/>
      <c r="C51" s="2"/>
      <c r="D51" s="55"/>
      <c r="E51" s="55"/>
      <c r="F51" s="71">
        <f t="shared" ref="F51:F52" si="10">sum(J51:U51)</f>
        <v>4469</v>
      </c>
      <c r="G51" s="2"/>
      <c r="H51" s="3" t="s">
        <v>76</v>
      </c>
      <c r="I51" s="2"/>
      <c r="J51" s="4">
        <f t="shared" ref="J51:U51" si="9">sum(J21:J40)</f>
        <v>697</v>
      </c>
      <c r="K51" s="4">
        <f t="shared" si="9"/>
        <v>250</v>
      </c>
      <c r="L51" s="4">
        <f t="shared" si="9"/>
        <v>608</v>
      </c>
      <c r="M51" s="4">
        <f t="shared" si="9"/>
        <v>365</v>
      </c>
      <c r="N51" s="4">
        <f t="shared" si="9"/>
        <v>505</v>
      </c>
      <c r="O51" s="4">
        <f t="shared" si="9"/>
        <v>652</v>
      </c>
      <c r="P51" s="4">
        <f t="shared" si="9"/>
        <v>190</v>
      </c>
      <c r="Q51" s="4">
        <f t="shared" si="9"/>
        <v>185</v>
      </c>
      <c r="R51" s="4">
        <f t="shared" si="9"/>
        <v>506</v>
      </c>
      <c r="S51" s="4">
        <f t="shared" si="9"/>
        <v>192</v>
      </c>
      <c r="T51" s="4">
        <f t="shared" si="9"/>
        <v>231</v>
      </c>
      <c r="U51" s="4">
        <f t="shared" si="9"/>
        <v>88</v>
      </c>
      <c r="V51" s="2"/>
      <c r="W51" s="4"/>
      <c r="X51" s="4"/>
      <c r="Y51" s="4"/>
      <c r="Z51" s="2"/>
      <c r="AA51" s="4"/>
      <c r="AB51" s="4"/>
      <c r="AC51" s="4"/>
      <c r="AD51" s="2"/>
      <c r="AE51" s="2"/>
      <c r="AF51" s="2"/>
      <c r="AG51" s="2"/>
      <c r="AH51" s="2"/>
      <c r="AI51" s="5"/>
      <c r="AJ51" s="2"/>
      <c r="AK51" s="2"/>
      <c r="AL51" s="2"/>
      <c r="AM51" s="2"/>
      <c r="AN51" s="2"/>
      <c r="AO51" s="2"/>
      <c r="AP51" s="5"/>
      <c r="AQ51" s="5"/>
    </row>
    <row r="52">
      <c r="A52" s="2"/>
      <c r="B52" s="5"/>
      <c r="C52" s="2"/>
      <c r="D52" s="55"/>
      <c r="E52" s="55"/>
      <c r="F52" s="72">
        <f t="shared" si="10"/>
        <v>693271</v>
      </c>
      <c r="G52" s="2"/>
      <c r="H52" s="3" t="s">
        <v>77</v>
      </c>
      <c r="I52" s="2"/>
      <c r="J52" s="39">
        <f t="shared" ref="J52:U52" si="11">J21*$F$21+J22*$F$22+J23*$F$23+J24*$F$24+J25*$F$25+J26*$F$26+J27*$F$27+J28*$F$28+J29*$F$29+J30*$F$30+J31*$F$31+J32*$F$32+J33*$F$33+J34*$F$34+J35*$F$35+J36*$F$36+J37*$F$37+J38*$F$38+J39*$F$39+J40*$F$40</f>
        <v>107643</v>
      </c>
      <c r="K52" s="39">
        <f t="shared" si="11"/>
        <v>38966</v>
      </c>
      <c r="L52" s="39">
        <f t="shared" si="11"/>
        <v>94311</v>
      </c>
      <c r="M52" s="39">
        <f t="shared" si="11"/>
        <v>56599</v>
      </c>
      <c r="N52" s="39">
        <f t="shared" si="11"/>
        <v>79173</v>
      </c>
      <c r="O52" s="39">
        <f t="shared" si="11"/>
        <v>100677</v>
      </c>
      <c r="P52" s="39">
        <f t="shared" si="11"/>
        <v>29703</v>
      </c>
      <c r="Q52" s="39">
        <f t="shared" si="11"/>
        <v>28677</v>
      </c>
      <c r="R52" s="39">
        <f t="shared" si="11"/>
        <v>78532</v>
      </c>
      <c r="S52" s="39">
        <f t="shared" si="11"/>
        <v>29583</v>
      </c>
      <c r="T52" s="39">
        <f t="shared" si="11"/>
        <v>36033</v>
      </c>
      <c r="U52" s="39">
        <f t="shared" si="11"/>
        <v>13374</v>
      </c>
      <c r="V52" s="2"/>
      <c r="W52" s="4"/>
      <c r="X52" s="4"/>
      <c r="Y52" s="4"/>
      <c r="Z52" s="2"/>
      <c r="AA52" s="4"/>
      <c r="AB52" s="4"/>
      <c r="AC52" s="4"/>
      <c r="AD52" s="2"/>
      <c r="AE52" s="2"/>
      <c r="AF52" s="2"/>
      <c r="AG52" s="2"/>
      <c r="AH52" s="2"/>
      <c r="AI52" s="5"/>
      <c r="AJ52" s="2"/>
      <c r="AK52" s="2"/>
      <c r="AL52" s="2"/>
      <c r="AM52" s="2"/>
      <c r="AN52" s="2"/>
      <c r="AO52" s="2"/>
      <c r="AP52" s="5"/>
      <c r="AQ52" s="5"/>
    </row>
    <row r="53" ht="6.75" customHeight="1">
      <c r="A53" s="2"/>
      <c r="B53" s="5"/>
      <c r="C53" s="2"/>
      <c r="D53" s="55"/>
      <c r="E53" s="55"/>
      <c r="F53" s="71"/>
      <c r="G53" s="2"/>
      <c r="H53" s="2"/>
      <c r="I53" s="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2"/>
      <c r="W53" s="4"/>
      <c r="X53" s="4"/>
      <c r="Y53" s="4"/>
      <c r="Z53" s="2"/>
      <c r="AA53" s="4"/>
      <c r="AB53" s="4"/>
      <c r="AC53" s="4"/>
      <c r="AD53" s="2"/>
      <c r="AE53" s="2"/>
      <c r="AF53" s="2"/>
      <c r="AG53" s="2"/>
      <c r="AH53" s="2"/>
      <c r="AI53" s="5"/>
      <c r="AJ53" s="2"/>
      <c r="AK53" s="2"/>
      <c r="AL53" s="2"/>
      <c r="AM53" s="2"/>
      <c r="AN53" s="2"/>
      <c r="AO53" s="2"/>
      <c r="AP53" s="5"/>
      <c r="AQ53" s="5"/>
    </row>
    <row r="54">
      <c r="A54" s="2"/>
      <c r="B54" s="5"/>
      <c r="C54" s="2"/>
      <c r="D54" s="55"/>
      <c r="E54" s="55"/>
      <c r="F54" s="72">
        <f>sum(J54:U54)</f>
        <v>415962.6</v>
      </c>
      <c r="G54" s="13"/>
      <c r="H54" s="13" t="s">
        <v>78</v>
      </c>
      <c r="I54" s="2"/>
      <c r="J54" s="39">
        <f t="shared" ref="J54:U54" si="12">J52*$F$7</f>
        <v>64585.8</v>
      </c>
      <c r="K54" s="39">
        <f t="shared" si="12"/>
        <v>23379.6</v>
      </c>
      <c r="L54" s="39">
        <f t="shared" si="12"/>
        <v>56586.6</v>
      </c>
      <c r="M54" s="39">
        <f t="shared" si="12"/>
        <v>33959.4</v>
      </c>
      <c r="N54" s="39">
        <f t="shared" si="12"/>
        <v>47503.8</v>
      </c>
      <c r="O54" s="39">
        <f t="shared" si="12"/>
        <v>60406.2</v>
      </c>
      <c r="P54" s="39">
        <f t="shared" si="12"/>
        <v>17821.8</v>
      </c>
      <c r="Q54" s="39">
        <f t="shared" si="12"/>
        <v>17206.2</v>
      </c>
      <c r="R54" s="39">
        <f t="shared" si="12"/>
        <v>47119.2</v>
      </c>
      <c r="S54" s="39">
        <f t="shared" si="12"/>
        <v>17749.8</v>
      </c>
      <c r="T54" s="39">
        <f t="shared" si="12"/>
        <v>21619.8</v>
      </c>
      <c r="U54" s="39">
        <f t="shared" si="12"/>
        <v>8024.4</v>
      </c>
      <c r="V54" s="2"/>
      <c r="W54" s="4"/>
      <c r="X54" s="4"/>
      <c r="Y54" s="4"/>
      <c r="Z54" s="2"/>
      <c r="AA54" s="4"/>
      <c r="AB54" s="4"/>
      <c r="AC54" s="4"/>
      <c r="AD54" s="2"/>
      <c r="AE54" s="2"/>
      <c r="AF54" s="2"/>
      <c r="AG54" s="2"/>
      <c r="AH54" s="2"/>
      <c r="AI54" s="5"/>
      <c r="AJ54" s="2"/>
      <c r="AK54" s="2"/>
      <c r="AL54" s="2"/>
      <c r="AM54" s="2"/>
      <c r="AN54" s="2"/>
      <c r="AO54" s="2"/>
      <c r="AP54" s="5"/>
      <c r="AQ54" s="5"/>
    </row>
    <row r="55" ht="6.75" customHeight="1">
      <c r="A55" s="2"/>
      <c r="B55" s="5"/>
      <c r="C55" s="2"/>
      <c r="D55" s="55"/>
      <c r="E55" s="55"/>
      <c r="F55" s="71"/>
      <c r="G55" s="13"/>
      <c r="H55" s="13"/>
      <c r="I55" s="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2"/>
      <c r="W55" s="4"/>
      <c r="X55" s="4"/>
      <c r="Y55" s="4"/>
      <c r="Z55" s="2"/>
      <c r="AA55" s="4"/>
      <c r="AB55" s="4"/>
      <c r="AC55" s="4"/>
      <c r="AD55" s="2"/>
      <c r="AE55" s="2"/>
      <c r="AF55" s="2"/>
      <c r="AG55" s="2"/>
      <c r="AH55" s="2"/>
      <c r="AI55" s="5"/>
      <c r="AJ55" s="2"/>
      <c r="AK55" s="2"/>
      <c r="AL55" s="2"/>
      <c r="AM55" s="2"/>
      <c r="AN55" s="2"/>
      <c r="AO55" s="2"/>
      <c r="AP55" s="5"/>
      <c r="AQ55" s="5"/>
    </row>
    <row r="56">
      <c r="A56" s="2"/>
      <c r="B56" s="5"/>
      <c r="C56" s="2"/>
      <c r="D56" s="73">
        <f>F54+F56</f>
        <v>671612.7015</v>
      </c>
      <c r="E56" s="55"/>
      <c r="F56" s="72">
        <f>sum(J75:U75)</f>
        <v>255650.1015</v>
      </c>
      <c r="G56" s="13"/>
      <c r="H56" s="13" t="s">
        <v>79</v>
      </c>
      <c r="I56" s="2"/>
      <c r="J56" s="39">
        <f t="shared" ref="J56:U56" si="13">J52-J54</f>
        <v>43057.2</v>
      </c>
      <c r="K56" s="39">
        <f t="shared" si="13"/>
        <v>15586.4</v>
      </c>
      <c r="L56" s="39">
        <f t="shared" si="13"/>
        <v>37724.4</v>
      </c>
      <c r="M56" s="39">
        <f t="shared" si="13"/>
        <v>22639.6</v>
      </c>
      <c r="N56" s="39">
        <f t="shared" si="13"/>
        <v>31669.2</v>
      </c>
      <c r="O56" s="39">
        <f t="shared" si="13"/>
        <v>40270.8</v>
      </c>
      <c r="P56" s="39">
        <f t="shared" si="13"/>
        <v>11881.2</v>
      </c>
      <c r="Q56" s="39">
        <f t="shared" si="13"/>
        <v>11470.8</v>
      </c>
      <c r="R56" s="39">
        <f t="shared" si="13"/>
        <v>31412.8</v>
      </c>
      <c r="S56" s="39">
        <f t="shared" si="13"/>
        <v>11833.2</v>
      </c>
      <c r="T56" s="39">
        <f t="shared" si="13"/>
        <v>14413.2</v>
      </c>
      <c r="U56" s="39">
        <f t="shared" si="13"/>
        <v>5349.6</v>
      </c>
      <c r="V56" s="2"/>
      <c r="W56" s="4"/>
      <c r="X56" s="4"/>
      <c r="Y56" s="4"/>
      <c r="Z56" s="2"/>
      <c r="AA56" s="4"/>
      <c r="AB56" s="4"/>
      <c r="AC56" s="4"/>
      <c r="AD56" s="2"/>
      <c r="AE56" s="2"/>
      <c r="AF56" s="2"/>
      <c r="AG56" s="2"/>
      <c r="AH56" s="2"/>
      <c r="AI56" s="5"/>
      <c r="AJ56" s="2"/>
      <c r="AK56" s="2"/>
      <c r="AL56" s="2"/>
      <c r="AM56" s="2"/>
      <c r="AN56" s="2"/>
      <c r="AO56" s="2"/>
      <c r="AP56" s="5"/>
      <c r="AQ56" s="5"/>
    </row>
    <row r="57" ht="6.0" customHeight="1">
      <c r="A57" s="2"/>
      <c r="B57" s="5"/>
      <c r="C57" s="2"/>
      <c r="D57" s="55"/>
      <c r="E57" s="55"/>
      <c r="F57" s="55"/>
      <c r="G57" s="13"/>
      <c r="H57" s="13"/>
      <c r="I57" s="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2"/>
      <c r="W57" s="4"/>
      <c r="X57" s="4"/>
      <c r="Y57" s="4"/>
      <c r="Z57" s="2"/>
      <c r="AA57" s="4"/>
      <c r="AB57" s="4"/>
      <c r="AC57" s="4"/>
      <c r="AD57" s="2"/>
      <c r="AE57" s="2"/>
      <c r="AF57" s="2"/>
      <c r="AG57" s="2"/>
      <c r="AH57" s="2"/>
      <c r="AI57" s="5"/>
      <c r="AJ57" s="2"/>
      <c r="AK57" s="2"/>
      <c r="AL57" s="2"/>
      <c r="AM57" s="2"/>
      <c r="AN57" s="2"/>
      <c r="AO57" s="2"/>
      <c r="AP57" s="5"/>
      <c r="AQ57" s="5"/>
    </row>
    <row r="58">
      <c r="A58" s="2"/>
      <c r="B58" s="5"/>
      <c r="C58" s="2"/>
      <c r="D58" s="55"/>
      <c r="E58" s="55"/>
      <c r="F58" s="55"/>
      <c r="G58" s="13"/>
      <c r="H58" s="13" t="s">
        <v>80</v>
      </c>
      <c r="I58" s="2"/>
      <c r="J58" s="39">
        <f t="shared" ref="J58:U58" si="14">J56*$F$8/12*$F$10/30</f>
        <v>653.0342</v>
      </c>
      <c r="K58" s="39">
        <f t="shared" si="14"/>
        <v>236.3937333</v>
      </c>
      <c r="L58" s="39">
        <f t="shared" si="14"/>
        <v>572.1534</v>
      </c>
      <c r="M58" s="39">
        <f t="shared" si="14"/>
        <v>343.3672667</v>
      </c>
      <c r="N58" s="39">
        <f t="shared" si="14"/>
        <v>480.3162</v>
      </c>
      <c r="O58" s="39">
        <f t="shared" si="14"/>
        <v>610.7738</v>
      </c>
      <c r="P58" s="39">
        <f t="shared" si="14"/>
        <v>180.1982</v>
      </c>
      <c r="Q58" s="39">
        <f t="shared" si="14"/>
        <v>173.9738</v>
      </c>
      <c r="R58" s="39">
        <f t="shared" si="14"/>
        <v>476.4274667</v>
      </c>
      <c r="S58" s="39">
        <f t="shared" si="14"/>
        <v>179.4702</v>
      </c>
      <c r="T58" s="39">
        <f t="shared" si="14"/>
        <v>218.6002</v>
      </c>
      <c r="U58" s="39">
        <f t="shared" si="14"/>
        <v>81.1356</v>
      </c>
      <c r="V58" s="2"/>
      <c r="W58" s="4"/>
      <c r="X58" s="4"/>
      <c r="Y58" s="4"/>
      <c r="Z58" s="2"/>
      <c r="AA58" s="4"/>
      <c r="AB58" s="4"/>
      <c r="AC58" s="4"/>
      <c r="AD58" s="2"/>
      <c r="AE58" s="2"/>
      <c r="AF58" s="2"/>
      <c r="AG58" s="2"/>
      <c r="AH58" s="2"/>
      <c r="AI58" s="5"/>
      <c r="AJ58" s="2"/>
      <c r="AK58" s="2"/>
      <c r="AL58" s="2"/>
      <c r="AM58" s="2"/>
      <c r="AN58" s="2"/>
      <c r="AO58" s="2"/>
      <c r="AP58" s="5"/>
      <c r="AQ58" s="5"/>
    </row>
    <row r="59">
      <c r="A59" s="2"/>
      <c r="B59" s="5"/>
      <c r="C59" s="2"/>
      <c r="D59" s="55"/>
      <c r="E59" s="55"/>
      <c r="F59" s="55"/>
      <c r="G59" s="13"/>
      <c r="H59" s="13" t="s">
        <v>81</v>
      </c>
      <c r="I59" s="2"/>
      <c r="J59" s="39">
        <f t="shared" ref="J59:U59" si="15">J56*$F$9/12*$F$10/30</f>
        <v>1088.390333</v>
      </c>
      <c r="K59" s="39">
        <f t="shared" si="15"/>
        <v>393.9895556</v>
      </c>
      <c r="L59" s="39">
        <f t="shared" si="15"/>
        <v>953.589</v>
      </c>
      <c r="M59" s="39">
        <f t="shared" si="15"/>
        <v>572.2787778</v>
      </c>
      <c r="N59" s="39">
        <f t="shared" si="15"/>
        <v>800.527</v>
      </c>
      <c r="O59" s="39">
        <f t="shared" si="15"/>
        <v>1017.956333</v>
      </c>
      <c r="P59" s="39">
        <f t="shared" si="15"/>
        <v>300.3303333</v>
      </c>
      <c r="Q59" s="39">
        <f t="shared" si="15"/>
        <v>289.9563333</v>
      </c>
      <c r="R59" s="39">
        <f t="shared" si="15"/>
        <v>794.0457778</v>
      </c>
      <c r="S59" s="39">
        <f t="shared" si="15"/>
        <v>299.117</v>
      </c>
      <c r="T59" s="39">
        <f t="shared" si="15"/>
        <v>364.3336667</v>
      </c>
      <c r="U59" s="39">
        <f t="shared" si="15"/>
        <v>135.226</v>
      </c>
      <c r="V59" s="2"/>
      <c r="W59" s="4"/>
      <c r="X59" s="4"/>
      <c r="Y59" s="4"/>
      <c r="Z59" s="2"/>
      <c r="AA59" s="4"/>
      <c r="AB59" s="4"/>
      <c r="AC59" s="4"/>
      <c r="AD59" s="2"/>
      <c r="AE59" s="2"/>
      <c r="AF59" s="2"/>
      <c r="AG59" s="2"/>
      <c r="AH59" s="2"/>
      <c r="AI59" s="5"/>
      <c r="AJ59" s="2"/>
      <c r="AK59" s="2"/>
      <c r="AL59" s="2"/>
      <c r="AM59" s="2"/>
      <c r="AN59" s="2"/>
      <c r="AO59" s="2"/>
      <c r="AP59" s="5"/>
      <c r="AQ59" s="5"/>
    </row>
    <row r="60">
      <c r="A60" s="2"/>
      <c r="B60" s="5"/>
      <c r="C60" s="2"/>
      <c r="D60" s="55"/>
      <c r="E60" s="55"/>
      <c r="F60" s="55"/>
      <c r="G60" s="13"/>
      <c r="H60" s="13" t="s">
        <v>82</v>
      </c>
      <c r="I60" s="2"/>
      <c r="J60" s="39">
        <f t="shared" ref="J60:U60" si="16">J58+J59</f>
        <v>1741.424533</v>
      </c>
      <c r="K60" s="39">
        <f t="shared" si="16"/>
        <v>630.3832889</v>
      </c>
      <c r="L60" s="39">
        <f t="shared" si="16"/>
        <v>1525.7424</v>
      </c>
      <c r="M60" s="39">
        <f t="shared" si="16"/>
        <v>915.6460444</v>
      </c>
      <c r="N60" s="39">
        <f t="shared" si="16"/>
        <v>1280.8432</v>
      </c>
      <c r="O60" s="39">
        <f t="shared" si="16"/>
        <v>1628.730133</v>
      </c>
      <c r="P60" s="39">
        <f t="shared" si="16"/>
        <v>480.5285333</v>
      </c>
      <c r="Q60" s="39">
        <f t="shared" si="16"/>
        <v>463.9301333</v>
      </c>
      <c r="R60" s="39">
        <f t="shared" si="16"/>
        <v>1270.473244</v>
      </c>
      <c r="S60" s="39">
        <f t="shared" si="16"/>
        <v>478.5872</v>
      </c>
      <c r="T60" s="39">
        <f t="shared" si="16"/>
        <v>582.9338667</v>
      </c>
      <c r="U60" s="39">
        <f t="shared" si="16"/>
        <v>216.3616</v>
      </c>
      <c r="V60" s="2"/>
      <c r="W60" s="4"/>
      <c r="X60" s="4"/>
      <c r="Y60" s="4"/>
      <c r="Z60" s="2"/>
      <c r="AA60" s="4"/>
      <c r="AB60" s="4"/>
      <c r="AC60" s="4"/>
      <c r="AD60" s="2"/>
      <c r="AE60" s="2"/>
      <c r="AF60" s="2"/>
      <c r="AG60" s="2"/>
      <c r="AH60" s="2"/>
      <c r="AI60" s="5"/>
      <c r="AJ60" s="2"/>
      <c r="AK60" s="2"/>
      <c r="AL60" s="2"/>
      <c r="AM60" s="2"/>
      <c r="AN60" s="2"/>
      <c r="AO60" s="2"/>
      <c r="AP60" s="5"/>
      <c r="AQ60" s="5"/>
    </row>
    <row r="61">
      <c r="A61" s="2"/>
      <c r="B61" s="5"/>
      <c r="C61" s="2"/>
      <c r="D61" s="55"/>
      <c r="E61" s="55"/>
      <c r="F61" s="55"/>
      <c r="G61" s="13"/>
      <c r="H61" s="13"/>
      <c r="I61" s="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2"/>
      <c r="W61" s="4"/>
      <c r="X61" s="4"/>
      <c r="Y61" s="4"/>
      <c r="Z61" s="2"/>
      <c r="AA61" s="4"/>
      <c r="AB61" s="4"/>
      <c r="AC61" s="4"/>
      <c r="AD61" s="2"/>
      <c r="AE61" s="2"/>
      <c r="AF61" s="2"/>
      <c r="AG61" s="2"/>
      <c r="AH61" s="2"/>
      <c r="AI61" s="5"/>
      <c r="AJ61" s="2"/>
      <c r="AK61" s="2"/>
      <c r="AL61" s="2"/>
      <c r="AM61" s="2"/>
      <c r="AN61" s="2"/>
      <c r="AO61" s="2"/>
      <c r="AP61" s="5"/>
      <c r="AQ61" s="5"/>
    </row>
    <row r="62">
      <c r="A62" s="2"/>
      <c r="B62" s="5"/>
      <c r="C62" s="2"/>
      <c r="D62" s="55"/>
      <c r="E62" s="55"/>
      <c r="F62" s="55"/>
      <c r="G62" s="13">
        <v>1.0</v>
      </c>
      <c r="H62" s="13">
        <v>30.0</v>
      </c>
      <c r="I62" s="2"/>
      <c r="J62" s="4">
        <f t="shared" ref="J62:U62" si="17">if($F$10&lt;=$H$62,J56+J60,0)</f>
        <v>0</v>
      </c>
      <c r="K62" s="4">
        <f t="shared" si="17"/>
        <v>0</v>
      </c>
      <c r="L62" s="4">
        <f t="shared" si="17"/>
        <v>0</v>
      </c>
      <c r="M62" s="4">
        <f t="shared" si="17"/>
        <v>0</v>
      </c>
      <c r="N62" s="4">
        <f t="shared" si="17"/>
        <v>0</v>
      </c>
      <c r="O62" s="4">
        <f t="shared" si="17"/>
        <v>0</v>
      </c>
      <c r="P62" s="4">
        <f t="shared" si="17"/>
        <v>0</v>
      </c>
      <c r="Q62" s="4">
        <f t="shared" si="17"/>
        <v>0</v>
      </c>
      <c r="R62" s="4">
        <f t="shared" si="17"/>
        <v>0</v>
      </c>
      <c r="S62" s="4">
        <f t="shared" si="17"/>
        <v>0</v>
      </c>
      <c r="T62" s="4">
        <f t="shared" si="17"/>
        <v>0</v>
      </c>
      <c r="U62" s="4">
        <f t="shared" si="17"/>
        <v>0</v>
      </c>
      <c r="V62" s="2"/>
      <c r="W62" s="4"/>
      <c r="X62" s="4"/>
      <c r="Y62" s="4"/>
      <c r="Z62" s="2"/>
      <c r="AA62" s="4"/>
      <c r="AB62" s="4"/>
      <c r="AC62" s="4"/>
      <c r="AD62" s="2"/>
      <c r="AE62" s="2"/>
      <c r="AF62" s="2"/>
      <c r="AG62" s="2"/>
      <c r="AH62" s="2"/>
      <c r="AI62" s="5"/>
      <c r="AJ62" s="2"/>
      <c r="AK62" s="2"/>
      <c r="AL62" s="2"/>
      <c r="AM62" s="2"/>
      <c r="AN62" s="2"/>
      <c r="AO62" s="2"/>
      <c r="AP62" s="5"/>
      <c r="AQ62" s="5"/>
    </row>
    <row r="63">
      <c r="A63" s="2"/>
      <c r="B63" s="5"/>
      <c r="C63" s="2"/>
      <c r="D63" s="2"/>
      <c r="E63" s="2"/>
      <c r="F63" s="3"/>
      <c r="G63" s="13">
        <v>2.0</v>
      </c>
      <c r="H63" s="13">
        <v>60.0</v>
      </c>
      <c r="I63" s="2"/>
      <c r="J63" s="4"/>
      <c r="K63" s="4">
        <f t="shared" ref="K63:V63" si="18">if(and($F$10&gt;$H$62,$F$10&lt;=$H$63),J56+J60,0)</f>
        <v>0</v>
      </c>
      <c r="L63" s="4">
        <f t="shared" si="18"/>
        <v>0</v>
      </c>
      <c r="M63" s="4">
        <f t="shared" si="18"/>
        <v>0</v>
      </c>
      <c r="N63" s="4">
        <f t="shared" si="18"/>
        <v>0</v>
      </c>
      <c r="O63" s="4">
        <f t="shared" si="18"/>
        <v>0</v>
      </c>
      <c r="P63" s="4">
        <f t="shared" si="18"/>
        <v>0</v>
      </c>
      <c r="Q63" s="4">
        <f t="shared" si="18"/>
        <v>0</v>
      </c>
      <c r="R63" s="4">
        <f t="shared" si="18"/>
        <v>0</v>
      </c>
      <c r="S63" s="4">
        <f t="shared" si="18"/>
        <v>0</v>
      </c>
      <c r="T63" s="4">
        <f t="shared" si="18"/>
        <v>0</v>
      </c>
      <c r="U63" s="4">
        <f t="shared" si="18"/>
        <v>0</v>
      </c>
      <c r="V63" s="4">
        <f t="shared" si="18"/>
        <v>0</v>
      </c>
      <c r="W63" s="4"/>
      <c r="X63" s="4"/>
      <c r="Y63" s="4"/>
      <c r="Z63" s="2"/>
      <c r="AA63" s="4"/>
      <c r="AB63" s="4"/>
      <c r="AC63" s="4"/>
      <c r="AD63" s="2"/>
      <c r="AE63" s="2"/>
      <c r="AF63" s="2"/>
      <c r="AG63" s="2"/>
      <c r="AH63" s="2"/>
      <c r="AI63" s="5"/>
      <c r="AJ63" s="2"/>
      <c r="AK63" s="2"/>
      <c r="AL63" s="2"/>
      <c r="AM63" s="2"/>
      <c r="AN63" s="2"/>
      <c r="AO63" s="2"/>
      <c r="AP63" s="5"/>
      <c r="AQ63" s="5"/>
    </row>
    <row r="64">
      <c r="A64" s="2"/>
      <c r="B64" s="5"/>
      <c r="C64" s="2"/>
      <c r="D64" s="2"/>
      <c r="E64" s="4"/>
      <c r="F64" s="4"/>
      <c r="G64" s="13">
        <v>3.0</v>
      </c>
      <c r="H64" s="13">
        <v>90.0</v>
      </c>
      <c r="I64" s="4"/>
      <c r="J64" s="4"/>
      <c r="K64" s="4"/>
      <c r="L64" s="4">
        <f t="shared" ref="L64:W64" si="19">if(and($F$10&gt;$H$63,$F$10&lt;=$H$64),J56+J60,0)</f>
        <v>0</v>
      </c>
      <c r="M64" s="4">
        <f t="shared" si="19"/>
        <v>0</v>
      </c>
      <c r="N64" s="4">
        <f t="shared" si="19"/>
        <v>0</v>
      </c>
      <c r="O64" s="4">
        <f t="shared" si="19"/>
        <v>0</v>
      </c>
      <c r="P64" s="4">
        <f t="shared" si="19"/>
        <v>0</v>
      </c>
      <c r="Q64" s="4">
        <f t="shared" si="19"/>
        <v>0</v>
      </c>
      <c r="R64" s="4">
        <f t="shared" si="19"/>
        <v>0</v>
      </c>
      <c r="S64" s="4">
        <f t="shared" si="19"/>
        <v>0</v>
      </c>
      <c r="T64" s="4">
        <f t="shared" si="19"/>
        <v>0</v>
      </c>
      <c r="U64" s="4">
        <f t="shared" si="19"/>
        <v>0</v>
      </c>
      <c r="V64" s="4">
        <f t="shared" si="19"/>
        <v>0</v>
      </c>
      <c r="W64" s="4">
        <f t="shared" si="19"/>
        <v>0</v>
      </c>
      <c r="X64" s="4"/>
      <c r="Y64" s="4"/>
      <c r="Z64" s="2"/>
      <c r="AA64" s="4"/>
      <c r="AB64" s="4"/>
      <c r="AC64" s="4"/>
      <c r="AD64" s="2"/>
      <c r="AE64" s="2"/>
      <c r="AF64" s="2"/>
      <c r="AG64" s="2"/>
      <c r="AH64" s="2"/>
      <c r="AI64" s="5"/>
      <c r="AJ64" s="2"/>
      <c r="AK64" s="2"/>
      <c r="AL64" s="2"/>
      <c r="AM64" s="2"/>
      <c r="AN64" s="2"/>
      <c r="AO64" s="2"/>
      <c r="AP64" s="5"/>
      <c r="AQ64" s="5"/>
    </row>
    <row r="65">
      <c r="A65" s="2"/>
      <c r="B65" s="5"/>
      <c r="C65" s="2"/>
      <c r="D65" s="2"/>
      <c r="E65" s="4"/>
      <c r="F65" s="4"/>
      <c r="G65" s="13">
        <v>4.0</v>
      </c>
      <c r="H65" s="13">
        <v>120.0</v>
      </c>
      <c r="I65" s="4"/>
      <c r="J65" s="4"/>
      <c r="K65" s="4"/>
      <c r="L65" s="4"/>
      <c r="M65" s="39">
        <f t="shared" ref="M65:X65" si="20">if(and($F$10&gt;$H$64,$F$10&lt;=$H$65),J56+J60,0)</f>
        <v>44798.62453</v>
      </c>
      <c r="N65" s="39">
        <f t="shared" si="20"/>
        <v>16216.78329</v>
      </c>
      <c r="O65" s="39">
        <f t="shared" si="20"/>
        <v>39250.1424</v>
      </c>
      <c r="P65" s="39">
        <f t="shared" si="20"/>
        <v>23555.24604</v>
      </c>
      <c r="Q65" s="39">
        <f t="shared" si="20"/>
        <v>32950.0432</v>
      </c>
      <c r="R65" s="39">
        <f t="shared" si="20"/>
        <v>41899.53013</v>
      </c>
      <c r="S65" s="39">
        <f t="shared" si="20"/>
        <v>12361.72853</v>
      </c>
      <c r="T65" s="39">
        <f t="shared" si="20"/>
        <v>11934.73013</v>
      </c>
      <c r="U65" s="39">
        <f t="shared" si="20"/>
        <v>32683.27324</v>
      </c>
      <c r="V65" s="39">
        <f t="shared" si="20"/>
        <v>12311.7872</v>
      </c>
      <c r="W65" s="39">
        <f t="shared" si="20"/>
        <v>14996.13387</v>
      </c>
      <c r="X65" s="39">
        <f t="shared" si="20"/>
        <v>5565.9616</v>
      </c>
      <c r="Y65" s="4"/>
      <c r="Z65" s="2"/>
      <c r="AA65" s="4"/>
      <c r="AB65" s="4"/>
      <c r="AC65" s="4"/>
      <c r="AD65" s="2"/>
      <c r="AE65" s="2"/>
      <c r="AF65" s="2"/>
      <c r="AG65" s="2"/>
      <c r="AH65" s="2"/>
      <c r="AI65" s="5"/>
      <c r="AJ65" s="2"/>
      <c r="AK65" s="2"/>
      <c r="AL65" s="2"/>
      <c r="AM65" s="2"/>
      <c r="AN65" s="2"/>
      <c r="AO65" s="2"/>
      <c r="AP65" s="5"/>
      <c r="AQ65" s="5"/>
    </row>
    <row r="66">
      <c r="A66" s="2"/>
      <c r="B66" s="5"/>
      <c r="C66" s="2"/>
      <c r="D66" s="2"/>
      <c r="E66" s="4"/>
      <c r="F66" s="4"/>
      <c r="G66" s="13">
        <v>5.0</v>
      </c>
      <c r="H66" s="13">
        <v>150.0</v>
      </c>
      <c r="I66" s="4"/>
      <c r="J66" s="4"/>
      <c r="K66" s="4"/>
      <c r="L66" s="4"/>
      <c r="M66" s="4"/>
      <c r="N66" s="4">
        <f t="shared" ref="N66:Y66" si="21">if(and($F$10&gt;$H$65,$F$10&lt;=$H$66),J56+J60,0)</f>
        <v>0</v>
      </c>
      <c r="O66" s="4">
        <f t="shared" si="21"/>
        <v>0</v>
      </c>
      <c r="P66" s="4">
        <f t="shared" si="21"/>
        <v>0</v>
      </c>
      <c r="Q66" s="4">
        <f t="shared" si="21"/>
        <v>0</v>
      </c>
      <c r="R66" s="4">
        <f t="shared" si="21"/>
        <v>0</v>
      </c>
      <c r="S66" s="4">
        <f t="shared" si="21"/>
        <v>0</v>
      </c>
      <c r="T66" s="4">
        <f t="shared" si="21"/>
        <v>0</v>
      </c>
      <c r="U66" s="4">
        <f t="shared" si="21"/>
        <v>0</v>
      </c>
      <c r="V66" s="4">
        <f t="shared" si="21"/>
        <v>0</v>
      </c>
      <c r="W66" s="4">
        <f t="shared" si="21"/>
        <v>0</v>
      </c>
      <c r="X66" s="4">
        <f t="shared" si="21"/>
        <v>0</v>
      </c>
      <c r="Y66" s="4">
        <f t="shared" si="21"/>
        <v>0</v>
      </c>
      <c r="Z66" s="2"/>
      <c r="AA66" s="4"/>
      <c r="AB66" s="4"/>
      <c r="AC66" s="4"/>
      <c r="AD66" s="2"/>
      <c r="AE66" s="2"/>
      <c r="AF66" s="2"/>
      <c r="AG66" s="2"/>
      <c r="AH66" s="2"/>
      <c r="AI66" s="5"/>
      <c r="AJ66" s="2"/>
      <c r="AK66" s="2"/>
      <c r="AL66" s="2"/>
      <c r="AM66" s="2"/>
      <c r="AN66" s="2"/>
      <c r="AO66" s="2"/>
      <c r="AP66" s="5"/>
      <c r="AQ66" s="5"/>
    </row>
    <row r="67">
      <c r="A67" s="2"/>
      <c r="B67" s="5"/>
      <c r="C67" s="2"/>
      <c r="D67" s="2"/>
      <c r="E67" s="4"/>
      <c r="F67" s="4"/>
      <c r="G67" s="13">
        <v>6.0</v>
      </c>
      <c r="H67" s="13">
        <v>180.0</v>
      </c>
      <c r="I67" s="4"/>
      <c r="J67" s="4"/>
      <c r="K67" s="4"/>
      <c r="L67" s="4"/>
      <c r="M67" s="4"/>
      <c r="N67" s="4"/>
      <c r="O67" s="4">
        <f t="shared" ref="O67:Z67" si="22">if(and($F$10&gt;$H$66,$F$10&lt;=$H$67),J56+J60,0)</f>
        <v>0</v>
      </c>
      <c r="P67" s="4">
        <f t="shared" si="22"/>
        <v>0</v>
      </c>
      <c r="Q67" s="4">
        <f t="shared" si="22"/>
        <v>0</v>
      </c>
      <c r="R67" s="4">
        <f t="shared" si="22"/>
        <v>0</v>
      </c>
      <c r="S67" s="4">
        <f t="shared" si="22"/>
        <v>0</v>
      </c>
      <c r="T67" s="4">
        <f t="shared" si="22"/>
        <v>0</v>
      </c>
      <c r="U67" s="4">
        <f t="shared" si="22"/>
        <v>0</v>
      </c>
      <c r="V67" s="4">
        <f t="shared" si="22"/>
        <v>0</v>
      </c>
      <c r="W67" s="4">
        <f t="shared" si="22"/>
        <v>0</v>
      </c>
      <c r="X67" s="4">
        <f t="shared" si="22"/>
        <v>0</v>
      </c>
      <c r="Y67" s="4">
        <f t="shared" si="22"/>
        <v>0</v>
      </c>
      <c r="Z67" s="4">
        <f t="shared" si="22"/>
        <v>0</v>
      </c>
      <c r="AA67" s="4"/>
      <c r="AB67" s="4"/>
      <c r="AC67" s="4"/>
      <c r="AD67" s="2"/>
      <c r="AE67" s="2"/>
      <c r="AF67" s="2"/>
      <c r="AG67" s="2"/>
      <c r="AH67" s="2"/>
      <c r="AI67" s="5"/>
      <c r="AJ67" s="2"/>
      <c r="AK67" s="2"/>
      <c r="AL67" s="2"/>
      <c r="AM67" s="2"/>
      <c r="AN67" s="2"/>
      <c r="AO67" s="2"/>
      <c r="AP67" s="5"/>
      <c r="AQ67" s="5"/>
    </row>
    <row r="68">
      <c r="A68" s="2"/>
      <c r="B68" s="5"/>
      <c r="C68" s="2"/>
      <c r="D68" s="2"/>
      <c r="E68" s="2"/>
      <c r="F68" s="2"/>
      <c r="G68" s="13">
        <v>7.0</v>
      </c>
      <c r="H68" s="13">
        <v>210.0</v>
      </c>
      <c r="I68" s="2"/>
      <c r="J68" s="4"/>
      <c r="K68" s="4"/>
      <c r="L68" s="4"/>
      <c r="M68" s="4"/>
      <c r="N68" s="4"/>
      <c r="O68" s="4"/>
      <c r="P68" s="4">
        <f t="shared" ref="P68:AA68" si="23">if(and($F$10&gt;$H$67,$F$10&lt;=$H$68),J56+J60,0)</f>
        <v>0</v>
      </c>
      <c r="Q68" s="4">
        <f t="shared" si="23"/>
        <v>0</v>
      </c>
      <c r="R68" s="4">
        <f t="shared" si="23"/>
        <v>0</v>
      </c>
      <c r="S68" s="4">
        <f t="shared" si="23"/>
        <v>0</v>
      </c>
      <c r="T68" s="4">
        <f t="shared" si="23"/>
        <v>0</v>
      </c>
      <c r="U68" s="4">
        <f t="shared" si="23"/>
        <v>0</v>
      </c>
      <c r="V68" s="4">
        <f t="shared" si="23"/>
        <v>0</v>
      </c>
      <c r="W68" s="4">
        <f t="shared" si="23"/>
        <v>0</v>
      </c>
      <c r="X68" s="4">
        <f t="shared" si="23"/>
        <v>0</v>
      </c>
      <c r="Y68" s="4">
        <f t="shared" si="23"/>
        <v>0</v>
      </c>
      <c r="Z68" s="4">
        <f t="shared" si="23"/>
        <v>0</v>
      </c>
      <c r="AA68" s="4">
        <f t="shared" si="23"/>
        <v>0</v>
      </c>
      <c r="AB68" s="4"/>
      <c r="AC68" s="4"/>
      <c r="AD68" s="2"/>
      <c r="AE68" s="2"/>
      <c r="AF68" s="2"/>
      <c r="AG68" s="2"/>
      <c r="AH68" s="2"/>
      <c r="AI68" s="5"/>
      <c r="AJ68" s="2"/>
      <c r="AK68" s="2"/>
      <c r="AL68" s="2"/>
      <c r="AM68" s="2"/>
      <c r="AN68" s="2"/>
      <c r="AO68" s="2"/>
      <c r="AP68" s="5"/>
      <c r="AQ68" s="5"/>
    </row>
    <row r="69">
      <c r="A69" s="2"/>
      <c r="B69" s="5"/>
      <c r="C69" s="2"/>
      <c r="D69" s="2"/>
      <c r="E69" s="2"/>
      <c r="F69" s="2"/>
      <c r="G69" s="13">
        <v>8.0</v>
      </c>
      <c r="H69" s="13">
        <v>240.0</v>
      </c>
      <c r="I69" s="2"/>
      <c r="J69" s="4"/>
      <c r="K69" s="4"/>
      <c r="L69" s="4"/>
      <c r="M69" s="4"/>
      <c r="N69" s="4"/>
      <c r="O69" s="4"/>
      <c r="P69" s="4"/>
      <c r="Q69" s="4">
        <f t="shared" ref="Q69:AB69" si="24">if(and($F$10&gt;$H$68,$F$10&lt;=$H$69),J56+J60,0)</f>
        <v>0</v>
      </c>
      <c r="R69" s="4">
        <f t="shared" si="24"/>
        <v>0</v>
      </c>
      <c r="S69" s="4">
        <f t="shared" si="24"/>
        <v>0</v>
      </c>
      <c r="T69" s="4">
        <f t="shared" si="24"/>
        <v>0</v>
      </c>
      <c r="U69" s="4">
        <f t="shared" si="24"/>
        <v>0</v>
      </c>
      <c r="V69" s="4">
        <f t="shared" si="24"/>
        <v>0</v>
      </c>
      <c r="W69" s="4">
        <f t="shared" si="24"/>
        <v>0</v>
      </c>
      <c r="X69" s="4">
        <f t="shared" si="24"/>
        <v>0</v>
      </c>
      <c r="Y69" s="4">
        <f t="shared" si="24"/>
        <v>0</v>
      </c>
      <c r="Z69" s="4">
        <f t="shared" si="24"/>
        <v>0</v>
      </c>
      <c r="AA69" s="4">
        <f t="shared" si="24"/>
        <v>0</v>
      </c>
      <c r="AB69" s="4">
        <f t="shared" si="24"/>
        <v>0</v>
      </c>
      <c r="AC69" s="4"/>
      <c r="AD69" s="2"/>
      <c r="AE69" s="2"/>
      <c r="AF69" s="2"/>
      <c r="AG69" s="2"/>
      <c r="AH69" s="2"/>
      <c r="AI69" s="5"/>
      <c r="AJ69" s="2"/>
      <c r="AK69" s="2"/>
      <c r="AL69" s="2"/>
      <c r="AM69" s="2"/>
      <c r="AN69" s="2"/>
      <c r="AO69" s="2"/>
      <c r="AP69" s="5"/>
      <c r="AQ69" s="5"/>
    </row>
    <row r="70">
      <c r="A70" s="2"/>
      <c r="B70" s="5"/>
      <c r="C70" s="2"/>
      <c r="D70" s="2"/>
      <c r="E70" s="2"/>
      <c r="F70" s="2"/>
      <c r="G70" s="13">
        <v>9.0</v>
      </c>
      <c r="H70" s="13">
        <v>270.0</v>
      </c>
      <c r="I70" s="2"/>
      <c r="J70" s="4"/>
      <c r="K70" s="4"/>
      <c r="L70" s="4"/>
      <c r="M70" s="4"/>
      <c r="N70" s="4"/>
      <c r="O70" s="4"/>
      <c r="P70" s="4"/>
      <c r="Q70" s="4"/>
      <c r="R70" s="4">
        <f t="shared" ref="R70:AC70" si="25">if(and($F$10&gt;$H$69,$F$10&lt;=$H$70),J56+J60,0)</f>
        <v>0</v>
      </c>
      <c r="S70" s="4">
        <f t="shared" si="25"/>
        <v>0</v>
      </c>
      <c r="T70" s="4">
        <f t="shared" si="25"/>
        <v>0</v>
      </c>
      <c r="U70" s="4">
        <f t="shared" si="25"/>
        <v>0</v>
      </c>
      <c r="V70" s="4">
        <f t="shared" si="25"/>
        <v>0</v>
      </c>
      <c r="W70" s="4">
        <f t="shared" si="25"/>
        <v>0</v>
      </c>
      <c r="X70" s="4">
        <f t="shared" si="25"/>
        <v>0</v>
      </c>
      <c r="Y70" s="4">
        <f t="shared" si="25"/>
        <v>0</v>
      </c>
      <c r="Z70" s="4">
        <f t="shared" si="25"/>
        <v>0</v>
      </c>
      <c r="AA70" s="4">
        <f t="shared" si="25"/>
        <v>0</v>
      </c>
      <c r="AB70" s="4">
        <f t="shared" si="25"/>
        <v>0</v>
      </c>
      <c r="AC70" s="4">
        <f t="shared" si="25"/>
        <v>0</v>
      </c>
      <c r="AD70" s="2"/>
      <c r="AE70" s="2"/>
      <c r="AF70" s="2"/>
      <c r="AG70" s="2"/>
      <c r="AH70" s="2"/>
      <c r="AI70" s="5"/>
      <c r="AJ70" s="2"/>
      <c r="AK70" s="2"/>
      <c r="AL70" s="2"/>
      <c r="AM70" s="2"/>
      <c r="AN70" s="2"/>
      <c r="AO70" s="2"/>
      <c r="AP70" s="5"/>
      <c r="AQ70" s="5"/>
    </row>
    <row r="71">
      <c r="A71" s="2"/>
      <c r="B71" s="5"/>
      <c r="C71" s="2"/>
      <c r="D71" s="2"/>
      <c r="E71" s="2"/>
      <c r="F71" s="2"/>
      <c r="G71" s="13">
        <v>10.0</v>
      </c>
      <c r="H71" s="13">
        <v>300.0</v>
      </c>
      <c r="I71" s="2"/>
      <c r="J71" s="4"/>
      <c r="K71" s="4"/>
      <c r="L71" s="4"/>
      <c r="M71" s="4"/>
      <c r="N71" s="4"/>
      <c r="O71" s="4"/>
      <c r="P71" s="4"/>
      <c r="Q71" s="4"/>
      <c r="R71" s="4"/>
      <c r="S71" s="4">
        <f t="shared" ref="S71:AD71" si="26">if(and($F$10&gt;$H$70,$F$10&lt;=$H$71),J56+J60,0)</f>
        <v>0</v>
      </c>
      <c r="T71" s="4">
        <f t="shared" si="26"/>
        <v>0</v>
      </c>
      <c r="U71" s="4">
        <f t="shared" si="26"/>
        <v>0</v>
      </c>
      <c r="V71" s="4">
        <f t="shared" si="26"/>
        <v>0</v>
      </c>
      <c r="W71" s="4">
        <f t="shared" si="26"/>
        <v>0</v>
      </c>
      <c r="X71" s="4">
        <f t="shared" si="26"/>
        <v>0</v>
      </c>
      <c r="Y71" s="4">
        <f t="shared" si="26"/>
        <v>0</v>
      </c>
      <c r="Z71" s="4">
        <f t="shared" si="26"/>
        <v>0</v>
      </c>
      <c r="AA71" s="4">
        <f t="shared" si="26"/>
        <v>0</v>
      </c>
      <c r="AB71" s="4">
        <f t="shared" si="26"/>
        <v>0</v>
      </c>
      <c r="AC71" s="4">
        <f t="shared" si="26"/>
        <v>0</v>
      </c>
      <c r="AD71" s="4">
        <f t="shared" si="26"/>
        <v>0</v>
      </c>
      <c r="AE71" s="2"/>
      <c r="AF71" s="2"/>
      <c r="AG71" s="2"/>
      <c r="AH71" s="2"/>
      <c r="AI71" s="5"/>
      <c r="AJ71" s="2"/>
      <c r="AK71" s="2"/>
      <c r="AL71" s="2"/>
      <c r="AM71" s="2"/>
      <c r="AN71" s="2"/>
      <c r="AO71" s="2"/>
      <c r="AP71" s="5"/>
      <c r="AQ71" s="5"/>
    </row>
    <row r="72">
      <c r="A72" s="2"/>
      <c r="B72" s="5"/>
      <c r="C72" s="2"/>
      <c r="D72" s="2"/>
      <c r="E72" s="2"/>
      <c r="F72" s="2"/>
      <c r="G72" s="13">
        <v>11.0</v>
      </c>
      <c r="H72" s="13">
        <v>330.0</v>
      </c>
      <c r="I72" s="2"/>
      <c r="J72" s="4"/>
      <c r="K72" s="4"/>
      <c r="L72" s="4"/>
      <c r="M72" s="4"/>
      <c r="N72" s="4"/>
      <c r="O72" s="4"/>
      <c r="P72" s="4"/>
      <c r="Q72" s="4"/>
      <c r="R72" s="4"/>
      <c r="S72" s="4"/>
      <c r="T72" s="4">
        <f t="shared" ref="T72:AE72" si="27">if(and($F$10&gt;$H$71,$F$10&lt;=$H$72),J56+J60,0)</f>
        <v>0</v>
      </c>
      <c r="U72" s="4">
        <f t="shared" si="27"/>
        <v>0</v>
      </c>
      <c r="V72" s="4">
        <f t="shared" si="27"/>
        <v>0</v>
      </c>
      <c r="W72" s="4">
        <f t="shared" si="27"/>
        <v>0</v>
      </c>
      <c r="X72" s="4">
        <f t="shared" si="27"/>
        <v>0</v>
      </c>
      <c r="Y72" s="4">
        <f t="shared" si="27"/>
        <v>0</v>
      </c>
      <c r="Z72" s="4">
        <f t="shared" si="27"/>
        <v>0</v>
      </c>
      <c r="AA72" s="4">
        <f t="shared" si="27"/>
        <v>0</v>
      </c>
      <c r="AB72" s="4">
        <f t="shared" si="27"/>
        <v>0</v>
      </c>
      <c r="AC72" s="4">
        <f t="shared" si="27"/>
        <v>0</v>
      </c>
      <c r="AD72" s="4">
        <f t="shared" si="27"/>
        <v>0</v>
      </c>
      <c r="AE72" s="4">
        <f t="shared" si="27"/>
        <v>0</v>
      </c>
      <c r="AF72" s="2"/>
      <c r="AG72" s="2"/>
      <c r="AH72" s="2"/>
      <c r="AI72" s="5"/>
      <c r="AJ72" s="2"/>
      <c r="AK72" s="2"/>
      <c r="AL72" s="2"/>
      <c r="AM72" s="2"/>
      <c r="AN72" s="2"/>
      <c r="AO72" s="2"/>
      <c r="AP72" s="5"/>
      <c r="AQ72" s="5"/>
    </row>
    <row r="73">
      <c r="A73" s="2"/>
      <c r="B73" s="5"/>
      <c r="C73" s="2"/>
      <c r="D73" s="2"/>
      <c r="E73" s="2"/>
      <c r="F73" s="2"/>
      <c r="G73" s="13">
        <v>12.0</v>
      </c>
      <c r="H73" s="13">
        <v>360.0</v>
      </c>
      <c r="I73" s="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>
        <f t="shared" ref="U73:AF73" si="28">if(and($F$10&gt;$H$72,$F$10&lt;=$H$73),J56+J60,0)</f>
        <v>0</v>
      </c>
      <c r="V73" s="4">
        <f t="shared" si="28"/>
        <v>0</v>
      </c>
      <c r="W73" s="4">
        <f t="shared" si="28"/>
        <v>0</v>
      </c>
      <c r="X73" s="4">
        <f t="shared" si="28"/>
        <v>0</v>
      </c>
      <c r="Y73" s="4">
        <f t="shared" si="28"/>
        <v>0</v>
      </c>
      <c r="Z73" s="4">
        <f t="shared" si="28"/>
        <v>0</v>
      </c>
      <c r="AA73" s="4">
        <f t="shared" si="28"/>
        <v>0</v>
      </c>
      <c r="AB73" s="4">
        <f t="shared" si="28"/>
        <v>0</v>
      </c>
      <c r="AC73" s="4">
        <f t="shared" si="28"/>
        <v>0</v>
      </c>
      <c r="AD73" s="4">
        <f t="shared" si="28"/>
        <v>0</v>
      </c>
      <c r="AE73" s="4">
        <f t="shared" si="28"/>
        <v>0</v>
      </c>
      <c r="AF73" s="4">
        <f t="shared" si="28"/>
        <v>0</v>
      </c>
      <c r="AG73" s="2"/>
      <c r="AH73" s="2"/>
      <c r="AI73" s="5"/>
      <c r="AJ73" s="2"/>
      <c r="AK73" s="2"/>
      <c r="AL73" s="2"/>
      <c r="AM73" s="2"/>
      <c r="AN73" s="2"/>
      <c r="AO73" s="2"/>
      <c r="AP73" s="5"/>
      <c r="AQ73" s="5"/>
    </row>
    <row r="74" ht="7.5" customHeight="1">
      <c r="A74" s="2"/>
      <c r="B74" s="5"/>
      <c r="C74" s="2"/>
      <c r="D74" s="2"/>
      <c r="E74" s="2"/>
      <c r="F74" s="2"/>
      <c r="G74" s="2"/>
      <c r="H74" s="2"/>
      <c r="I74" s="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2"/>
      <c r="W74" s="4"/>
      <c r="X74" s="4"/>
      <c r="Y74" s="4"/>
      <c r="Z74" s="2"/>
      <c r="AA74" s="4"/>
      <c r="AB74" s="4"/>
      <c r="AC74" s="4"/>
      <c r="AD74" s="2"/>
      <c r="AE74" s="2"/>
      <c r="AF74" s="2"/>
      <c r="AG74" s="2"/>
      <c r="AH74" s="2"/>
      <c r="AI74" s="5"/>
      <c r="AJ74" s="2"/>
      <c r="AK74" s="2"/>
      <c r="AL74" s="2"/>
      <c r="AM74" s="2"/>
      <c r="AN74" s="2"/>
      <c r="AO74" s="2"/>
      <c r="AP74" s="5"/>
      <c r="AQ74" s="5"/>
    </row>
    <row r="75">
      <c r="A75" s="2"/>
      <c r="B75" s="5"/>
      <c r="C75" s="2"/>
      <c r="D75" s="2"/>
      <c r="E75" s="2"/>
      <c r="F75" s="2"/>
      <c r="G75" s="2"/>
      <c r="H75" s="2" t="str">
        <f>H56</f>
        <v>Balance Due</v>
      </c>
      <c r="I75" s="2"/>
      <c r="J75" s="39">
        <f t="shared" ref="J75:AF75" si="29">sum(J62:J73)</f>
        <v>0</v>
      </c>
      <c r="K75" s="39">
        <f t="shared" si="29"/>
        <v>0</v>
      </c>
      <c r="L75" s="39">
        <f t="shared" si="29"/>
        <v>0</v>
      </c>
      <c r="M75" s="39">
        <f t="shared" si="29"/>
        <v>44798.62453</v>
      </c>
      <c r="N75" s="39">
        <f t="shared" si="29"/>
        <v>16216.78329</v>
      </c>
      <c r="O75" s="39">
        <f t="shared" si="29"/>
        <v>39250.1424</v>
      </c>
      <c r="P75" s="39">
        <f t="shared" si="29"/>
        <v>23555.24604</v>
      </c>
      <c r="Q75" s="39">
        <f t="shared" si="29"/>
        <v>32950.0432</v>
      </c>
      <c r="R75" s="39">
        <f t="shared" si="29"/>
        <v>41899.53013</v>
      </c>
      <c r="S75" s="39">
        <f t="shared" si="29"/>
        <v>12361.72853</v>
      </c>
      <c r="T75" s="39">
        <f t="shared" si="29"/>
        <v>11934.73013</v>
      </c>
      <c r="U75" s="39">
        <f t="shared" si="29"/>
        <v>32683.27324</v>
      </c>
      <c r="V75" s="39">
        <f t="shared" si="29"/>
        <v>12311.7872</v>
      </c>
      <c r="W75" s="39">
        <f t="shared" si="29"/>
        <v>14996.13387</v>
      </c>
      <c r="X75" s="39">
        <f t="shared" si="29"/>
        <v>5565.9616</v>
      </c>
      <c r="Y75" s="39">
        <f t="shared" si="29"/>
        <v>0</v>
      </c>
      <c r="Z75" s="39">
        <f t="shared" si="29"/>
        <v>0</v>
      </c>
      <c r="AA75" s="39">
        <f t="shared" si="29"/>
        <v>0</v>
      </c>
      <c r="AB75" s="39">
        <f t="shared" si="29"/>
        <v>0</v>
      </c>
      <c r="AC75" s="39">
        <f t="shared" si="29"/>
        <v>0</v>
      </c>
      <c r="AD75" s="39">
        <f t="shared" si="29"/>
        <v>0</v>
      </c>
      <c r="AE75" s="39">
        <f t="shared" si="29"/>
        <v>0</v>
      </c>
      <c r="AF75" s="39">
        <f t="shared" si="29"/>
        <v>0</v>
      </c>
      <c r="AG75" s="2"/>
      <c r="AH75" s="2"/>
      <c r="AI75" s="5"/>
      <c r="AJ75" s="2"/>
      <c r="AK75" s="2"/>
      <c r="AL75" s="2"/>
      <c r="AM75" s="2"/>
      <c r="AN75" s="2"/>
      <c r="AO75" s="2"/>
      <c r="AP75" s="5"/>
      <c r="AQ75" s="5"/>
    </row>
    <row r="76">
      <c r="A76" s="2"/>
      <c r="B76" s="5"/>
      <c r="C76" s="2"/>
      <c r="D76" s="2"/>
      <c r="E76" s="2"/>
      <c r="F76" s="2"/>
      <c r="G76" s="2"/>
      <c r="H76" s="2"/>
      <c r="I76" s="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2"/>
      <c r="W76" s="4"/>
      <c r="X76" s="4"/>
      <c r="Y76" s="4"/>
      <c r="Z76" s="2"/>
      <c r="AA76" s="4"/>
      <c r="AB76" s="4"/>
      <c r="AC76" s="4"/>
      <c r="AD76" s="2"/>
      <c r="AE76" s="2"/>
      <c r="AF76" s="2"/>
      <c r="AG76" s="2"/>
      <c r="AH76" s="2"/>
      <c r="AI76" s="5"/>
      <c r="AJ76" s="2"/>
      <c r="AK76" s="2"/>
      <c r="AL76" s="2"/>
      <c r="AM76" s="2"/>
      <c r="AN76" s="2"/>
      <c r="AO76" s="2"/>
      <c r="AP76" s="5"/>
      <c r="AQ76" s="5"/>
    </row>
    <row r="77">
      <c r="A77" s="2"/>
      <c r="B77" s="5"/>
      <c r="C77" s="2"/>
      <c r="D77" s="2"/>
      <c r="E77" s="2"/>
      <c r="F77" s="2"/>
      <c r="G77" s="2"/>
      <c r="H77" s="2"/>
      <c r="I77" s="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2"/>
      <c r="W77" s="4"/>
      <c r="X77" s="4"/>
      <c r="Y77" s="4"/>
      <c r="Z77" s="2"/>
      <c r="AA77" s="4"/>
      <c r="AB77" s="4"/>
      <c r="AC77" s="4"/>
      <c r="AD77" s="2"/>
      <c r="AE77" s="2"/>
      <c r="AF77" s="2"/>
      <c r="AG77" s="2"/>
      <c r="AH77" s="2"/>
      <c r="AI77" s="5"/>
      <c r="AJ77" s="2"/>
      <c r="AK77" s="2"/>
      <c r="AL77" s="2"/>
      <c r="AM77" s="2"/>
      <c r="AN77" s="2"/>
      <c r="AO77" s="2"/>
      <c r="AP77" s="5"/>
      <c r="AQ77" s="5"/>
    </row>
    <row r="78">
      <c r="A78" s="2"/>
      <c r="B78" s="5"/>
      <c r="C78" s="2"/>
      <c r="D78" s="74" t="s">
        <v>83</v>
      </c>
      <c r="F78" s="2"/>
      <c r="G78" s="2"/>
      <c r="H78" s="75" t="str">
        <f t="shared" ref="H78:H80" si="31">J7</f>
        <v>10 ft</v>
      </c>
      <c r="I78" s="75"/>
      <c r="J78" s="76">
        <f t="shared" ref="J78:U78" si="30">if(J45=0,0,if(J44="Sea",$K$7,if(J44="Air",$L$7,$M$7)+if($J$42="yes",$H$7,0)))</f>
        <v>7500</v>
      </c>
      <c r="K78" s="76">
        <f t="shared" si="30"/>
        <v>3500</v>
      </c>
      <c r="L78" s="76">
        <f t="shared" si="30"/>
        <v>9000</v>
      </c>
      <c r="M78" s="76">
        <f t="shared" si="30"/>
        <v>9000</v>
      </c>
      <c r="N78" s="76">
        <f t="shared" si="30"/>
        <v>3500</v>
      </c>
      <c r="O78" s="76">
        <f t="shared" si="30"/>
        <v>7500</v>
      </c>
      <c r="P78" s="76">
        <f t="shared" si="30"/>
        <v>9000</v>
      </c>
      <c r="Q78" s="76">
        <f t="shared" si="30"/>
        <v>3500</v>
      </c>
      <c r="R78" s="76">
        <f t="shared" si="30"/>
        <v>7500</v>
      </c>
      <c r="S78" s="76">
        <f t="shared" si="30"/>
        <v>9000</v>
      </c>
      <c r="T78" s="76">
        <f t="shared" si="30"/>
        <v>3500</v>
      </c>
      <c r="U78" s="76">
        <f t="shared" si="30"/>
        <v>9000</v>
      </c>
      <c r="V78" s="2"/>
      <c r="W78" s="4"/>
      <c r="X78" s="4"/>
      <c r="Y78" s="4"/>
      <c r="Z78" s="2"/>
      <c r="AA78" s="4"/>
      <c r="AB78" s="4"/>
      <c r="AC78" s="4"/>
      <c r="AD78" s="2"/>
      <c r="AE78" s="2"/>
      <c r="AF78" s="2"/>
      <c r="AG78" s="2"/>
      <c r="AH78" s="2"/>
      <c r="AI78" s="5"/>
      <c r="AJ78" s="2"/>
      <c r="AK78" s="2"/>
      <c r="AL78" s="2"/>
      <c r="AM78" s="2"/>
      <c r="AN78" s="2"/>
      <c r="AO78" s="2"/>
      <c r="AP78" s="5"/>
      <c r="AQ78" s="5"/>
    </row>
    <row r="79">
      <c r="A79" s="2"/>
      <c r="B79" s="5"/>
      <c r="C79" s="2"/>
      <c r="D79" s="2"/>
      <c r="E79" s="2"/>
      <c r="F79" s="2"/>
      <c r="G79" s="2"/>
      <c r="H79" s="75" t="str">
        <f t="shared" si="31"/>
        <v>20 ft</v>
      </c>
      <c r="I79" s="75"/>
      <c r="J79" s="76">
        <f>if(J45=0,0,if(J44="Sea",$K$8,if(J44="Air",$L$8,$M$8)+if($J$42="yes",$H$8,0)))</f>
        <v>14000</v>
      </c>
      <c r="K79" s="76">
        <f t="shared" ref="K79:U79" si="32">if(K45=0,0,if(K44="Sea",$K$8,if(K44="Air",$L$8,$M$8)))</f>
        <v>8000</v>
      </c>
      <c r="L79" s="76">
        <f t="shared" si="32"/>
        <v>11500</v>
      </c>
      <c r="M79" s="76">
        <f t="shared" si="32"/>
        <v>11500</v>
      </c>
      <c r="N79" s="76">
        <f t="shared" si="32"/>
        <v>8000</v>
      </c>
      <c r="O79" s="76">
        <f t="shared" si="32"/>
        <v>10000</v>
      </c>
      <c r="P79" s="76">
        <f t="shared" si="32"/>
        <v>11500</v>
      </c>
      <c r="Q79" s="76">
        <f t="shared" si="32"/>
        <v>8000</v>
      </c>
      <c r="R79" s="76">
        <f t="shared" si="32"/>
        <v>10000</v>
      </c>
      <c r="S79" s="76">
        <f t="shared" si="32"/>
        <v>11500</v>
      </c>
      <c r="T79" s="76">
        <f t="shared" si="32"/>
        <v>8000</v>
      </c>
      <c r="U79" s="76">
        <f t="shared" si="32"/>
        <v>11500</v>
      </c>
      <c r="V79" s="2"/>
      <c r="W79" s="4"/>
      <c r="X79" s="4"/>
      <c r="Y79" s="4"/>
      <c r="Z79" s="2"/>
      <c r="AA79" s="4"/>
      <c r="AB79" s="4"/>
      <c r="AC79" s="4"/>
      <c r="AD79" s="2"/>
      <c r="AE79" s="2"/>
      <c r="AF79" s="2"/>
      <c r="AG79" s="2"/>
      <c r="AH79" s="2"/>
      <c r="AI79" s="5"/>
      <c r="AJ79" s="2"/>
      <c r="AK79" s="2"/>
      <c r="AL79" s="2"/>
      <c r="AM79" s="2"/>
      <c r="AN79" s="2"/>
      <c r="AO79" s="2"/>
      <c r="AP79" s="5"/>
      <c r="AQ79" s="5"/>
    </row>
    <row r="80">
      <c r="A80" s="2"/>
      <c r="B80" s="5"/>
      <c r="C80" s="2"/>
      <c r="D80" s="2"/>
      <c r="E80" s="2"/>
      <c r="F80" s="2"/>
      <c r="G80" s="2"/>
      <c r="H80" s="75" t="str">
        <f t="shared" si="31"/>
        <v>40 ft</v>
      </c>
      <c r="I80" s="75"/>
      <c r="J80" s="76">
        <f t="shared" ref="J80:U80" si="33">if(J45=0,0,if(J44="Sea",$K$9,if(J44="Air",$L$9,$M$9)+if($J$42="yes",$H$9,0)))</f>
        <v>20000</v>
      </c>
      <c r="K80" s="76">
        <f t="shared" si="33"/>
        <v>12000</v>
      </c>
      <c r="L80" s="76">
        <f t="shared" si="33"/>
        <v>21500</v>
      </c>
      <c r="M80" s="76">
        <f t="shared" si="33"/>
        <v>21500</v>
      </c>
      <c r="N80" s="76">
        <f t="shared" si="33"/>
        <v>12000</v>
      </c>
      <c r="O80" s="76">
        <f t="shared" si="33"/>
        <v>20000</v>
      </c>
      <c r="P80" s="76">
        <f t="shared" si="33"/>
        <v>21500</v>
      </c>
      <c r="Q80" s="76">
        <f t="shared" si="33"/>
        <v>12000</v>
      </c>
      <c r="R80" s="76">
        <f t="shared" si="33"/>
        <v>20000</v>
      </c>
      <c r="S80" s="76">
        <f t="shared" si="33"/>
        <v>21500</v>
      </c>
      <c r="T80" s="76">
        <f t="shared" si="33"/>
        <v>12000</v>
      </c>
      <c r="U80" s="76">
        <f t="shared" si="33"/>
        <v>21500</v>
      </c>
      <c r="V80" s="2"/>
      <c r="W80" s="4"/>
      <c r="X80" s="4"/>
      <c r="Y80" s="4"/>
      <c r="Z80" s="2"/>
      <c r="AA80" s="4"/>
      <c r="AB80" s="4"/>
      <c r="AC80" s="4"/>
      <c r="AD80" s="2"/>
      <c r="AE80" s="2"/>
      <c r="AF80" s="2"/>
      <c r="AG80" s="2"/>
      <c r="AH80" s="2"/>
      <c r="AI80" s="5"/>
      <c r="AJ80" s="2"/>
      <c r="AK80" s="2"/>
      <c r="AL80" s="2"/>
      <c r="AM80" s="2"/>
      <c r="AN80" s="2"/>
      <c r="AO80" s="2"/>
      <c r="AP80" s="5"/>
      <c r="AQ80" s="5"/>
    </row>
    <row r="81">
      <c r="A81" s="2"/>
      <c r="B81" s="5"/>
      <c r="C81" s="2"/>
      <c r="D81" s="2"/>
      <c r="E81" s="2"/>
      <c r="F81" s="2"/>
      <c r="G81" s="2"/>
      <c r="H81" s="2"/>
      <c r="I81" s="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2"/>
      <c r="W81" s="4"/>
      <c r="X81" s="4"/>
      <c r="Y81" s="4"/>
      <c r="Z81" s="2"/>
      <c r="AA81" s="4"/>
      <c r="AB81" s="4"/>
      <c r="AC81" s="4"/>
      <c r="AD81" s="2"/>
      <c r="AE81" s="2"/>
      <c r="AF81" s="2"/>
      <c r="AG81" s="2"/>
      <c r="AH81" s="2"/>
      <c r="AI81" s="5"/>
      <c r="AJ81" s="2"/>
      <c r="AK81" s="2"/>
      <c r="AL81" s="2"/>
      <c r="AM81" s="2"/>
      <c r="AN81" s="2"/>
      <c r="AO81" s="2"/>
      <c r="AP81" s="5"/>
      <c r="AQ81" s="5"/>
    </row>
    <row r="82">
      <c r="A82" s="2"/>
      <c r="B82" s="5"/>
      <c r="C82" s="2"/>
      <c r="D82" s="2"/>
      <c r="E82" s="2"/>
      <c r="F82" s="2"/>
      <c r="G82" s="2"/>
      <c r="H82" s="2"/>
      <c r="I82" s="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2"/>
      <c r="W82" s="4"/>
      <c r="X82" s="4"/>
      <c r="Y82" s="4"/>
      <c r="Z82" s="2"/>
      <c r="AA82" s="4"/>
      <c r="AB82" s="4"/>
      <c r="AC82" s="4"/>
      <c r="AD82" s="2"/>
      <c r="AE82" s="2"/>
      <c r="AF82" s="2"/>
      <c r="AG82" s="2"/>
      <c r="AH82" s="2"/>
      <c r="AI82" s="5"/>
      <c r="AJ82" s="2"/>
      <c r="AK82" s="2"/>
      <c r="AL82" s="2"/>
      <c r="AM82" s="2"/>
      <c r="AN82" s="2"/>
      <c r="AO82" s="2"/>
      <c r="AP82" s="5"/>
      <c r="AQ82" s="5"/>
    </row>
    <row r="83">
      <c r="A83" s="2"/>
      <c r="B83" s="5"/>
      <c r="C83" s="2"/>
      <c r="D83" s="77" t="s">
        <v>84</v>
      </c>
      <c r="F83" s="2"/>
      <c r="G83" s="13"/>
      <c r="H83" s="13" t="s">
        <v>85</v>
      </c>
      <c r="I83" s="2"/>
      <c r="J83" s="39">
        <f t="shared" ref="J83:U83" si="34">if(J45=0,0,if(J43="10 ft",J78*J45,if(J43="20 ft",J79*J45,J80*J45)))</f>
        <v>7500</v>
      </c>
      <c r="K83" s="39">
        <f t="shared" si="34"/>
        <v>12000</v>
      </c>
      <c r="L83" s="39">
        <f t="shared" si="34"/>
        <v>43000</v>
      </c>
      <c r="M83" s="39">
        <f t="shared" si="34"/>
        <v>11500</v>
      </c>
      <c r="N83" s="39">
        <f t="shared" si="34"/>
        <v>5250</v>
      </c>
      <c r="O83" s="39">
        <f t="shared" si="34"/>
        <v>20000</v>
      </c>
      <c r="P83" s="39">
        <f t="shared" si="34"/>
        <v>21500</v>
      </c>
      <c r="Q83" s="39">
        <f t="shared" si="34"/>
        <v>4375</v>
      </c>
      <c r="R83" s="39">
        <f t="shared" si="34"/>
        <v>7500</v>
      </c>
      <c r="S83" s="39">
        <f t="shared" si="34"/>
        <v>11500</v>
      </c>
      <c r="T83" s="39">
        <f t="shared" si="34"/>
        <v>12000</v>
      </c>
      <c r="U83" s="39">
        <f t="shared" si="34"/>
        <v>11500</v>
      </c>
      <c r="V83" s="2"/>
      <c r="W83" s="4"/>
      <c r="X83" s="4"/>
      <c r="Y83" s="4"/>
      <c r="Z83" s="2"/>
      <c r="AA83" s="4"/>
      <c r="AB83" s="4"/>
      <c r="AC83" s="4"/>
      <c r="AD83" s="2"/>
      <c r="AE83" s="2"/>
      <c r="AF83" s="2"/>
      <c r="AG83" s="2"/>
      <c r="AH83" s="2"/>
      <c r="AI83" s="5"/>
      <c r="AJ83" s="2"/>
      <c r="AK83" s="2"/>
      <c r="AL83" s="2"/>
      <c r="AM83" s="2"/>
      <c r="AN83" s="2"/>
      <c r="AO83" s="2"/>
      <c r="AP83" s="5"/>
      <c r="AQ83" s="5"/>
    </row>
    <row r="84">
      <c r="A84" s="2"/>
      <c r="B84" s="5"/>
      <c r="C84" s="2"/>
      <c r="D84" s="2"/>
      <c r="E84" s="2"/>
      <c r="F84" s="2"/>
      <c r="G84" s="13"/>
      <c r="H84" s="13"/>
      <c r="I84" s="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2"/>
      <c r="W84" s="4"/>
      <c r="X84" s="4"/>
      <c r="Y84" s="4"/>
      <c r="Z84" s="2"/>
      <c r="AA84" s="4"/>
      <c r="AB84" s="4"/>
      <c r="AC84" s="4"/>
      <c r="AD84" s="2"/>
      <c r="AE84" s="2"/>
      <c r="AF84" s="2"/>
      <c r="AG84" s="2"/>
      <c r="AH84" s="2"/>
      <c r="AI84" s="5"/>
      <c r="AJ84" s="2"/>
      <c r="AK84" s="2"/>
      <c r="AL84" s="2"/>
      <c r="AM84" s="2"/>
      <c r="AN84" s="2"/>
      <c r="AO84" s="2"/>
      <c r="AP84" s="5"/>
      <c r="AQ84" s="5"/>
    </row>
    <row r="85">
      <c r="A85" s="2"/>
      <c r="B85" s="5"/>
      <c r="C85" s="2"/>
      <c r="D85" s="2"/>
      <c r="E85" s="2"/>
      <c r="F85" s="2"/>
      <c r="G85" s="13">
        <v>1.0</v>
      </c>
      <c r="H85" s="13">
        <v>30.0</v>
      </c>
      <c r="I85" s="2"/>
      <c r="J85" s="4">
        <f t="shared" ref="J85:U85" si="35">if($F$6&lt;=$H$85,J83,0)</f>
        <v>0</v>
      </c>
      <c r="K85" s="4">
        <f t="shared" si="35"/>
        <v>0</v>
      </c>
      <c r="L85" s="4">
        <f t="shared" si="35"/>
        <v>0</v>
      </c>
      <c r="M85" s="4">
        <f t="shared" si="35"/>
        <v>0</v>
      </c>
      <c r="N85" s="4">
        <f t="shared" si="35"/>
        <v>0</v>
      </c>
      <c r="O85" s="4">
        <f t="shared" si="35"/>
        <v>0</v>
      </c>
      <c r="P85" s="4">
        <f t="shared" si="35"/>
        <v>0</v>
      </c>
      <c r="Q85" s="4">
        <f t="shared" si="35"/>
        <v>0</v>
      </c>
      <c r="R85" s="4">
        <f t="shared" si="35"/>
        <v>0</v>
      </c>
      <c r="S85" s="4">
        <f t="shared" si="35"/>
        <v>0</v>
      </c>
      <c r="T85" s="4">
        <f t="shared" si="35"/>
        <v>0</v>
      </c>
      <c r="U85" s="4">
        <f t="shared" si="35"/>
        <v>0</v>
      </c>
      <c r="V85" s="2"/>
      <c r="W85" s="4"/>
      <c r="X85" s="4"/>
      <c r="Y85" s="4"/>
      <c r="Z85" s="2"/>
      <c r="AA85" s="4"/>
      <c r="AB85" s="4"/>
      <c r="AC85" s="4"/>
      <c r="AD85" s="2"/>
      <c r="AE85" s="2"/>
      <c r="AF85" s="2"/>
      <c r="AG85" s="2"/>
      <c r="AH85" s="2"/>
      <c r="AI85" s="5"/>
      <c r="AJ85" s="2"/>
      <c r="AK85" s="2"/>
      <c r="AL85" s="2"/>
      <c r="AM85" s="2"/>
      <c r="AN85" s="2"/>
      <c r="AO85" s="2"/>
      <c r="AP85" s="5"/>
      <c r="AQ85" s="5"/>
    </row>
    <row r="86">
      <c r="A86" s="2"/>
      <c r="B86" s="5"/>
      <c r="C86" s="2"/>
      <c r="D86" s="2"/>
      <c r="E86" s="2"/>
      <c r="F86" s="2"/>
      <c r="G86" s="13">
        <v>2.0</v>
      </c>
      <c r="H86" s="13">
        <v>60.0</v>
      </c>
      <c r="I86" s="2"/>
      <c r="J86" s="4"/>
      <c r="K86" s="4">
        <f t="shared" ref="K86:V86" si="36">if(and($F$6&gt;$H$85,$F$6&lt;=$H$86),J83,0)</f>
        <v>0</v>
      </c>
      <c r="L86" s="4">
        <f t="shared" si="36"/>
        <v>0</v>
      </c>
      <c r="M86" s="4">
        <f t="shared" si="36"/>
        <v>0</v>
      </c>
      <c r="N86" s="4">
        <f t="shared" si="36"/>
        <v>0</v>
      </c>
      <c r="O86" s="4">
        <f t="shared" si="36"/>
        <v>0</v>
      </c>
      <c r="P86" s="4">
        <f t="shared" si="36"/>
        <v>0</v>
      </c>
      <c r="Q86" s="4">
        <f t="shared" si="36"/>
        <v>0</v>
      </c>
      <c r="R86" s="4">
        <f t="shared" si="36"/>
        <v>0</v>
      </c>
      <c r="S86" s="4">
        <f t="shared" si="36"/>
        <v>0</v>
      </c>
      <c r="T86" s="4">
        <f t="shared" si="36"/>
        <v>0</v>
      </c>
      <c r="U86" s="4">
        <f t="shared" si="36"/>
        <v>0</v>
      </c>
      <c r="V86" s="4">
        <f t="shared" si="36"/>
        <v>0</v>
      </c>
      <c r="W86" s="4"/>
      <c r="X86" s="4"/>
      <c r="Y86" s="4"/>
      <c r="Z86" s="2"/>
      <c r="AA86" s="4"/>
      <c r="AB86" s="4"/>
      <c r="AC86" s="4"/>
      <c r="AD86" s="2"/>
      <c r="AE86" s="2"/>
      <c r="AF86" s="2"/>
      <c r="AG86" s="2"/>
      <c r="AH86" s="2"/>
      <c r="AI86" s="5"/>
      <c r="AJ86" s="2"/>
      <c r="AK86" s="2"/>
      <c r="AL86" s="2"/>
      <c r="AM86" s="2"/>
      <c r="AN86" s="2"/>
      <c r="AO86" s="2"/>
      <c r="AP86" s="5"/>
      <c r="AQ86" s="5"/>
    </row>
    <row r="87">
      <c r="A87" s="2"/>
      <c r="B87" s="5"/>
      <c r="C87" s="2"/>
      <c r="D87" s="2"/>
      <c r="E87" s="2"/>
      <c r="F87" s="2"/>
      <c r="G87" s="13">
        <v>3.0</v>
      </c>
      <c r="H87" s="13">
        <v>90.0</v>
      </c>
      <c r="I87" s="4"/>
      <c r="J87" s="4"/>
      <c r="K87" s="4"/>
      <c r="L87" s="4">
        <f t="shared" ref="L87:W87" si="37">if(and($F$6&gt;$H$86,$F$6&lt;=$H$87),J83,0)</f>
        <v>0</v>
      </c>
      <c r="M87" s="4">
        <f t="shared" si="37"/>
        <v>0</v>
      </c>
      <c r="N87" s="4">
        <f t="shared" si="37"/>
        <v>0</v>
      </c>
      <c r="O87" s="4">
        <f t="shared" si="37"/>
        <v>0</v>
      </c>
      <c r="P87" s="4">
        <f t="shared" si="37"/>
        <v>0</v>
      </c>
      <c r="Q87" s="4">
        <f t="shared" si="37"/>
        <v>0</v>
      </c>
      <c r="R87" s="4">
        <f t="shared" si="37"/>
        <v>0</v>
      </c>
      <c r="S87" s="4">
        <f t="shared" si="37"/>
        <v>0</v>
      </c>
      <c r="T87" s="4">
        <f t="shared" si="37"/>
        <v>0</v>
      </c>
      <c r="U87" s="4">
        <f t="shared" si="37"/>
        <v>0</v>
      </c>
      <c r="V87" s="4">
        <f t="shared" si="37"/>
        <v>0</v>
      </c>
      <c r="W87" s="4">
        <f t="shared" si="37"/>
        <v>0</v>
      </c>
      <c r="X87" s="4"/>
      <c r="Y87" s="4"/>
      <c r="Z87" s="2"/>
      <c r="AA87" s="4"/>
      <c r="AB87" s="4"/>
      <c r="AC87" s="4"/>
      <c r="AD87" s="2"/>
      <c r="AE87" s="2"/>
      <c r="AF87" s="2"/>
      <c r="AG87" s="2"/>
      <c r="AH87" s="2"/>
      <c r="AI87" s="5"/>
      <c r="AJ87" s="2"/>
      <c r="AK87" s="2"/>
      <c r="AL87" s="2"/>
      <c r="AM87" s="2"/>
      <c r="AN87" s="2"/>
      <c r="AO87" s="2"/>
      <c r="AP87" s="5"/>
      <c r="AQ87" s="5"/>
    </row>
    <row r="88">
      <c r="A88" s="2"/>
      <c r="B88" s="5"/>
      <c r="C88" s="2"/>
      <c r="D88" s="2"/>
      <c r="E88" s="2"/>
      <c r="F88" s="2"/>
      <c r="G88" s="13">
        <v>4.0</v>
      </c>
      <c r="H88" s="13">
        <v>120.0</v>
      </c>
      <c r="I88" s="4"/>
      <c r="J88" s="4"/>
      <c r="K88" s="4"/>
      <c r="L88" s="4"/>
      <c r="M88" s="39">
        <f t="shared" ref="M88:X88" si="38">if(and($F$6&gt;$H$87,$F$6&lt;=$H$88),J83,0)</f>
        <v>7500</v>
      </c>
      <c r="N88" s="39">
        <f t="shared" si="38"/>
        <v>12000</v>
      </c>
      <c r="O88" s="39">
        <f t="shared" si="38"/>
        <v>43000</v>
      </c>
      <c r="P88" s="39">
        <f t="shared" si="38"/>
        <v>11500</v>
      </c>
      <c r="Q88" s="39">
        <f t="shared" si="38"/>
        <v>5250</v>
      </c>
      <c r="R88" s="39">
        <f t="shared" si="38"/>
        <v>20000</v>
      </c>
      <c r="S88" s="39">
        <f t="shared" si="38"/>
        <v>21500</v>
      </c>
      <c r="T88" s="39">
        <f t="shared" si="38"/>
        <v>4375</v>
      </c>
      <c r="U88" s="39">
        <f t="shared" si="38"/>
        <v>7500</v>
      </c>
      <c r="V88" s="39">
        <f t="shared" si="38"/>
        <v>11500</v>
      </c>
      <c r="W88" s="39">
        <f t="shared" si="38"/>
        <v>12000</v>
      </c>
      <c r="X88" s="39">
        <f t="shared" si="38"/>
        <v>11500</v>
      </c>
      <c r="Y88" s="4"/>
      <c r="Z88" s="2"/>
      <c r="AA88" s="4"/>
      <c r="AB88" s="4"/>
      <c r="AC88" s="4"/>
      <c r="AD88" s="2"/>
      <c r="AE88" s="2"/>
      <c r="AF88" s="2"/>
      <c r="AG88" s="2"/>
      <c r="AH88" s="2"/>
      <c r="AI88" s="5"/>
      <c r="AJ88" s="2"/>
      <c r="AK88" s="2"/>
      <c r="AL88" s="2"/>
      <c r="AM88" s="2"/>
      <c r="AN88" s="2"/>
      <c r="AO88" s="2"/>
      <c r="AP88" s="5"/>
      <c r="AQ88" s="5"/>
    </row>
    <row r="89">
      <c r="A89" s="2"/>
      <c r="B89" s="5"/>
      <c r="C89" s="2"/>
      <c r="D89" s="2"/>
      <c r="E89" s="2"/>
      <c r="F89" s="2"/>
      <c r="G89" s="13">
        <v>5.0</v>
      </c>
      <c r="H89" s="13">
        <v>150.0</v>
      </c>
      <c r="I89" s="4"/>
      <c r="J89" s="4"/>
      <c r="K89" s="4"/>
      <c r="L89" s="4"/>
      <c r="M89" s="4"/>
      <c r="N89" s="4">
        <f t="shared" ref="N89:Y89" si="39">if(and($F$6&gt;$H$88,$F$6&lt;=$H$89),J83,0)</f>
        <v>0</v>
      </c>
      <c r="O89" s="4">
        <f t="shared" si="39"/>
        <v>0</v>
      </c>
      <c r="P89" s="4">
        <f t="shared" si="39"/>
        <v>0</v>
      </c>
      <c r="Q89" s="4">
        <f t="shared" si="39"/>
        <v>0</v>
      </c>
      <c r="R89" s="4">
        <f t="shared" si="39"/>
        <v>0</v>
      </c>
      <c r="S89" s="4">
        <f t="shared" si="39"/>
        <v>0</v>
      </c>
      <c r="T89" s="4">
        <f t="shared" si="39"/>
        <v>0</v>
      </c>
      <c r="U89" s="4">
        <f t="shared" si="39"/>
        <v>0</v>
      </c>
      <c r="V89" s="4">
        <f t="shared" si="39"/>
        <v>0</v>
      </c>
      <c r="W89" s="4">
        <f t="shared" si="39"/>
        <v>0</v>
      </c>
      <c r="X89" s="4">
        <f t="shared" si="39"/>
        <v>0</v>
      </c>
      <c r="Y89" s="4">
        <f t="shared" si="39"/>
        <v>0</v>
      </c>
      <c r="Z89" s="2"/>
      <c r="AA89" s="4"/>
      <c r="AB89" s="4"/>
      <c r="AC89" s="4"/>
      <c r="AD89" s="2"/>
      <c r="AE89" s="2"/>
      <c r="AF89" s="2"/>
      <c r="AG89" s="2"/>
      <c r="AH89" s="2"/>
      <c r="AI89" s="5"/>
      <c r="AJ89" s="2"/>
      <c r="AK89" s="2"/>
      <c r="AL89" s="2"/>
      <c r="AM89" s="2"/>
      <c r="AN89" s="2"/>
      <c r="AO89" s="2"/>
      <c r="AP89" s="5"/>
      <c r="AQ89" s="5"/>
    </row>
    <row r="90">
      <c r="A90" s="2"/>
      <c r="B90" s="5"/>
      <c r="C90" s="2"/>
      <c r="D90" s="2"/>
      <c r="E90" s="2"/>
      <c r="F90" s="2"/>
      <c r="G90" s="13">
        <v>6.0</v>
      </c>
      <c r="H90" s="13">
        <v>180.0</v>
      </c>
      <c r="I90" s="4"/>
      <c r="J90" s="4"/>
      <c r="K90" s="4"/>
      <c r="L90" s="4"/>
      <c r="M90" s="4"/>
      <c r="N90" s="4"/>
      <c r="O90" s="4">
        <f t="shared" ref="O90:Z90" si="40">if(and($F$6&gt;$H$89,$F$6&lt;=$H$90),J83,0)</f>
        <v>0</v>
      </c>
      <c r="P90" s="4">
        <f t="shared" si="40"/>
        <v>0</v>
      </c>
      <c r="Q90" s="4">
        <f t="shared" si="40"/>
        <v>0</v>
      </c>
      <c r="R90" s="4">
        <f t="shared" si="40"/>
        <v>0</v>
      </c>
      <c r="S90" s="4">
        <f t="shared" si="40"/>
        <v>0</v>
      </c>
      <c r="T90" s="4">
        <f t="shared" si="40"/>
        <v>0</v>
      </c>
      <c r="U90" s="4">
        <f t="shared" si="40"/>
        <v>0</v>
      </c>
      <c r="V90" s="4">
        <f t="shared" si="40"/>
        <v>0</v>
      </c>
      <c r="W90" s="4">
        <f t="shared" si="40"/>
        <v>0</v>
      </c>
      <c r="X90" s="4">
        <f t="shared" si="40"/>
        <v>0</v>
      </c>
      <c r="Y90" s="4">
        <f t="shared" si="40"/>
        <v>0</v>
      </c>
      <c r="Z90" s="4">
        <f t="shared" si="40"/>
        <v>0</v>
      </c>
      <c r="AA90" s="4"/>
      <c r="AB90" s="4"/>
      <c r="AC90" s="4"/>
      <c r="AD90" s="2"/>
      <c r="AE90" s="2"/>
      <c r="AF90" s="2"/>
      <c r="AG90" s="2"/>
      <c r="AH90" s="2"/>
      <c r="AI90" s="5"/>
      <c r="AJ90" s="2"/>
      <c r="AK90" s="2"/>
      <c r="AL90" s="2"/>
      <c r="AM90" s="2"/>
      <c r="AN90" s="2"/>
      <c r="AO90" s="2"/>
      <c r="AP90" s="5"/>
      <c r="AQ90" s="5"/>
    </row>
    <row r="91">
      <c r="A91" s="2"/>
      <c r="B91" s="5"/>
      <c r="C91" s="2"/>
      <c r="D91" s="2"/>
      <c r="E91" s="2"/>
      <c r="F91" s="2"/>
      <c r="G91" s="13">
        <v>7.0</v>
      </c>
      <c r="H91" s="13">
        <v>210.0</v>
      </c>
      <c r="I91" s="2"/>
      <c r="J91" s="4"/>
      <c r="K91" s="4"/>
      <c r="L91" s="4"/>
      <c r="M91" s="4"/>
      <c r="N91" s="4"/>
      <c r="O91" s="4"/>
      <c r="P91" s="4">
        <f t="shared" ref="P91:AA91" si="41">if(and($F$6&gt;$H$90,$F$6&lt;=$H$91),J83,0)</f>
        <v>0</v>
      </c>
      <c r="Q91" s="4">
        <f t="shared" si="41"/>
        <v>0</v>
      </c>
      <c r="R91" s="4">
        <f t="shared" si="41"/>
        <v>0</v>
      </c>
      <c r="S91" s="4">
        <f t="shared" si="41"/>
        <v>0</v>
      </c>
      <c r="T91" s="4">
        <f t="shared" si="41"/>
        <v>0</v>
      </c>
      <c r="U91" s="4">
        <f t="shared" si="41"/>
        <v>0</v>
      </c>
      <c r="V91" s="4">
        <f t="shared" si="41"/>
        <v>0</v>
      </c>
      <c r="W91" s="4">
        <f t="shared" si="41"/>
        <v>0</v>
      </c>
      <c r="X91" s="4">
        <f t="shared" si="41"/>
        <v>0</v>
      </c>
      <c r="Y91" s="4">
        <f t="shared" si="41"/>
        <v>0</v>
      </c>
      <c r="Z91" s="4">
        <f t="shared" si="41"/>
        <v>0</v>
      </c>
      <c r="AA91" s="4">
        <f t="shared" si="41"/>
        <v>0</v>
      </c>
      <c r="AB91" s="4"/>
      <c r="AC91" s="4"/>
      <c r="AD91" s="2"/>
      <c r="AE91" s="2"/>
      <c r="AF91" s="2"/>
      <c r="AG91" s="2"/>
      <c r="AH91" s="2"/>
      <c r="AI91" s="5"/>
      <c r="AJ91" s="2"/>
      <c r="AK91" s="2"/>
      <c r="AL91" s="2"/>
      <c r="AM91" s="2"/>
      <c r="AN91" s="2"/>
      <c r="AO91" s="2"/>
      <c r="AP91" s="5"/>
      <c r="AQ91" s="5"/>
    </row>
    <row r="92">
      <c r="A92" s="2"/>
      <c r="B92" s="5"/>
      <c r="C92" s="2"/>
      <c r="D92" s="2"/>
      <c r="E92" s="2"/>
      <c r="F92" s="2"/>
      <c r="G92" s="13">
        <v>8.0</v>
      </c>
      <c r="H92" s="13">
        <v>240.0</v>
      </c>
      <c r="I92" s="2"/>
      <c r="J92" s="4"/>
      <c r="K92" s="4"/>
      <c r="L92" s="4"/>
      <c r="M92" s="4"/>
      <c r="N92" s="4"/>
      <c r="O92" s="4"/>
      <c r="P92" s="4"/>
      <c r="Q92" s="4">
        <f t="shared" ref="Q92:AB92" si="42">if(and($F$6&gt;$H$91,$F$6&lt;=$H$92),J83,0)</f>
        <v>0</v>
      </c>
      <c r="R92" s="4">
        <f t="shared" si="42"/>
        <v>0</v>
      </c>
      <c r="S92" s="4">
        <f t="shared" si="42"/>
        <v>0</v>
      </c>
      <c r="T92" s="4">
        <f t="shared" si="42"/>
        <v>0</v>
      </c>
      <c r="U92" s="4">
        <f t="shared" si="42"/>
        <v>0</v>
      </c>
      <c r="V92" s="4">
        <f t="shared" si="42"/>
        <v>0</v>
      </c>
      <c r="W92" s="4">
        <f t="shared" si="42"/>
        <v>0</v>
      </c>
      <c r="X92" s="4">
        <f t="shared" si="42"/>
        <v>0</v>
      </c>
      <c r="Y92" s="4">
        <f t="shared" si="42"/>
        <v>0</v>
      </c>
      <c r="Z92" s="4">
        <f t="shared" si="42"/>
        <v>0</v>
      </c>
      <c r="AA92" s="4">
        <f t="shared" si="42"/>
        <v>0</v>
      </c>
      <c r="AB92" s="4">
        <f t="shared" si="42"/>
        <v>0</v>
      </c>
      <c r="AC92" s="4"/>
      <c r="AD92" s="2"/>
      <c r="AE92" s="2"/>
      <c r="AF92" s="2"/>
      <c r="AG92" s="2"/>
      <c r="AH92" s="2"/>
      <c r="AI92" s="5"/>
      <c r="AJ92" s="2"/>
      <c r="AK92" s="2"/>
      <c r="AL92" s="2"/>
      <c r="AM92" s="2"/>
      <c r="AN92" s="2"/>
      <c r="AO92" s="2"/>
      <c r="AP92" s="5"/>
      <c r="AQ92" s="5"/>
    </row>
    <row r="93">
      <c r="A93" s="2"/>
      <c r="B93" s="5"/>
      <c r="C93" s="2"/>
      <c r="D93" s="2"/>
      <c r="E93" s="2"/>
      <c r="F93" s="2"/>
      <c r="G93" s="13">
        <v>9.0</v>
      </c>
      <c r="H93" s="13">
        <v>270.0</v>
      </c>
      <c r="I93" s="2"/>
      <c r="J93" s="4"/>
      <c r="K93" s="4"/>
      <c r="L93" s="4"/>
      <c r="M93" s="4"/>
      <c r="N93" s="4"/>
      <c r="O93" s="4"/>
      <c r="P93" s="4"/>
      <c r="Q93" s="4"/>
      <c r="R93" s="4">
        <f t="shared" ref="R93:AC93" si="43">if(and($F$6&gt;$H$92,$F$6&lt;=$H$93),J83,0)</f>
        <v>0</v>
      </c>
      <c r="S93" s="4">
        <f t="shared" si="43"/>
        <v>0</v>
      </c>
      <c r="T93" s="4">
        <f t="shared" si="43"/>
        <v>0</v>
      </c>
      <c r="U93" s="4">
        <f t="shared" si="43"/>
        <v>0</v>
      </c>
      <c r="V93" s="4">
        <f t="shared" si="43"/>
        <v>0</v>
      </c>
      <c r="W93" s="4">
        <f t="shared" si="43"/>
        <v>0</v>
      </c>
      <c r="X93" s="4">
        <f t="shared" si="43"/>
        <v>0</v>
      </c>
      <c r="Y93" s="4">
        <f t="shared" si="43"/>
        <v>0</v>
      </c>
      <c r="Z93" s="4">
        <f t="shared" si="43"/>
        <v>0</v>
      </c>
      <c r="AA93" s="4">
        <f t="shared" si="43"/>
        <v>0</v>
      </c>
      <c r="AB93" s="4">
        <f t="shared" si="43"/>
        <v>0</v>
      </c>
      <c r="AC93" s="4">
        <f t="shared" si="43"/>
        <v>0</v>
      </c>
      <c r="AD93" s="2"/>
      <c r="AE93" s="2"/>
      <c r="AF93" s="2"/>
      <c r="AG93" s="2"/>
      <c r="AH93" s="2"/>
      <c r="AI93" s="5"/>
      <c r="AJ93" s="2"/>
      <c r="AK93" s="2"/>
      <c r="AL93" s="2"/>
      <c r="AM93" s="2"/>
      <c r="AN93" s="2"/>
      <c r="AO93" s="2"/>
      <c r="AP93" s="5"/>
      <c r="AQ93" s="5"/>
    </row>
    <row r="94">
      <c r="A94" s="2"/>
      <c r="B94" s="5"/>
      <c r="C94" s="2"/>
      <c r="D94" s="2"/>
      <c r="E94" s="2"/>
      <c r="F94" s="2"/>
      <c r="G94" s="13">
        <v>10.0</v>
      </c>
      <c r="H94" s="13">
        <v>300.0</v>
      </c>
      <c r="I94" s="2"/>
      <c r="J94" s="4"/>
      <c r="K94" s="4"/>
      <c r="L94" s="4"/>
      <c r="M94" s="4"/>
      <c r="N94" s="4"/>
      <c r="O94" s="4"/>
      <c r="P94" s="4"/>
      <c r="Q94" s="4"/>
      <c r="R94" s="4"/>
      <c r="S94" s="4">
        <f t="shared" ref="S94:AD94" si="44">if(and($F$6&gt;$H$93,$F$6&lt;=$H$94),J83,0)</f>
        <v>0</v>
      </c>
      <c r="T94" s="4">
        <f t="shared" si="44"/>
        <v>0</v>
      </c>
      <c r="U94" s="4">
        <f t="shared" si="44"/>
        <v>0</v>
      </c>
      <c r="V94" s="4">
        <f t="shared" si="44"/>
        <v>0</v>
      </c>
      <c r="W94" s="4">
        <f t="shared" si="44"/>
        <v>0</v>
      </c>
      <c r="X94" s="4">
        <f t="shared" si="44"/>
        <v>0</v>
      </c>
      <c r="Y94" s="4">
        <f t="shared" si="44"/>
        <v>0</v>
      </c>
      <c r="Z94" s="4">
        <f t="shared" si="44"/>
        <v>0</v>
      </c>
      <c r="AA94" s="4">
        <f t="shared" si="44"/>
        <v>0</v>
      </c>
      <c r="AB94" s="4">
        <f t="shared" si="44"/>
        <v>0</v>
      </c>
      <c r="AC94" s="4">
        <f t="shared" si="44"/>
        <v>0</v>
      </c>
      <c r="AD94" s="4">
        <f t="shared" si="44"/>
        <v>0</v>
      </c>
      <c r="AE94" s="2"/>
      <c r="AF94" s="2"/>
      <c r="AG94" s="2"/>
      <c r="AH94" s="2"/>
      <c r="AI94" s="5"/>
      <c r="AJ94" s="2"/>
      <c r="AK94" s="2"/>
      <c r="AL94" s="2"/>
      <c r="AM94" s="2"/>
      <c r="AN94" s="2"/>
      <c r="AO94" s="2"/>
      <c r="AP94" s="5"/>
      <c r="AQ94" s="5"/>
    </row>
    <row r="95">
      <c r="A95" s="2"/>
      <c r="B95" s="5"/>
      <c r="C95" s="2"/>
      <c r="D95" s="2"/>
      <c r="E95" s="2"/>
      <c r="F95" s="2"/>
      <c r="G95" s="13">
        <v>11.0</v>
      </c>
      <c r="H95" s="13">
        <v>330.0</v>
      </c>
      <c r="I95" s="2"/>
      <c r="J95" s="4"/>
      <c r="K95" s="4"/>
      <c r="L95" s="4"/>
      <c r="M95" s="4"/>
      <c r="N95" s="4"/>
      <c r="O95" s="4"/>
      <c r="P95" s="4"/>
      <c r="Q95" s="4"/>
      <c r="R95" s="4"/>
      <c r="S95" s="4"/>
      <c r="T95" s="4">
        <f t="shared" ref="T95:AE95" si="45">if(and($F$6&gt;$H$94,$F$6&lt;=$H$95),J83,0)</f>
        <v>0</v>
      </c>
      <c r="U95" s="4">
        <f t="shared" si="45"/>
        <v>0</v>
      </c>
      <c r="V95" s="4">
        <f t="shared" si="45"/>
        <v>0</v>
      </c>
      <c r="W95" s="4">
        <f t="shared" si="45"/>
        <v>0</v>
      </c>
      <c r="X95" s="4">
        <f t="shared" si="45"/>
        <v>0</v>
      </c>
      <c r="Y95" s="4">
        <f t="shared" si="45"/>
        <v>0</v>
      </c>
      <c r="Z95" s="4">
        <f t="shared" si="45"/>
        <v>0</v>
      </c>
      <c r="AA95" s="4">
        <f t="shared" si="45"/>
        <v>0</v>
      </c>
      <c r="AB95" s="4">
        <f t="shared" si="45"/>
        <v>0</v>
      </c>
      <c r="AC95" s="4">
        <f t="shared" si="45"/>
        <v>0</v>
      </c>
      <c r="AD95" s="4">
        <f t="shared" si="45"/>
        <v>0</v>
      </c>
      <c r="AE95" s="4">
        <f t="shared" si="45"/>
        <v>0</v>
      </c>
      <c r="AF95" s="4"/>
      <c r="AG95" s="2"/>
      <c r="AH95" s="2"/>
      <c r="AI95" s="5"/>
      <c r="AJ95" s="2"/>
      <c r="AK95" s="2"/>
      <c r="AL95" s="2"/>
      <c r="AM95" s="2"/>
      <c r="AN95" s="2"/>
      <c r="AO95" s="2"/>
      <c r="AP95" s="5"/>
      <c r="AQ95" s="5"/>
    </row>
    <row r="96">
      <c r="A96" s="2"/>
      <c r="B96" s="5"/>
      <c r="C96" s="2"/>
      <c r="D96" s="2"/>
      <c r="E96" s="2"/>
      <c r="F96" s="2"/>
      <c r="G96" s="13">
        <v>12.0</v>
      </c>
      <c r="H96" s="13">
        <v>360.0</v>
      </c>
      <c r="I96" s="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>
        <f t="shared" ref="U96:AF96" si="46">if(and($F$6&gt;$H$95,$F$6&lt;=$H$96),J83,0)</f>
        <v>0</v>
      </c>
      <c r="V96" s="4">
        <f t="shared" si="46"/>
        <v>0</v>
      </c>
      <c r="W96" s="4">
        <f t="shared" si="46"/>
        <v>0</v>
      </c>
      <c r="X96" s="4">
        <f t="shared" si="46"/>
        <v>0</v>
      </c>
      <c r="Y96" s="4">
        <f t="shared" si="46"/>
        <v>0</v>
      </c>
      <c r="Z96" s="4">
        <f t="shared" si="46"/>
        <v>0</v>
      </c>
      <c r="AA96" s="4">
        <f t="shared" si="46"/>
        <v>0</v>
      </c>
      <c r="AB96" s="4">
        <f t="shared" si="46"/>
        <v>0</v>
      </c>
      <c r="AC96" s="4">
        <f t="shared" si="46"/>
        <v>0</v>
      </c>
      <c r="AD96" s="4">
        <f t="shared" si="46"/>
        <v>0</v>
      </c>
      <c r="AE96" s="4">
        <f t="shared" si="46"/>
        <v>0</v>
      </c>
      <c r="AF96" s="4">
        <f t="shared" si="46"/>
        <v>0</v>
      </c>
      <c r="AG96" s="2"/>
      <c r="AH96" s="2"/>
      <c r="AI96" s="5"/>
      <c r="AJ96" s="2"/>
      <c r="AK96" s="2"/>
      <c r="AL96" s="2"/>
      <c r="AM96" s="2"/>
      <c r="AN96" s="2"/>
      <c r="AO96" s="2"/>
      <c r="AP96" s="5"/>
      <c r="AQ96" s="5"/>
    </row>
    <row r="97">
      <c r="A97" s="2"/>
      <c r="B97" s="5"/>
      <c r="C97" s="2"/>
      <c r="D97" s="2"/>
      <c r="E97" s="2"/>
      <c r="F97" s="2"/>
      <c r="G97" s="2"/>
      <c r="H97" s="2"/>
      <c r="I97" s="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2"/>
      <c r="W97" s="4"/>
      <c r="X97" s="4"/>
      <c r="Y97" s="4"/>
      <c r="Z97" s="2"/>
      <c r="AA97" s="4"/>
      <c r="AB97" s="4"/>
      <c r="AC97" s="4"/>
      <c r="AD97" s="2"/>
      <c r="AE97" s="2"/>
      <c r="AF97" s="2"/>
      <c r="AG97" s="2"/>
      <c r="AH97" s="2"/>
      <c r="AI97" s="5"/>
      <c r="AJ97" s="2"/>
      <c r="AK97" s="2"/>
      <c r="AL97" s="2"/>
      <c r="AM97" s="2"/>
      <c r="AN97" s="2"/>
      <c r="AO97" s="2"/>
      <c r="AP97" s="5"/>
      <c r="AQ97" s="5"/>
    </row>
    <row r="98">
      <c r="A98" s="2"/>
      <c r="B98" s="5"/>
      <c r="C98" s="2"/>
      <c r="D98" s="2"/>
      <c r="E98" s="2"/>
      <c r="F98" s="2"/>
      <c r="G98" s="2"/>
      <c r="H98" s="2"/>
      <c r="I98" s="2"/>
      <c r="J98" s="39">
        <f t="shared" ref="J98:AF98" si="47">sum(J85:J96)</f>
        <v>0</v>
      </c>
      <c r="K98" s="39">
        <f t="shared" si="47"/>
        <v>0</v>
      </c>
      <c r="L98" s="39">
        <f t="shared" si="47"/>
        <v>0</v>
      </c>
      <c r="M98" s="39">
        <f t="shared" si="47"/>
        <v>7500</v>
      </c>
      <c r="N98" s="39">
        <f t="shared" si="47"/>
        <v>12000</v>
      </c>
      <c r="O98" s="39">
        <f t="shared" si="47"/>
        <v>43000</v>
      </c>
      <c r="P98" s="39">
        <f t="shared" si="47"/>
        <v>11500</v>
      </c>
      <c r="Q98" s="39">
        <f t="shared" si="47"/>
        <v>5250</v>
      </c>
      <c r="R98" s="39">
        <f t="shared" si="47"/>
        <v>20000</v>
      </c>
      <c r="S98" s="39">
        <f t="shared" si="47"/>
        <v>21500</v>
      </c>
      <c r="T98" s="39">
        <f t="shared" si="47"/>
        <v>4375</v>
      </c>
      <c r="U98" s="39">
        <f t="shared" si="47"/>
        <v>7500</v>
      </c>
      <c r="V98" s="39">
        <f t="shared" si="47"/>
        <v>11500</v>
      </c>
      <c r="W98" s="39">
        <f t="shared" si="47"/>
        <v>12000</v>
      </c>
      <c r="X98" s="39">
        <f t="shared" si="47"/>
        <v>11500</v>
      </c>
      <c r="Y98" s="39">
        <f t="shared" si="47"/>
        <v>0</v>
      </c>
      <c r="Z98" s="39">
        <f t="shared" si="47"/>
        <v>0</v>
      </c>
      <c r="AA98" s="39">
        <f t="shared" si="47"/>
        <v>0</v>
      </c>
      <c r="AB98" s="39">
        <f t="shared" si="47"/>
        <v>0</v>
      </c>
      <c r="AC98" s="39">
        <f t="shared" si="47"/>
        <v>0</v>
      </c>
      <c r="AD98" s="39">
        <f t="shared" si="47"/>
        <v>0</v>
      </c>
      <c r="AE98" s="39">
        <f t="shared" si="47"/>
        <v>0</v>
      </c>
      <c r="AF98" s="39">
        <f t="shared" si="47"/>
        <v>0</v>
      </c>
      <c r="AG98" s="2"/>
      <c r="AH98" s="2"/>
      <c r="AI98" s="5"/>
      <c r="AJ98" s="2"/>
      <c r="AK98" s="2"/>
      <c r="AL98" s="2"/>
      <c r="AM98" s="2"/>
      <c r="AN98" s="2"/>
      <c r="AO98" s="2"/>
      <c r="AP98" s="5"/>
      <c r="AQ98" s="5"/>
    </row>
    <row r="99">
      <c r="A99" s="2"/>
      <c r="B99" s="5"/>
      <c r="C99" s="2"/>
      <c r="D99" s="2"/>
      <c r="E99" s="2"/>
      <c r="F99" s="2"/>
      <c r="G99" s="2"/>
      <c r="H99" s="2"/>
      <c r="I99" s="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2"/>
      <c r="W99" s="4"/>
      <c r="X99" s="4"/>
      <c r="Y99" s="4"/>
      <c r="Z99" s="2"/>
      <c r="AA99" s="4"/>
      <c r="AB99" s="4"/>
      <c r="AC99" s="4"/>
      <c r="AD99" s="2"/>
      <c r="AE99" s="2"/>
      <c r="AF99" s="2"/>
      <c r="AG99" s="2"/>
      <c r="AH99" s="2"/>
      <c r="AI99" s="5"/>
      <c r="AJ99" s="2"/>
      <c r="AK99" s="2"/>
      <c r="AL99" s="2"/>
      <c r="AM99" s="2"/>
      <c r="AN99" s="2"/>
      <c r="AO99" s="2"/>
      <c r="AP99" s="5"/>
      <c r="AQ99" s="5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2"/>
      <c r="W100" s="4"/>
      <c r="X100" s="4"/>
      <c r="Y100" s="4"/>
      <c r="Z100" s="2"/>
      <c r="AA100" s="4"/>
      <c r="AB100" s="4"/>
      <c r="AC100" s="4"/>
      <c r="AD100" s="2"/>
      <c r="AE100" s="2"/>
      <c r="AF100" s="2"/>
      <c r="AG100" s="2"/>
      <c r="AH100" s="2"/>
      <c r="AI100" s="5"/>
      <c r="AJ100" s="2"/>
      <c r="AK100" s="2"/>
      <c r="AL100" s="2"/>
      <c r="AM100" s="2"/>
      <c r="AN100" s="2"/>
      <c r="AO100" s="2"/>
      <c r="AP100" s="5"/>
      <c r="AQ100" s="5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2"/>
      <c r="W101" s="4"/>
      <c r="X101" s="4"/>
      <c r="Y101" s="4"/>
      <c r="Z101" s="2"/>
      <c r="AA101" s="4"/>
      <c r="AB101" s="4"/>
      <c r="AC101" s="4"/>
      <c r="AD101" s="2"/>
      <c r="AE101" s="2"/>
      <c r="AF101" s="2"/>
      <c r="AG101" s="2"/>
      <c r="AH101" s="2"/>
      <c r="AI101" s="5"/>
      <c r="AJ101" s="2"/>
      <c r="AK101" s="2"/>
      <c r="AL101" s="2"/>
      <c r="AM101" s="2"/>
      <c r="AN101" s="2"/>
      <c r="AO101" s="2"/>
      <c r="AP101" s="5"/>
      <c r="AQ101" s="5"/>
    </row>
    <row r="102">
      <c r="A102" s="2"/>
      <c r="B102" s="5"/>
      <c r="C102" s="2"/>
      <c r="D102" s="3" t="s">
        <v>86</v>
      </c>
      <c r="E102" s="2"/>
      <c r="F102" s="3" t="s">
        <v>87</v>
      </c>
      <c r="I102" s="2"/>
      <c r="J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2"/>
      <c r="W102" s="4"/>
      <c r="X102" s="4"/>
      <c r="Y102" s="4"/>
      <c r="Z102" s="2"/>
      <c r="AA102" s="4"/>
      <c r="AB102" s="4"/>
      <c r="AC102" s="4"/>
      <c r="AD102" s="2"/>
      <c r="AE102" s="2"/>
      <c r="AF102" s="2"/>
      <c r="AG102" s="2"/>
      <c r="AH102" s="2"/>
      <c r="AI102" s="5"/>
      <c r="AJ102" s="2"/>
      <c r="AK102" s="2"/>
      <c r="AL102" s="2"/>
      <c r="AM102" s="2"/>
      <c r="AN102" s="2"/>
      <c r="AO102" s="2"/>
      <c r="AP102" s="5"/>
      <c r="AQ102" s="5"/>
    </row>
    <row r="103">
      <c r="A103" s="2"/>
      <c r="B103" s="5"/>
      <c r="C103" s="2"/>
      <c r="D103" s="2" t="str">
        <f t="shared" ref="D103:D122" si="49">D21</f>
        <v>Stock 1</v>
      </c>
      <c r="E103" s="2"/>
      <c r="F103" s="2"/>
      <c r="G103" s="2"/>
      <c r="H103" s="2" t="str">
        <f t="shared" ref="H103:H122" si="50">H21</f>
        <v>SkyRockets</v>
      </c>
      <c r="I103" s="2"/>
      <c r="J103" s="39">
        <f t="shared" ref="J103:U103" si="48">if($H$103="",0,if($H$103="Sky Rockets",J21*$W$7*$AA$21,if($H$103="Steady Eddy",J21*$X$7*$AA$21,J21*$Y$7*$AA$21)))</f>
        <v>1405.05</v>
      </c>
      <c r="K103" s="39">
        <f t="shared" si="48"/>
        <v>495.9</v>
      </c>
      <c r="L103" s="39">
        <f t="shared" si="48"/>
        <v>1446.375</v>
      </c>
      <c r="M103" s="39">
        <f t="shared" si="48"/>
        <v>991.8</v>
      </c>
      <c r="N103" s="39">
        <f t="shared" si="48"/>
        <v>495.9</v>
      </c>
      <c r="O103" s="39">
        <f t="shared" si="48"/>
        <v>1900.95</v>
      </c>
      <c r="P103" s="39">
        <f t="shared" si="48"/>
        <v>578.55</v>
      </c>
      <c r="Q103" s="39">
        <f t="shared" si="48"/>
        <v>495.9</v>
      </c>
      <c r="R103" s="39">
        <f t="shared" si="48"/>
        <v>1487.7</v>
      </c>
      <c r="S103" s="39">
        <f t="shared" si="48"/>
        <v>165.3</v>
      </c>
      <c r="T103" s="39">
        <f t="shared" si="48"/>
        <v>82.65</v>
      </c>
      <c r="U103" s="39">
        <f t="shared" si="48"/>
        <v>661.2</v>
      </c>
      <c r="V103" s="2"/>
      <c r="W103" s="4"/>
      <c r="X103" s="4"/>
      <c r="Y103" s="4"/>
      <c r="Z103" s="2"/>
      <c r="AA103" s="4"/>
      <c r="AB103" s="4"/>
      <c r="AC103" s="4"/>
      <c r="AD103" s="2"/>
      <c r="AE103" s="2"/>
      <c r="AF103" s="2"/>
      <c r="AG103" s="2"/>
      <c r="AH103" s="2"/>
      <c r="AI103" s="5"/>
      <c r="AJ103" s="2"/>
      <c r="AK103" s="2"/>
      <c r="AL103" s="2"/>
      <c r="AM103" s="2"/>
      <c r="AN103" s="2"/>
      <c r="AO103" s="2"/>
      <c r="AP103" s="5"/>
      <c r="AQ103" s="5"/>
    </row>
    <row r="104">
      <c r="A104" s="2"/>
      <c r="B104" s="5"/>
      <c r="C104" s="2"/>
      <c r="D104" s="2" t="str">
        <f t="shared" si="49"/>
        <v>Stock 2</v>
      </c>
      <c r="E104" s="2"/>
      <c r="F104" s="2"/>
      <c r="G104" s="2"/>
      <c r="H104" s="2" t="str">
        <f t="shared" si="50"/>
        <v>Steady Eddy</v>
      </c>
      <c r="I104" s="2"/>
      <c r="J104" s="39">
        <f t="shared" ref="J104:U104" si="51">if($H$104="",0,if($H$104="Sky Rockets",J22*$W$7*$AA$22,if($H$104="Steady Eddy",J22*$X$7*$AA$22,J22*$Y$7*$AA$22)))</f>
        <v>2746.26</v>
      </c>
      <c r="K104" s="39">
        <f t="shared" si="51"/>
        <v>1165.08</v>
      </c>
      <c r="L104" s="39">
        <f t="shared" si="51"/>
        <v>2912.7</v>
      </c>
      <c r="M104" s="39">
        <f t="shared" si="51"/>
        <v>1914.06</v>
      </c>
      <c r="N104" s="39">
        <f t="shared" si="51"/>
        <v>1165.08</v>
      </c>
      <c r="O104" s="39">
        <f t="shared" si="51"/>
        <v>3744.9</v>
      </c>
      <c r="P104" s="39">
        <f t="shared" si="51"/>
        <v>1081.86</v>
      </c>
      <c r="Q104" s="39">
        <f t="shared" si="51"/>
        <v>0</v>
      </c>
      <c r="R104" s="39">
        <f t="shared" si="51"/>
        <v>2080.5</v>
      </c>
      <c r="S104" s="39">
        <f t="shared" si="51"/>
        <v>249.66</v>
      </c>
      <c r="T104" s="39">
        <f t="shared" si="51"/>
        <v>0</v>
      </c>
      <c r="U104" s="39">
        <f t="shared" si="51"/>
        <v>1248.3</v>
      </c>
      <c r="V104" s="2"/>
      <c r="W104" s="4"/>
      <c r="X104" s="4"/>
      <c r="Y104" s="4"/>
      <c r="Z104" s="2"/>
      <c r="AA104" s="4"/>
      <c r="AB104" s="4"/>
      <c r="AC104" s="4"/>
      <c r="AD104" s="2"/>
      <c r="AE104" s="2"/>
      <c r="AF104" s="2"/>
      <c r="AG104" s="2"/>
      <c r="AH104" s="2"/>
      <c r="AI104" s="5"/>
      <c r="AJ104" s="2"/>
      <c r="AK104" s="2"/>
      <c r="AL104" s="2"/>
      <c r="AM104" s="2"/>
      <c r="AN104" s="2"/>
      <c r="AO104" s="2"/>
      <c r="AP104" s="5"/>
      <c r="AQ104" s="5"/>
    </row>
    <row r="105">
      <c r="A105" s="2"/>
      <c r="B105" s="5"/>
      <c r="C105" s="2"/>
      <c r="D105" s="2" t="str">
        <f t="shared" si="49"/>
        <v>Stock 3</v>
      </c>
      <c r="E105" s="2"/>
      <c r="F105" s="2"/>
      <c r="G105" s="2"/>
      <c r="H105" s="2" t="str">
        <f t="shared" si="50"/>
        <v>Slow Burn</v>
      </c>
      <c r="I105" s="2"/>
      <c r="J105" s="39">
        <f t="shared" ref="J105:U105" si="52">if($H$105="",0,if($H$105="Sky Rockets",J23*$W$7*$AA$23,if($H$105="Steady Eddy",J23*$X$7*$AA$23,J23*$Y$7*$AA$23)))</f>
        <v>1466.325</v>
      </c>
      <c r="K105" s="39">
        <f t="shared" si="52"/>
        <v>0</v>
      </c>
      <c r="L105" s="39">
        <f t="shared" si="52"/>
        <v>1424.43</v>
      </c>
      <c r="M105" s="39">
        <f t="shared" si="52"/>
        <v>0</v>
      </c>
      <c r="N105" s="39">
        <f t="shared" si="52"/>
        <v>670.32</v>
      </c>
      <c r="O105" s="39">
        <f t="shared" si="52"/>
        <v>1843.38</v>
      </c>
      <c r="P105" s="39">
        <f t="shared" si="52"/>
        <v>628.425</v>
      </c>
      <c r="Q105" s="39">
        <f t="shared" si="52"/>
        <v>0</v>
      </c>
      <c r="R105" s="39">
        <f t="shared" si="52"/>
        <v>0</v>
      </c>
      <c r="S105" s="39">
        <f t="shared" si="52"/>
        <v>209.475</v>
      </c>
      <c r="T105" s="39">
        <f t="shared" si="52"/>
        <v>0</v>
      </c>
      <c r="U105" s="39">
        <f t="shared" si="52"/>
        <v>0</v>
      </c>
      <c r="V105" s="2"/>
      <c r="W105" s="4"/>
      <c r="X105" s="4"/>
      <c r="Y105" s="4"/>
      <c r="Z105" s="2"/>
      <c r="AA105" s="4"/>
      <c r="AB105" s="4"/>
      <c r="AC105" s="4"/>
      <c r="AD105" s="2"/>
      <c r="AE105" s="2"/>
      <c r="AF105" s="2"/>
      <c r="AG105" s="2"/>
      <c r="AH105" s="2"/>
      <c r="AI105" s="5"/>
      <c r="AJ105" s="2"/>
      <c r="AK105" s="2"/>
      <c r="AL105" s="2"/>
      <c r="AM105" s="2"/>
      <c r="AN105" s="2"/>
      <c r="AO105" s="2"/>
      <c r="AP105" s="5"/>
      <c r="AQ105" s="5"/>
    </row>
    <row r="106">
      <c r="A106" s="2"/>
      <c r="B106" s="5"/>
      <c r="C106" s="2"/>
      <c r="D106" s="2" t="str">
        <f t="shared" si="49"/>
        <v>Stock 4</v>
      </c>
      <c r="E106" s="2"/>
      <c r="F106" s="2"/>
      <c r="G106" s="2"/>
      <c r="H106" s="2" t="str">
        <f t="shared" si="50"/>
        <v>Steady Eddy</v>
      </c>
      <c r="I106" s="2"/>
      <c r="J106" s="39">
        <f t="shared" ref="J106:U106" si="53">if($H$106="",0,if($H$106="Sky Rockets",J24*$W$7*$AA$24,if($H$106="Steady Eddy",J24*$X$7*$AA$24,J24*$Y$7*$AA$24)))</f>
        <v>3205.68</v>
      </c>
      <c r="K106" s="39">
        <f t="shared" si="53"/>
        <v>0</v>
      </c>
      <c r="L106" s="39">
        <f t="shared" si="53"/>
        <v>3290.04</v>
      </c>
      <c r="M106" s="39">
        <f t="shared" si="53"/>
        <v>0</v>
      </c>
      <c r="N106" s="39">
        <f t="shared" si="53"/>
        <v>1518.48</v>
      </c>
      <c r="O106" s="39">
        <f t="shared" si="53"/>
        <v>4133.64</v>
      </c>
      <c r="P106" s="39">
        <f t="shared" si="53"/>
        <v>0</v>
      </c>
      <c r="Q106" s="39">
        <f t="shared" si="53"/>
        <v>0</v>
      </c>
      <c r="R106" s="39">
        <f t="shared" si="53"/>
        <v>0</v>
      </c>
      <c r="S106" s="39">
        <f t="shared" si="53"/>
        <v>674.88</v>
      </c>
      <c r="T106" s="39">
        <f t="shared" si="53"/>
        <v>1518.48</v>
      </c>
      <c r="U106" s="39">
        <f t="shared" si="53"/>
        <v>0</v>
      </c>
      <c r="V106" s="2"/>
      <c r="W106" s="4"/>
      <c r="X106" s="4"/>
      <c r="Y106" s="4"/>
      <c r="Z106" s="2"/>
      <c r="AA106" s="4"/>
      <c r="AB106" s="4"/>
      <c r="AC106" s="4"/>
      <c r="AD106" s="2"/>
      <c r="AE106" s="2"/>
      <c r="AF106" s="2"/>
      <c r="AG106" s="2"/>
      <c r="AH106" s="2"/>
      <c r="AI106" s="5"/>
      <c r="AJ106" s="2"/>
      <c r="AK106" s="2"/>
      <c r="AL106" s="2"/>
      <c r="AM106" s="2"/>
      <c r="AN106" s="2"/>
      <c r="AO106" s="2"/>
      <c r="AP106" s="5"/>
      <c r="AQ106" s="5"/>
    </row>
    <row r="107">
      <c r="A107" s="2"/>
      <c r="B107" s="5"/>
      <c r="C107" s="2"/>
      <c r="D107" s="2" t="str">
        <f t="shared" si="49"/>
        <v>Stock 5</v>
      </c>
      <c r="E107" s="2"/>
      <c r="F107" s="2"/>
      <c r="G107" s="2"/>
      <c r="H107" s="2" t="str">
        <f t="shared" si="50"/>
        <v>SkyRockets</v>
      </c>
      <c r="I107" s="2"/>
      <c r="J107" s="39">
        <f t="shared" ref="J107:U107" si="54">if($H$107="",0,if($H$107="Sky Rockets",J25*$W$7*$AA$25,if($H$107="Steady Eddy",J25*$X$7*$AA$25,J25*$Y$7*$AA$25)))</f>
        <v>1528.74</v>
      </c>
      <c r="K107" s="39">
        <f t="shared" si="54"/>
        <v>0</v>
      </c>
      <c r="L107" s="39">
        <f t="shared" si="54"/>
        <v>1613.67</v>
      </c>
      <c r="M107" s="39">
        <f t="shared" si="54"/>
        <v>1104.09</v>
      </c>
      <c r="N107" s="39">
        <f t="shared" si="54"/>
        <v>467.115</v>
      </c>
      <c r="O107" s="39">
        <f t="shared" si="54"/>
        <v>2038.32</v>
      </c>
      <c r="P107" s="39">
        <f t="shared" si="54"/>
        <v>0</v>
      </c>
      <c r="Q107" s="39">
        <f t="shared" si="54"/>
        <v>467.115</v>
      </c>
      <c r="R107" s="39">
        <f t="shared" si="54"/>
        <v>1189.02</v>
      </c>
      <c r="S107" s="39">
        <f t="shared" si="54"/>
        <v>254.79</v>
      </c>
      <c r="T107" s="39">
        <f t="shared" si="54"/>
        <v>721.905</v>
      </c>
      <c r="U107" s="39">
        <f t="shared" si="54"/>
        <v>0</v>
      </c>
      <c r="V107" s="2"/>
      <c r="W107" s="4"/>
      <c r="X107" s="4"/>
      <c r="Y107" s="4"/>
      <c r="Z107" s="2"/>
      <c r="AA107" s="4"/>
      <c r="AB107" s="4"/>
      <c r="AC107" s="4"/>
      <c r="AD107" s="2"/>
      <c r="AE107" s="2"/>
      <c r="AF107" s="2"/>
      <c r="AG107" s="2"/>
      <c r="AH107" s="2"/>
      <c r="AI107" s="5"/>
      <c r="AJ107" s="2"/>
      <c r="AK107" s="2"/>
      <c r="AL107" s="2"/>
      <c r="AM107" s="2"/>
      <c r="AN107" s="2"/>
      <c r="AO107" s="2"/>
      <c r="AP107" s="5"/>
      <c r="AQ107" s="5"/>
    </row>
    <row r="108">
      <c r="A108" s="2"/>
      <c r="B108" s="5"/>
      <c r="C108" s="2"/>
      <c r="D108" s="2" t="str">
        <f t="shared" si="49"/>
        <v>Stock 6</v>
      </c>
      <c r="E108" s="2"/>
      <c r="F108" s="2"/>
      <c r="G108" s="2"/>
      <c r="H108" s="2" t="str">
        <f t="shared" si="50"/>
        <v>Slow Burn</v>
      </c>
      <c r="I108" s="2"/>
      <c r="J108" s="39">
        <f t="shared" ref="J108:U108" si="55">if($H$108="",0,if($H$108="Sky Rockets",J26*$W$7*$AA$26,if($H$108="Steady Eddy",J26*$X$7*$AA$26,J26*$Y$7*$AA$26)))</f>
        <v>1496.25</v>
      </c>
      <c r="K108" s="39">
        <f t="shared" si="55"/>
        <v>555.75</v>
      </c>
      <c r="L108" s="39">
        <f t="shared" si="55"/>
        <v>0</v>
      </c>
      <c r="M108" s="39">
        <f t="shared" si="55"/>
        <v>1068.75</v>
      </c>
      <c r="N108" s="39">
        <f t="shared" si="55"/>
        <v>0</v>
      </c>
      <c r="O108" s="39">
        <f t="shared" si="55"/>
        <v>2009.25</v>
      </c>
      <c r="P108" s="39">
        <f t="shared" si="55"/>
        <v>0</v>
      </c>
      <c r="Q108" s="39">
        <f t="shared" si="55"/>
        <v>555.75</v>
      </c>
      <c r="R108" s="39">
        <f t="shared" si="55"/>
        <v>1581.75</v>
      </c>
      <c r="S108" s="39">
        <f t="shared" si="55"/>
        <v>0</v>
      </c>
      <c r="T108" s="39">
        <f t="shared" si="55"/>
        <v>555.75</v>
      </c>
      <c r="U108" s="39">
        <f t="shared" si="55"/>
        <v>726.75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5"/>
      <c r="AJ108" s="2"/>
      <c r="AK108" s="2"/>
      <c r="AL108" s="2"/>
      <c r="AM108" s="2"/>
      <c r="AN108" s="2"/>
      <c r="AO108" s="2"/>
      <c r="AP108" s="5"/>
      <c r="AQ108" s="5"/>
    </row>
    <row r="109">
      <c r="A109" s="2"/>
      <c r="B109" s="5"/>
      <c r="C109" s="2"/>
      <c r="D109" s="2" t="str">
        <f t="shared" si="49"/>
        <v>Stock 7</v>
      </c>
      <c r="E109" s="2"/>
      <c r="F109" s="2"/>
      <c r="G109" s="2"/>
      <c r="H109" s="2" t="str">
        <f t="shared" si="50"/>
        <v>SkyRockets</v>
      </c>
      <c r="I109" s="2"/>
      <c r="J109" s="39">
        <f t="shared" ref="J109:U109" si="56">if($H$109="",0,if($H$109="Sky Rockets",J27*$W$7*$AA$27,if($H$109="Steady Eddy",J27*$X$7*$AA$27,J27*$Y$7*$AA$27)))</f>
        <v>1463.19</v>
      </c>
      <c r="K109" s="39">
        <f t="shared" si="56"/>
        <v>645.525</v>
      </c>
      <c r="L109" s="39">
        <f t="shared" si="56"/>
        <v>0</v>
      </c>
      <c r="M109" s="39">
        <f t="shared" si="56"/>
        <v>1032.84</v>
      </c>
      <c r="N109" s="39">
        <f t="shared" si="56"/>
        <v>0</v>
      </c>
      <c r="O109" s="39">
        <f t="shared" si="56"/>
        <v>0</v>
      </c>
      <c r="P109" s="39">
        <f t="shared" si="56"/>
        <v>0</v>
      </c>
      <c r="Q109" s="39">
        <f t="shared" si="56"/>
        <v>645.525</v>
      </c>
      <c r="R109" s="39">
        <f t="shared" si="56"/>
        <v>1420.155</v>
      </c>
      <c r="S109" s="39">
        <f t="shared" si="56"/>
        <v>0</v>
      </c>
      <c r="T109" s="39">
        <f t="shared" si="56"/>
        <v>645.525</v>
      </c>
      <c r="U109" s="39">
        <f t="shared" si="56"/>
        <v>129.105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5"/>
      <c r="AJ109" s="2"/>
      <c r="AK109" s="2"/>
      <c r="AL109" s="2"/>
      <c r="AM109" s="2"/>
      <c r="AN109" s="2"/>
      <c r="AO109" s="2"/>
      <c r="AP109" s="5"/>
      <c r="AQ109" s="5"/>
    </row>
    <row r="110">
      <c r="A110" s="2"/>
      <c r="B110" s="5"/>
      <c r="C110" s="2"/>
      <c r="D110" s="2" t="str">
        <f t="shared" si="49"/>
        <v>Stock 8</v>
      </c>
      <c r="E110" s="2"/>
      <c r="F110" s="2"/>
      <c r="G110" s="2"/>
      <c r="H110" s="2" t="str">
        <f t="shared" si="50"/>
        <v>SkyRockets</v>
      </c>
      <c r="I110" s="2"/>
      <c r="J110" s="39">
        <f t="shared" ref="J110:U110" si="57">if($H$110="",0,if($H$110="Sky Rockets",J28*$W$7*$AA$28,if($H$110="Steady Eddy",J28*$X$7*$AA$28,J28*$Y$7*$AA$28)))</f>
        <v>1602.84</v>
      </c>
      <c r="K110" s="39">
        <f t="shared" si="57"/>
        <v>736.44</v>
      </c>
      <c r="L110" s="39">
        <f t="shared" si="57"/>
        <v>0</v>
      </c>
      <c r="M110" s="39">
        <f t="shared" si="57"/>
        <v>1169.64</v>
      </c>
      <c r="N110" s="39">
        <f t="shared" si="57"/>
        <v>1602.84</v>
      </c>
      <c r="O110" s="39">
        <f t="shared" si="57"/>
        <v>0</v>
      </c>
      <c r="P110" s="39">
        <f t="shared" si="57"/>
        <v>0</v>
      </c>
      <c r="Q110" s="39">
        <f t="shared" si="57"/>
        <v>736.44</v>
      </c>
      <c r="R110" s="39">
        <f t="shared" si="57"/>
        <v>0</v>
      </c>
      <c r="S110" s="39">
        <f t="shared" si="57"/>
        <v>1169.64</v>
      </c>
      <c r="T110" s="39">
        <f t="shared" si="57"/>
        <v>736.44</v>
      </c>
      <c r="U110" s="39">
        <f t="shared" si="57"/>
        <v>216.6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5"/>
      <c r="AJ110" s="2"/>
      <c r="AK110" s="2"/>
      <c r="AL110" s="2"/>
      <c r="AM110" s="2"/>
      <c r="AN110" s="2"/>
      <c r="AO110" s="2"/>
      <c r="AP110" s="5"/>
      <c r="AQ110" s="5"/>
    </row>
    <row r="111">
      <c r="A111" s="2"/>
      <c r="B111" s="5"/>
      <c r="C111" s="2"/>
      <c r="D111" s="2" t="str">
        <f t="shared" si="49"/>
        <v>Stock 9</v>
      </c>
      <c r="E111" s="2"/>
      <c r="F111" s="2"/>
      <c r="G111" s="2"/>
      <c r="H111" s="2" t="str">
        <f t="shared" si="50"/>
        <v>Steady Eddy</v>
      </c>
      <c r="I111" s="2"/>
      <c r="J111" s="39">
        <f t="shared" ref="J111:U111" si="58">if($H$111="",0,if($H$111="Sky Rockets",J29*$W$7*$AA$29,if($H$111="Steady Eddy",J29*$X$7*$AA$29,J29*$Y$7*$AA$29)))</f>
        <v>2965.14</v>
      </c>
      <c r="K111" s="39">
        <f t="shared" si="58"/>
        <v>1046.52</v>
      </c>
      <c r="L111" s="39">
        <f t="shared" si="58"/>
        <v>3226.77</v>
      </c>
      <c r="M111" s="39">
        <f t="shared" si="58"/>
        <v>2093.04</v>
      </c>
      <c r="N111" s="39">
        <f t="shared" si="58"/>
        <v>2790.72</v>
      </c>
      <c r="O111" s="39">
        <f t="shared" si="58"/>
        <v>0</v>
      </c>
      <c r="P111" s="39">
        <f t="shared" si="58"/>
        <v>0</v>
      </c>
      <c r="Q111" s="39">
        <f t="shared" si="58"/>
        <v>1046.52</v>
      </c>
      <c r="R111" s="39">
        <f t="shared" si="58"/>
        <v>0</v>
      </c>
      <c r="S111" s="39">
        <f t="shared" si="58"/>
        <v>2093.04</v>
      </c>
      <c r="T111" s="39">
        <f t="shared" si="58"/>
        <v>1046.52</v>
      </c>
      <c r="U111" s="39">
        <f t="shared" si="58"/>
        <v>610.47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5"/>
      <c r="AJ111" s="2"/>
      <c r="AK111" s="2"/>
      <c r="AL111" s="2"/>
      <c r="AM111" s="2"/>
      <c r="AN111" s="2"/>
      <c r="AO111" s="2"/>
      <c r="AP111" s="5"/>
      <c r="AQ111" s="5"/>
    </row>
    <row r="112">
      <c r="A112" s="2"/>
      <c r="B112" s="5"/>
      <c r="C112" s="2"/>
      <c r="D112" s="2" t="str">
        <f t="shared" si="49"/>
        <v>Stock 10</v>
      </c>
      <c r="E112" s="2"/>
      <c r="F112" s="2"/>
      <c r="G112" s="2"/>
      <c r="H112" s="2" t="str">
        <f t="shared" si="50"/>
        <v>Steady Eddy</v>
      </c>
      <c r="I112" s="2"/>
      <c r="J112" s="39">
        <f t="shared" ref="J112:U112" si="59">if($H$112="",0,if($H$112="Sky Rockets",J30*$W$7*$AA$30,if($H$112="Steady Eddy",J30*$X$7*$AA$30,J30*$Y$7*$AA$30)))</f>
        <v>2896.74</v>
      </c>
      <c r="K112" s="39">
        <f t="shared" si="59"/>
        <v>1228.92</v>
      </c>
      <c r="L112" s="39">
        <f t="shared" si="59"/>
        <v>2721.18</v>
      </c>
      <c r="M112" s="39">
        <f t="shared" si="59"/>
        <v>2018.94</v>
      </c>
      <c r="N112" s="39">
        <f t="shared" si="59"/>
        <v>2984.52</v>
      </c>
      <c r="O112" s="39">
        <f t="shared" si="59"/>
        <v>2721.18</v>
      </c>
      <c r="P112" s="39">
        <f t="shared" si="59"/>
        <v>0</v>
      </c>
      <c r="Q112" s="39">
        <f t="shared" si="59"/>
        <v>1228.92</v>
      </c>
      <c r="R112" s="39">
        <f t="shared" si="59"/>
        <v>3598.98</v>
      </c>
      <c r="S112" s="39">
        <f t="shared" si="59"/>
        <v>2018.94</v>
      </c>
      <c r="T112" s="39">
        <f t="shared" si="59"/>
        <v>0</v>
      </c>
      <c r="U112" s="39">
        <f t="shared" si="59"/>
        <v>87.78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5"/>
      <c r="AJ112" s="2"/>
      <c r="AK112" s="2"/>
      <c r="AL112" s="2"/>
      <c r="AM112" s="2"/>
      <c r="AN112" s="2"/>
      <c r="AO112" s="2"/>
      <c r="AP112" s="5"/>
      <c r="AQ112" s="5"/>
    </row>
    <row r="113">
      <c r="A113" s="2"/>
      <c r="B113" s="5"/>
      <c r="C113" s="2"/>
      <c r="D113" s="2" t="str">
        <f t="shared" si="49"/>
        <v>Stock 11</v>
      </c>
      <c r="E113" s="2"/>
      <c r="F113" s="2"/>
      <c r="G113" s="2"/>
      <c r="H113" s="2" t="str">
        <f t="shared" si="50"/>
        <v>Steady Eddy</v>
      </c>
      <c r="I113" s="2"/>
      <c r="J113" s="39">
        <f t="shared" ref="J113:U113" si="60">if($H$113="",0,if($H$113="Sky Rockets",J31*$W$7*$AA$31,if($H$113="Steady Eddy",J31*$X$7*$AA$31,J31*$Y$7*$AA$31)))</f>
        <v>3092.25</v>
      </c>
      <c r="K113" s="39">
        <f t="shared" si="60"/>
        <v>1413.6</v>
      </c>
      <c r="L113" s="39">
        <f t="shared" si="60"/>
        <v>3092.25</v>
      </c>
      <c r="M113" s="39">
        <f t="shared" si="60"/>
        <v>0</v>
      </c>
      <c r="N113" s="39">
        <f t="shared" si="60"/>
        <v>3180.6</v>
      </c>
      <c r="O113" s="39">
        <f t="shared" si="60"/>
        <v>3092.25</v>
      </c>
      <c r="P113" s="39">
        <f t="shared" si="60"/>
        <v>1325.25</v>
      </c>
      <c r="Q113" s="39">
        <f t="shared" si="60"/>
        <v>1413.6</v>
      </c>
      <c r="R113" s="39">
        <f t="shared" si="60"/>
        <v>4859.25</v>
      </c>
      <c r="S113" s="39">
        <f t="shared" si="60"/>
        <v>2208.75</v>
      </c>
      <c r="T113" s="39">
        <f t="shared" si="60"/>
        <v>0</v>
      </c>
      <c r="U113" s="39">
        <f t="shared" si="60"/>
        <v>441.75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5"/>
      <c r="AJ113" s="2"/>
      <c r="AK113" s="2"/>
      <c r="AL113" s="2"/>
      <c r="AM113" s="2"/>
      <c r="AN113" s="2"/>
      <c r="AO113" s="2"/>
      <c r="AP113" s="5"/>
      <c r="AQ113" s="5"/>
    </row>
    <row r="114">
      <c r="A114" s="2"/>
      <c r="B114" s="5"/>
      <c r="C114" s="2"/>
      <c r="D114" s="2" t="str">
        <f t="shared" si="49"/>
        <v>Stock 12</v>
      </c>
      <c r="E114" s="2"/>
      <c r="F114" s="2"/>
      <c r="G114" s="2"/>
      <c r="H114" s="2" t="str">
        <f t="shared" si="50"/>
        <v>Steady Eddy</v>
      </c>
      <c r="I114" s="2"/>
      <c r="J114" s="39">
        <f t="shared" ref="J114:U114" si="61">if($H$114="",0,if($H$114="Sky Rockets",J32*$W$7*$AA$32,if($H$114="Steady Eddy",J32*$X$7*$AA$32,J32*$Y$7*$AA$32)))</f>
        <v>3378.96</v>
      </c>
      <c r="K114" s="39">
        <f t="shared" si="61"/>
        <v>1600.56</v>
      </c>
      <c r="L114" s="39">
        <f t="shared" si="61"/>
        <v>3467.88</v>
      </c>
      <c r="M114" s="39">
        <f t="shared" si="61"/>
        <v>0</v>
      </c>
      <c r="N114" s="39">
        <f t="shared" si="61"/>
        <v>3378.96</v>
      </c>
      <c r="O114" s="39">
        <f t="shared" si="61"/>
        <v>3467.88</v>
      </c>
      <c r="P114" s="39">
        <f t="shared" si="61"/>
        <v>1600.56</v>
      </c>
      <c r="Q114" s="39">
        <f t="shared" si="61"/>
        <v>1600.56</v>
      </c>
      <c r="R114" s="39">
        <f t="shared" si="61"/>
        <v>6135.48</v>
      </c>
      <c r="S114" s="39">
        <f t="shared" si="61"/>
        <v>2489.76</v>
      </c>
      <c r="T114" s="39">
        <f t="shared" si="61"/>
        <v>1600.56</v>
      </c>
      <c r="U114" s="39">
        <f t="shared" si="61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5"/>
      <c r="AJ114" s="2"/>
      <c r="AK114" s="2"/>
      <c r="AL114" s="2"/>
      <c r="AM114" s="2"/>
      <c r="AN114" s="2"/>
      <c r="AO114" s="2"/>
      <c r="AP114" s="5"/>
      <c r="AQ114" s="5"/>
    </row>
    <row r="115">
      <c r="A115" s="2"/>
      <c r="B115" s="5"/>
      <c r="C115" s="2"/>
      <c r="D115" s="2" t="str">
        <f t="shared" si="49"/>
        <v>Stock 13</v>
      </c>
      <c r="E115" s="2"/>
      <c r="F115" s="2"/>
      <c r="G115" s="2"/>
      <c r="H115" s="2" t="str">
        <f t="shared" si="50"/>
        <v>Steady Eddy</v>
      </c>
      <c r="I115" s="2"/>
      <c r="J115" s="39">
        <f t="shared" ref="J115:U115" si="62">if($H$115="",0,if($H$115="Sky Rockets",J33*$W$7*$AA$33,if($H$115="Steady Eddy",J33*$X$7*$AA$33,J33*$Y$7*$AA$33)))</f>
        <v>3221.64</v>
      </c>
      <c r="K115" s="39">
        <f t="shared" si="62"/>
        <v>1163.37</v>
      </c>
      <c r="L115" s="39">
        <f t="shared" si="62"/>
        <v>3400.62</v>
      </c>
      <c r="M115" s="39">
        <f t="shared" si="62"/>
        <v>0</v>
      </c>
      <c r="N115" s="39">
        <f t="shared" si="62"/>
        <v>2953.17</v>
      </c>
      <c r="O115" s="39">
        <f t="shared" si="62"/>
        <v>3400.62</v>
      </c>
      <c r="P115" s="39">
        <f t="shared" si="62"/>
        <v>1431.84</v>
      </c>
      <c r="Q115" s="39">
        <f t="shared" si="62"/>
        <v>1163.37</v>
      </c>
      <c r="R115" s="39">
        <f t="shared" si="62"/>
        <v>0</v>
      </c>
      <c r="S115" s="39">
        <f t="shared" si="62"/>
        <v>2326.74</v>
      </c>
      <c r="T115" s="39">
        <f t="shared" si="62"/>
        <v>1163.37</v>
      </c>
      <c r="U115" s="39">
        <f t="shared" si="62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5"/>
      <c r="AJ115" s="2"/>
      <c r="AK115" s="2"/>
      <c r="AL115" s="2"/>
      <c r="AM115" s="2"/>
      <c r="AN115" s="2"/>
      <c r="AO115" s="2"/>
      <c r="AP115" s="5"/>
      <c r="AQ115" s="5"/>
    </row>
    <row r="116">
      <c r="A116" s="2"/>
      <c r="B116" s="5"/>
      <c r="C116" s="2"/>
      <c r="D116" s="2" t="str">
        <f t="shared" si="49"/>
        <v>Stock 14</v>
      </c>
      <c r="E116" s="2"/>
      <c r="F116" s="2"/>
      <c r="G116" s="2"/>
      <c r="H116" s="2" t="str">
        <f t="shared" si="50"/>
        <v>SkyRockets</v>
      </c>
      <c r="I116" s="2"/>
      <c r="J116" s="39">
        <f t="shared" ref="J116:U116" si="63">if($H$116="",0,if($H$116="Sky Rockets",J34*$W$7*$AA$34,if($H$116="Steady Eddy",J34*$X$7*$AA$34,J34*$Y$7*$AA$34)))</f>
        <v>1576.05</v>
      </c>
      <c r="K116" s="39">
        <f t="shared" si="63"/>
        <v>675.45</v>
      </c>
      <c r="L116" s="39">
        <f t="shared" si="63"/>
        <v>1576.05</v>
      </c>
      <c r="M116" s="39">
        <f t="shared" si="63"/>
        <v>1125.75</v>
      </c>
      <c r="N116" s="39">
        <f t="shared" si="63"/>
        <v>0</v>
      </c>
      <c r="O116" s="39">
        <f t="shared" si="63"/>
        <v>0</v>
      </c>
      <c r="P116" s="39">
        <f t="shared" si="63"/>
        <v>675.45</v>
      </c>
      <c r="Q116" s="39">
        <f t="shared" si="63"/>
        <v>0</v>
      </c>
      <c r="R116" s="39">
        <f t="shared" si="63"/>
        <v>0</v>
      </c>
      <c r="S116" s="39">
        <f t="shared" si="63"/>
        <v>0</v>
      </c>
      <c r="T116" s="39">
        <f t="shared" si="63"/>
        <v>675.45</v>
      </c>
      <c r="U116" s="39">
        <f t="shared" si="63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5"/>
      <c r="AJ116" s="2"/>
      <c r="AK116" s="2"/>
      <c r="AL116" s="2"/>
      <c r="AM116" s="2"/>
      <c r="AN116" s="2"/>
      <c r="AO116" s="2"/>
      <c r="AP116" s="5"/>
      <c r="AQ116" s="5"/>
    </row>
    <row r="117">
      <c r="A117" s="2"/>
      <c r="B117" s="5"/>
      <c r="C117" s="2"/>
      <c r="D117" s="2" t="str">
        <f t="shared" si="49"/>
        <v>Stock 15</v>
      </c>
      <c r="E117" s="2"/>
      <c r="F117" s="2"/>
      <c r="G117" s="2"/>
      <c r="H117" s="2" t="str">
        <f t="shared" si="50"/>
        <v>SkyRockets</v>
      </c>
      <c r="I117" s="2"/>
      <c r="J117" s="39">
        <f t="shared" ref="J117:U117" si="64">if($H$117="",0,if($H$117="Sky Rockets",J35*$W$7*$AA$35,if($H$117="Steady Eddy",J35*$X$7*$AA$35,J35*$Y$7*$AA$35)))</f>
        <v>1540.71</v>
      </c>
      <c r="K117" s="39">
        <f t="shared" si="64"/>
        <v>770.355</v>
      </c>
      <c r="L117" s="39">
        <f t="shared" si="64"/>
        <v>1450.08</v>
      </c>
      <c r="M117" s="39">
        <f t="shared" si="64"/>
        <v>1087.56</v>
      </c>
      <c r="N117" s="39">
        <f t="shared" si="64"/>
        <v>0</v>
      </c>
      <c r="O117" s="39">
        <f t="shared" si="64"/>
        <v>0</v>
      </c>
      <c r="P117" s="39">
        <f t="shared" si="64"/>
        <v>634.41</v>
      </c>
      <c r="Q117" s="39">
        <f t="shared" si="64"/>
        <v>0</v>
      </c>
      <c r="R117" s="39">
        <f t="shared" si="64"/>
        <v>1903.23</v>
      </c>
      <c r="S117" s="39">
        <f t="shared" si="64"/>
        <v>0</v>
      </c>
      <c r="T117" s="39">
        <f t="shared" si="64"/>
        <v>770.355</v>
      </c>
      <c r="U117" s="39">
        <f t="shared" si="64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5"/>
      <c r="AJ117" s="2"/>
      <c r="AK117" s="2"/>
      <c r="AL117" s="2"/>
      <c r="AM117" s="2"/>
      <c r="AN117" s="2"/>
      <c r="AO117" s="2"/>
      <c r="AP117" s="5"/>
      <c r="AQ117" s="5"/>
    </row>
    <row r="118">
      <c r="A118" s="2"/>
      <c r="B118" s="5"/>
      <c r="C118" s="2"/>
      <c r="D118" s="2" t="str">
        <f t="shared" si="49"/>
        <v>Stock 16</v>
      </c>
      <c r="E118" s="2"/>
      <c r="F118" s="2"/>
      <c r="G118" s="2"/>
      <c r="H118" s="2" t="str">
        <f t="shared" si="50"/>
        <v>SkyRockets</v>
      </c>
      <c r="I118" s="2"/>
      <c r="J118" s="39">
        <f t="shared" ref="J118:U118" si="65">if($H$118="",0,if($H$118="Sky Rockets",J36*$W$7*$AA$36,if($H$118="Steady Eddy",J36*$X$7*$AA$36,J36*$Y$7*$AA$36)))</f>
        <v>1687.2</v>
      </c>
      <c r="K118" s="39">
        <f t="shared" si="65"/>
        <v>866.4</v>
      </c>
      <c r="L118" s="39">
        <f t="shared" si="65"/>
        <v>1641.6</v>
      </c>
      <c r="M118" s="39">
        <f t="shared" si="65"/>
        <v>1231.2</v>
      </c>
      <c r="N118" s="39">
        <f t="shared" si="65"/>
        <v>2234.4</v>
      </c>
      <c r="O118" s="39">
        <f t="shared" si="65"/>
        <v>2097.6</v>
      </c>
      <c r="P118" s="39">
        <f t="shared" si="65"/>
        <v>775.2</v>
      </c>
      <c r="Q118" s="39">
        <f t="shared" si="65"/>
        <v>0</v>
      </c>
      <c r="R118" s="39">
        <f t="shared" si="65"/>
        <v>1641.6</v>
      </c>
      <c r="S118" s="39">
        <f t="shared" si="65"/>
        <v>0</v>
      </c>
      <c r="T118" s="39">
        <f t="shared" si="65"/>
        <v>866.4</v>
      </c>
      <c r="U118" s="39">
        <f t="shared" si="65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5"/>
      <c r="AJ118" s="2"/>
      <c r="AK118" s="2"/>
      <c r="AL118" s="2"/>
      <c r="AM118" s="2"/>
      <c r="AN118" s="2"/>
      <c r="AO118" s="2"/>
      <c r="AP118" s="5"/>
      <c r="AQ118" s="5"/>
    </row>
    <row r="119">
      <c r="A119" s="2"/>
      <c r="B119" s="5"/>
      <c r="C119" s="2"/>
      <c r="D119" s="2" t="str">
        <f t="shared" si="49"/>
        <v>Stock 17</v>
      </c>
      <c r="E119" s="2"/>
      <c r="F119" s="2"/>
      <c r="G119" s="2"/>
      <c r="H119" s="2" t="str">
        <f t="shared" si="50"/>
        <v>Slow Burn</v>
      </c>
      <c r="I119" s="2"/>
      <c r="J119" s="39">
        <f t="shared" ref="J119:U119" si="66">if($H$119="",0,if($H$119="Sky Rockets",J37*$W$7*$AA$37,if($H$119="Steady Eddy",J37*$X$7*$AA$37,J37*$Y$7*$AA$37)))</f>
        <v>1651.86</v>
      </c>
      <c r="K119" s="39">
        <f t="shared" si="66"/>
        <v>504.735</v>
      </c>
      <c r="L119" s="39">
        <f t="shared" si="66"/>
        <v>1605.975</v>
      </c>
      <c r="M119" s="39">
        <f t="shared" si="66"/>
        <v>1193.01</v>
      </c>
      <c r="N119" s="39">
        <f t="shared" si="66"/>
        <v>1881.285</v>
      </c>
      <c r="O119" s="39">
        <f t="shared" si="66"/>
        <v>2064.825</v>
      </c>
      <c r="P119" s="39">
        <f t="shared" si="66"/>
        <v>734.16</v>
      </c>
      <c r="Q119" s="39">
        <f t="shared" si="66"/>
        <v>0</v>
      </c>
      <c r="R119" s="39">
        <f t="shared" si="66"/>
        <v>1147.125</v>
      </c>
      <c r="S119" s="39">
        <f t="shared" si="66"/>
        <v>275.31</v>
      </c>
      <c r="T119" s="39">
        <f t="shared" si="66"/>
        <v>504.735</v>
      </c>
      <c r="U119" s="39">
        <f t="shared" si="66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5"/>
      <c r="AJ119" s="2"/>
      <c r="AK119" s="2"/>
      <c r="AL119" s="2"/>
      <c r="AM119" s="2"/>
      <c r="AN119" s="2"/>
      <c r="AO119" s="2"/>
      <c r="AP119" s="5"/>
      <c r="AQ119" s="5"/>
    </row>
    <row r="120">
      <c r="A120" s="2"/>
      <c r="B120" s="5"/>
      <c r="C120" s="2"/>
      <c r="D120" s="2" t="str">
        <f t="shared" si="49"/>
        <v>Stock 18</v>
      </c>
      <c r="E120" s="2"/>
      <c r="F120" s="2"/>
      <c r="G120" s="2"/>
      <c r="H120" s="2" t="str">
        <f t="shared" si="50"/>
        <v>Slow Burn</v>
      </c>
      <c r="I120" s="2"/>
      <c r="J120" s="39">
        <f t="shared" ref="J120:U120" si="67">if($H$120="",0,if($H$120="Sky Rockets",J38*$W$7*$AA$38,if($H$120="Steady Eddy",J38*$X$7*$AA$38,J38*$Y$7*$AA$38)))</f>
        <v>1477.44</v>
      </c>
      <c r="K120" s="39">
        <f t="shared" si="67"/>
        <v>554.04</v>
      </c>
      <c r="L120" s="39">
        <f t="shared" si="67"/>
        <v>1569.78</v>
      </c>
      <c r="M120" s="39">
        <f t="shared" si="67"/>
        <v>1015.74</v>
      </c>
      <c r="N120" s="39">
        <f t="shared" si="67"/>
        <v>1939.14</v>
      </c>
      <c r="O120" s="39">
        <f t="shared" si="67"/>
        <v>2031.48</v>
      </c>
      <c r="P120" s="39">
        <f t="shared" si="67"/>
        <v>554.04</v>
      </c>
      <c r="Q120" s="39">
        <f t="shared" si="67"/>
        <v>554.04</v>
      </c>
      <c r="R120" s="39">
        <f t="shared" si="67"/>
        <v>1108.08</v>
      </c>
      <c r="S120" s="39">
        <f t="shared" si="67"/>
        <v>92.34</v>
      </c>
      <c r="T120" s="39">
        <f t="shared" si="67"/>
        <v>554.04</v>
      </c>
      <c r="U120" s="39">
        <f t="shared" si="67"/>
        <v>184.68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5"/>
      <c r="AJ120" s="2"/>
      <c r="AK120" s="2"/>
      <c r="AL120" s="2"/>
      <c r="AM120" s="2"/>
      <c r="AN120" s="2"/>
      <c r="AO120" s="2"/>
      <c r="AP120" s="5"/>
      <c r="AQ120" s="5"/>
    </row>
    <row r="121">
      <c r="A121" s="2"/>
      <c r="B121" s="5"/>
      <c r="C121" s="2"/>
      <c r="D121" s="2" t="str">
        <f t="shared" si="49"/>
        <v>Stock 19</v>
      </c>
      <c r="E121" s="2"/>
      <c r="F121" s="2"/>
      <c r="G121" s="2"/>
      <c r="H121" s="2" t="str">
        <f t="shared" si="50"/>
        <v>SkyRockets</v>
      </c>
      <c r="I121" s="2"/>
      <c r="J121" s="39">
        <f t="shared" ref="J121:U121" si="68">if($H$121="",0,if($H$121="Sky Rockets",J39*$W$7*$AA$39,if($H$121="Steady Eddy",J39*$X$7*$AA$39,J39*$Y$7*$AA$39)))</f>
        <v>1440.105</v>
      </c>
      <c r="K121" s="39">
        <f t="shared" si="68"/>
        <v>650.37</v>
      </c>
      <c r="L121" s="39">
        <f t="shared" si="68"/>
        <v>1718.835</v>
      </c>
      <c r="M121" s="39">
        <f t="shared" si="68"/>
        <v>975.555</v>
      </c>
      <c r="N121" s="39">
        <f t="shared" si="68"/>
        <v>2044.02</v>
      </c>
      <c r="O121" s="39">
        <f t="shared" si="68"/>
        <v>2183.385</v>
      </c>
      <c r="P121" s="39">
        <f t="shared" si="68"/>
        <v>511.005</v>
      </c>
      <c r="Q121" s="39">
        <f t="shared" si="68"/>
        <v>650.37</v>
      </c>
      <c r="R121" s="39">
        <f t="shared" si="68"/>
        <v>789.735</v>
      </c>
      <c r="S121" s="39">
        <f t="shared" si="68"/>
        <v>46.455</v>
      </c>
      <c r="T121" s="39">
        <f t="shared" si="68"/>
        <v>650.37</v>
      </c>
      <c r="U121" s="39">
        <f t="shared" si="68"/>
        <v>325.185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5"/>
      <c r="AJ121" s="2"/>
      <c r="AK121" s="2"/>
      <c r="AL121" s="2"/>
      <c r="AM121" s="2"/>
      <c r="AN121" s="2"/>
      <c r="AO121" s="2"/>
      <c r="AP121" s="5"/>
      <c r="AQ121" s="5"/>
    </row>
    <row r="122">
      <c r="A122" s="2"/>
      <c r="B122" s="5"/>
      <c r="C122" s="2"/>
      <c r="D122" s="2" t="str">
        <f t="shared" si="49"/>
        <v>Stock 20</v>
      </c>
      <c r="E122" s="2"/>
      <c r="F122" s="2"/>
      <c r="G122" s="2"/>
      <c r="H122" s="2" t="str">
        <f t="shared" si="50"/>
        <v>Steady Eddy</v>
      </c>
      <c r="I122" s="2"/>
      <c r="J122" s="39">
        <f t="shared" ref="J122:U122" si="69">if($H$122="",0,if($H$122="Sky Rockets",J40*$W$7*$AA$40,if($H$122="Steady Eddy",J40*$X$7*$AA$40,J40*$Y$7*$AA$40)))</f>
        <v>3178.32</v>
      </c>
      <c r="K122" s="39">
        <f t="shared" si="69"/>
        <v>1682.64</v>
      </c>
      <c r="L122" s="39">
        <f t="shared" si="69"/>
        <v>3552.24</v>
      </c>
      <c r="M122" s="39">
        <f t="shared" si="69"/>
        <v>2243.52</v>
      </c>
      <c r="N122" s="39">
        <f t="shared" si="69"/>
        <v>4487.04</v>
      </c>
      <c r="O122" s="39">
        <f t="shared" si="69"/>
        <v>4487.04</v>
      </c>
      <c r="P122" s="39">
        <f t="shared" si="69"/>
        <v>1308.72</v>
      </c>
      <c r="Q122" s="39">
        <f t="shared" si="69"/>
        <v>1682.64</v>
      </c>
      <c r="R122" s="39">
        <f t="shared" si="69"/>
        <v>3552.24</v>
      </c>
      <c r="S122" s="39">
        <f t="shared" si="69"/>
        <v>373.92</v>
      </c>
      <c r="T122" s="39">
        <f t="shared" si="69"/>
        <v>1682.64</v>
      </c>
      <c r="U122" s="39">
        <f t="shared" si="69"/>
        <v>747.84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5"/>
      <c r="AJ122" s="2"/>
      <c r="AK122" s="2"/>
      <c r="AL122" s="2"/>
      <c r="AM122" s="2"/>
      <c r="AN122" s="2"/>
      <c r="AO122" s="2"/>
      <c r="AP122" s="5"/>
      <c r="AQ122" s="5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5"/>
      <c r="AJ123" s="2"/>
      <c r="AK123" s="2"/>
      <c r="AL123" s="2"/>
      <c r="AM123" s="2"/>
      <c r="AN123" s="2"/>
      <c r="AO123" s="2"/>
      <c r="AP123" s="5"/>
      <c r="AQ123" s="5"/>
    </row>
    <row r="124">
      <c r="A124" s="2"/>
      <c r="B124" s="5"/>
      <c r="C124" s="2"/>
      <c r="D124" s="3" t="s">
        <v>86</v>
      </c>
      <c r="E124" s="3"/>
      <c r="F124" s="3" t="s">
        <v>88</v>
      </c>
      <c r="G124" s="2"/>
      <c r="H124" s="3">
        <v>30.0</v>
      </c>
      <c r="I124" s="2"/>
      <c r="J124" s="78">
        <f t="shared" ref="J124:U124" si="70">sum(J103:J122)</f>
        <v>43020.75</v>
      </c>
      <c r="K124" s="78">
        <f t="shared" si="70"/>
        <v>15755.655</v>
      </c>
      <c r="L124" s="78">
        <f t="shared" si="70"/>
        <v>39710.475</v>
      </c>
      <c r="M124" s="78">
        <f t="shared" si="70"/>
        <v>20265.495</v>
      </c>
      <c r="N124" s="78">
        <f t="shared" si="70"/>
        <v>33793.59</v>
      </c>
      <c r="O124" s="78">
        <f t="shared" si="70"/>
        <v>41216.7</v>
      </c>
      <c r="P124" s="78">
        <f t="shared" si="70"/>
        <v>11839.47</v>
      </c>
      <c r="Q124" s="78">
        <f t="shared" si="70"/>
        <v>12240.75</v>
      </c>
      <c r="R124" s="78">
        <f t="shared" si="70"/>
        <v>32494.845</v>
      </c>
      <c r="S124" s="78">
        <f t="shared" si="70"/>
        <v>14649</v>
      </c>
      <c r="T124" s="78">
        <f t="shared" si="70"/>
        <v>13775.19</v>
      </c>
      <c r="U124" s="78">
        <f t="shared" si="70"/>
        <v>5379.66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5"/>
      <c r="AJ124" s="2"/>
      <c r="AK124" s="2"/>
      <c r="AL124" s="2"/>
      <c r="AM124" s="2"/>
      <c r="AN124" s="2"/>
      <c r="AO124" s="2"/>
      <c r="AP124" s="5"/>
      <c r="AQ124" s="5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5"/>
      <c r="AJ125" s="2"/>
      <c r="AK125" s="2"/>
      <c r="AL125" s="2"/>
      <c r="AM125" s="2"/>
      <c r="AN125" s="2"/>
      <c r="AO125" s="2"/>
      <c r="AP125" s="5"/>
      <c r="AQ125" s="5"/>
    </row>
    <row r="126">
      <c r="A126" s="2"/>
      <c r="B126" s="5"/>
      <c r="C126" s="2"/>
      <c r="D126" s="2" t="str">
        <f t="shared" ref="D126:D145" si="72">D103</f>
        <v>Stock 1</v>
      </c>
      <c r="E126" s="2"/>
      <c r="F126" s="2"/>
      <c r="G126" s="2"/>
      <c r="H126" s="2" t="str">
        <f t="shared" ref="H126:H145" si="73">H103</f>
        <v>SkyRockets</v>
      </c>
      <c r="I126" s="2"/>
      <c r="J126" s="39">
        <f t="shared" ref="J126:U126" si="71">if($H$126="",0,if($H$126="Sky Rockets",J21*$W$8*$AA$21,if($H$126="Steady Eddy",J21*$X$8*$AA$21,J21*$Y$8*$AA$21)))</f>
        <v>4215.15</v>
      </c>
      <c r="K126" s="39">
        <f t="shared" si="71"/>
        <v>1487.7</v>
      </c>
      <c r="L126" s="39">
        <f t="shared" si="71"/>
        <v>4339.125</v>
      </c>
      <c r="M126" s="39">
        <f t="shared" si="71"/>
        <v>2975.4</v>
      </c>
      <c r="N126" s="39">
        <f t="shared" si="71"/>
        <v>1487.7</v>
      </c>
      <c r="O126" s="39">
        <f t="shared" si="71"/>
        <v>5702.85</v>
      </c>
      <c r="P126" s="39">
        <f t="shared" si="71"/>
        <v>1735.65</v>
      </c>
      <c r="Q126" s="39">
        <f t="shared" si="71"/>
        <v>1487.7</v>
      </c>
      <c r="R126" s="39">
        <f t="shared" si="71"/>
        <v>4463.1</v>
      </c>
      <c r="S126" s="39">
        <f t="shared" si="71"/>
        <v>495.9</v>
      </c>
      <c r="T126" s="39">
        <f t="shared" si="71"/>
        <v>247.95</v>
      </c>
      <c r="U126" s="39">
        <f t="shared" si="71"/>
        <v>1983.6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5"/>
      <c r="AJ126" s="2"/>
      <c r="AK126" s="2"/>
      <c r="AL126" s="2"/>
      <c r="AM126" s="2"/>
      <c r="AN126" s="2"/>
      <c r="AO126" s="2"/>
      <c r="AP126" s="5"/>
      <c r="AQ126" s="5"/>
    </row>
    <row r="127">
      <c r="A127" s="2"/>
      <c r="B127" s="5"/>
      <c r="C127" s="2"/>
      <c r="D127" s="2" t="str">
        <f t="shared" si="72"/>
        <v>Stock 2</v>
      </c>
      <c r="E127" s="2"/>
      <c r="F127" s="2"/>
      <c r="G127" s="2"/>
      <c r="H127" s="2" t="str">
        <f t="shared" si="73"/>
        <v>Steady Eddy</v>
      </c>
      <c r="I127" s="2"/>
      <c r="J127" s="39">
        <f t="shared" ref="J127:U127" si="74">if($H$127="",0,if($H$127="Sky Rockets",J22*$W$8*$AA$22,if($H$127="Steady Eddy",J22*$X$8*$AA$22,J22*$Y$8*$AA$22)))</f>
        <v>4119.39</v>
      </c>
      <c r="K127" s="39">
        <f t="shared" si="74"/>
        <v>1747.62</v>
      </c>
      <c r="L127" s="39">
        <f t="shared" si="74"/>
        <v>4369.05</v>
      </c>
      <c r="M127" s="39">
        <f t="shared" si="74"/>
        <v>2871.09</v>
      </c>
      <c r="N127" s="39">
        <f t="shared" si="74"/>
        <v>1747.62</v>
      </c>
      <c r="O127" s="39">
        <f t="shared" si="74"/>
        <v>5617.35</v>
      </c>
      <c r="P127" s="39">
        <f t="shared" si="74"/>
        <v>1622.79</v>
      </c>
      <c r="Q127" s="39">
        <f t="shared" si="74"/>
        <v>0</v>
      </c>
      <c r="R127" s="39">
        <f t="shared" si="74"/>
        <v>3120.75</v>
      </c>
      <c r="S127" s="39">
        <f t="shared" si="74"/>
        <v>374.49</v>
      </c>
      <c r="T127" s="39">
        <f t="shared" si="74"/>
        <v>0</v>
      </c>
      <c r="U127" s="39">
        <f t="shared" si="74"/>
        <v>1872.45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5"/>
      <c r="AJ127" s="2"/>
      <c r="AK127" s="2"/>
      <c r="AL127" s="2"/>
      <c r="AM127" s="2"/>
      <c r="AN127" s="2"/>
      <c r="AO127" s="2"/>
      <c r="AP127" s="5"/>
      <c r="AQ127" s="5"/>
    </row>
    <row r="128">
      <c r="A128" s="2"/>
      <c r="B128" s="5"/>
      <c r="C128" s="2"/>
      <c r="D128" s="2" t="str">
        <f t="shared" si="72"/>
        <v>Stock 3</v>
      </c>
      <c r="E128" s="2"/>
      <c r="F128" s="2"/>
      <c r="G128" s="2"/>
      <c r="H128" s="2" t="str">
        <f t="shared" si="73"/>
        <v>Slow Burn</v>
      </c>
      <c r="I128" s="2"/>
      <c r="J128" s="39">
        <f t="shared" ref="J128:U128" si="75">if($H$128="",0,if($H$128="Sky Rockets",J23*$W$8*$AA$23,if($H$128="Steady Eddy",J23*$X$8*$AA$23,J23*$Y$8*$AA$23)))</f>
        <v>4398.975</v>
      </c>
      <c r="K128" s="39">
        <f t="shared" si="75"/>
        <v>0</v>
      </c>
      <c r="L128" s="39">
        <f t="shared" si="75"/>
        <v>4273.29</v>
      </c>
      <c r="M128" s="39">
        <f t="shared" si="75"/>
        <v>0</v>
      </c>
      <c r="N128" s="39">
        <f t="shared" si="75"/>
        <v>2010.96</v>
      </c>
      <c r="O128" s="39">
        <f t="shared" si="75"/>
        <v>5530.14</v>
      </c>
      <c r="P128" s="39">
        <f t="shared" si="75"/>
        <v>1885.275</v>
      </c>
      <c r="Q128" s="39">
        <f t="shared" si="75"/>
        <v>0</v>
      </c>
      <c r="R128" s="39">
        <f t="shared" si="75"/>
        <v>0</v>
      </c>
      <c r="S128" s="39">
        <f t="shared" si="75"/>
        <v>628.425</v>
      </c>
      <c r="T128" s="39">
        <f t="shared" si="75"/>
        <v>0</v>
      </c>
      <c r="U128" s="39">
        <f t="shared" si="75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5"/>
      <c r="AJ128" s="2"/>
      <c r="AK128" s="2"/>
      <c r="AL128" s="2"/>
      <c r="AM128" s="2"/>
      <c r="AN128" s="2"/>
      <c r="AO128" s="2"/>
      <c r="AP128" s="5"/>
      <c r="AQ128" s="5"/>
    </row>
    <row r="129">
      <c r="A129" s="2"/>
      <c r="B129" s="5"/>
      <c r="C129" s="2"/>
      <c r="D129" s="2" t="str">
        <f t="shared" si="72"/>
        <v>Stock 4</v>
      </c>
      <c r="E129" s="2"/>
      <c r="F129" s="2"/>
      <c r="G129" s="2"/>
      <c r="H129" s="2" t="str">
        <f t="shared" si="73"/>
        <v>Steady Eddy</v>
      </c>
      <c r="I129" s="2"/>
      <c r="J129" s="39">
        <f t="shared" ref="J129:U129" si="76">if($H$129="",0,if($H$129="Sky Rockets",J24*$W$8*$AA$24,if($H$129="Steady Eddy",J24*$X$8*$AA$24,J24*$Y$8*$AA$24)))</f>
        <v>4808.52</v>
      </c>
      <c r="K129" s="39">
        <f t="shared" si="76"/>
        <v>0</v>
      </c>
      <c r="L129" s="39">
        <f t="shared" si="76"/>
        <v>4935.06</v>
      </c>
      <c r="M129" s="39">
        <f t="shared" si="76"/>
        <v>0</v>
      </c>
      <c r="N129" s="39">
        <f t="shared" si="76"/>
        <v>2277.72</v>
      </c>
      <c r="O129" s="39">
        <f t="shared" si="76"/>
        <v>6200.46</v>
      </c>
      <c r="P129" s="39">
        <f t="shared" si="76"/>
        <v>0</v>
      </c>
      <c r="Q129" s="39">
        <f t="shared" si="76"/>
        <v>0</v>
      </c>
      <c r="R129" s="39">
        <f t="shared" si="76"/>
        <v>0</v>
      </c>
      <c r="S129" s="39">
        <f t="shared" si="76"/>
        <v>1012.32</v>
      </c>
      <c r="T129" s="39">
        <f t="shared" si="76"/>
        <v>2277.72</v>
      </c>
      <c r="U129" s="39">
        <f t="shared" si="76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5"/>
      <c r="AJ129" s="2"/>
      <c r="AK129" s="2"/>
      <c r="AL129" s="2"/>
      <c r="AM129" s="2"/>
      <c r="AN129" s="2"/>
      <c r="AO129" s="2"/>
      <c r="AP129" s="5"/>
      <c r="AQ129" s="5"/>
    </row>
    <row r="130">
      <c r="A130" s="2"/>
      <c r="B130" s="5"/>
      <c r="C130" s="2"/>
      <c r="D130" s="2" t="str">
        <f t="shared" si="72"/>
        <v>Stock 5</v>
      </c>
      <c r="E130" s="2"/>
      <c r="F130" s="2"/>
      <c r="G130" s="2"/>
      <c r="H130" s="2" t="str">
        <f t="shared" si="73"/>
        <v>SkyRockets</v>
      </c>
      <c r="I130" s="2"/>
      <c r="J130" s="39">
        <f t="shared" ref="J130:U130" si="77">if($H$130="",0,if($H$130="Sky Rockets",J25*$W$8*$AA$25,if($H$130="Steady Eddy",J25*$X$8*$AA$25,J25*$Y$8*$AA$25)))</f>
        <v>4586.22</v>
      </c>
      <c r="K130" s="39">
        <f t="shared" si="77"/>
        <v>0</v>
      </c>
      <c r="L130" s="39">
        <f t="shared" si="77"/>
        <v>4841.01</v>
      </c>
      <c r="M130" s="39">
        <f t="shared" si="77"/>
        <v>3312.27</v>
      </c>
      <c r="N130" s="39">
        <f t="shared" si="77"/>
        <v>1401.345</v>
      </c>
      <c r="O130" s="39">
        <f t="shared" si="77"/>
        <v>6114.96</v>
      </c>
      <c r="P130" s="39">
        <f t="shared" si="77"/>
        <v>0</v>
      </c>
      <c r="Q130" s="39">
        <f t="shared" si="77"/>
        <v>1401.345</v>
      </c>
      <c r="R130" s="39">
        <f t="shared" si="77"/>
        <v>3567.06</v>
      </c>
      <c r="S130" s="39">
        <f t="shared" si="77"/>
        <v>764.37</v>
      </c>
      <c r="T130" s="39">
        <f t="shared" si="77"/>
        <v>2165.715</v>
      </c>
      <c r="U130" s="39">
        <f t="shared" si="77"/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5"/>
      <c r="AJ130" s="2"/>
      <c r="AK130" s="2"/>
      <c r="AL130" s="2"/>
      <c r="AM130" s="2"/>
      <c r="AN130" s="2"/>
      <c r="AO130" s="2"/>
      <c r="AP130" s="5"/>
      <c r="AQ130" s="5"/>
    </row>
    <row r="131">
      <c r="A131" s="2"/>
      <c r="B131" s="5"/>
      <c r="C131" s="2"/>
      <c r="D131" s="2" t="str">
        <f t="shared" si="72"/>
        <v>Stock 6</v>
      </c>
      <c r="E131" s="2"/>
      <c r="F131" s="2"/>
      <c r="G131" s="2"/>
      <c r="H131" s="2" t="str">
        <f t="shared" si="73"/>
        <v>Slow Burn</v>
      </c>
      <c r="I131" s="2"/>
      <c r="J131" s="39">
        <f t="shared" ref="J131:U131" si="78">if($H$131="",0,if($H$131="Sky Rockets",J26*$W$8*$AA$26,if($H$131="Steady Eddy",J26*$X$8*$AA$26,J26*$Y$8*$AA$26)))</f>
        <v>4488.75</v>
      </c>
      <c r="K131" s="39">
        <f t="shared" si="78"/>
        <v>1667.25</v>
      </c>
      <c r="L131" s="39">
        <f t="shared" si="78"/>
        <v>0</v>
      </c>
      <c r="M131" s="39">
        <f t="shared" si="78"/>
        <v>3206.25</v>
      </c>
      <c r="N131" s="39">
        <f t="shared" si="78"/>
        <v>0</v>
      </c>
      <c r="O131" s="39">
        <f t="shared" si="78"/>
        <v>6027.75</v>
      </c>
      <c r="P131" s="39">
        <f t="shared" si="78"/>
        <v>0</v>
      </c>
      <c r="Q131" s="39">
        <f t="shared" si="78"/>
        <v>1667.25</v>
      </c>
      <c r="R131" s="39">
        <f t="shared" si="78"/>
        <v>4745.25</v>
      </c>
      <c r="S131" s="39">
        <f t="shared" si="78"/>
        <v>0</v>
      </c>
      <c r="T131" s="39">
        <f t="shared" si="78"/>
        <v>1667.25</v>
      </c>
      <c r="U131" s="39">
        <f t="shared" si="78"/>
        <v>2180.25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5"/>
      <c r="AJ131" s="2"/>
      <c r="AK131" s="2"/>
      <c r="AL131" s="2"/>
      <c r="AM131" s="2"/>
      <c r="AN131" s="2"/>
      <c r="AO131" s="2"/>
      <c r="AP131" s="5"/>
      <c r="AQ131" s="5"/>
    </row>
    <row r="132">
      <c r="A132" s="2"/>
      <c r="B132" s="5"/>
      <c r="C132" s="2"/>
      <c r="D132" s="2" t="str">
        <f t="shared" si="72"/>
        <v>Stock 7</v>
      </c>
      <c r="E132" s="2"/>
      <c r="F132" s="2"/>
      <c r="G132" s="2"/>
      <c r="H132" s="2" t="str">
        <f t="shared" si="73"/>
        <v>SkyRockets</v>
      </c>
      <c r="I132" s="2"/>
      <c r="J132" s="39">
        <f t="shared" ref="J132:U132" si="79">if($H$132="",0,if($H$132="Sky Rockets",J27*$W$8*$AA$27,if($H$132="Steady Eddy",J27*$X$8*$AA$27,J27*$Y$8*$AA$27)))</f>
        <v>4389.57</v>
      </c>
      <c r="K132" s="39">
        <f t="shared" si="79"/>
        <v>1936.575</v>
      </c>
      <c r="L132" s="39">
        <f t="shared" si="79"/>
        <v>0</v>
      </c>
      <c r="M132" s="39">
        <f t="shared" si="79"/>
        <v>3098.52</v>
      </c>
      <c r="N132" s="39">
        <f t="shared" si="79"/>
        <v>0</v>
      </c>
      <c r="O132" s="39">
        <f t="shared" si="79"/>
        <v>0</v>
      </c>
      <c r="P132" s="39">
        <f t="shared" si="79"/>
        <v>0</v>
      </c>
      <c r="Q132" s="39">
        <f t="shared" si="79"/>
        <v>1936.575</v>
      </c>
      <c r="R132" s="39">
        <f t="shared" si="79"/>
        <v>4260.465</v>
      </c>
      <c r="S132" s="39">
        <f t="shared" si="79"/>
        <v>0</v>
      </c>
      <c r="T132" s="39">
        <f t="shared" si="79"/>
        <v>1936.575</v>
      </c>
      <c r="U132" s="39">
        <f t="shared" si="79"/>
        <v>387.315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5"/>
      <c r="AJ132" s="2"/>
      <c r="AK132" s="2"/>
      <c r="AL132" s="2"/>
      <c r="AM132" s="2"/>
      <c r="AN132" s="2"/>
      <c r="AO132" s="2"/>
      <c r="AP132" s="5"/>
      <c r="AQ132" s="5"/>
    </row>
    <row r="133">
      <c r="A133" s="2"/>
      <c r="B133" s="5"/>
      <c r="C133" s="2"/>
      <c r="D133" s="2" t="str">
        <f t="shared" si="72"/>
        <v>Stock 8</v>
      </c>
      <c r="E133" s="2"/>
      <c r="F133" s="2"/>
      <c r="G133" s="2"/>
      <c r="H133" s="2" t="str">
        <f t="shared" si="73"/>
        <v>SkyRockets</v>
      </c>
      <c r="I133" s="2"/>
      <c r="J133" s="39">
        <f t="shared" ref="J133:U133" si="80">if($H$133="",0,if($H$133="Sky Rockets",J28*$W$8*$AA$28,if($H$133="Steady Eddy",J28*$X$8*$AA$28,J28*$Y$8*$AA$28)))</f>
        <v>4808.52</v>
      </c>
      <c r="K133" s="39">
        <f t="shared" si="80"/>
        <v>2209.32</v>
      </c>
      <c r="L133" s="39">
        <f t="shared" si="80"/>
        <v>0</v>
      </c>
      <c r="M133" s="39">
        <f t="shared" si="80"/>
        <v>3508.92</v>
      </c>
      <c r="N133" s="39">
        <f t="shared" si="80"/>
        <v>4808.52</v>
      </c>
      <c r="O133" s="39">
        <f t="shared" si="80"/>
        <v>0</v>
      </c>
      <c r="P133" s="39">
        <f t="shared" si="80"/>
        <v>0</v>
      </c>
      <c r="Q133" s="39">
        <f t="shared" si="80"/>
        <v>2209.32</v>
      </c>
      <c r="R133" s="39">
        <f t="shared" si="80"/>
        <v>0</v>
      </c>
      <c r="S133" s="39">
        <f t="shared" si="80"/>
        <v>3508.92</v>
      </c>
      <c r="T133" s="39">
        <f t="shared" si="80"/>
        <v>2209.32</v>
      </c>
      <c r="U133" s="39">
        <f t="shared" si="80"/>
        <v>649.8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5"/>
      <c r="AJ133" s="2"/>
      <c r="AK133" s="2"/>
      <c r="AL133" s="2"/>
      <c r="AM133" s="2"/>
      <c r="AN133" s="2"/>
      <c r="AO133" s="2"/>
      <c r="AP133" s="5"/>
      <c r="AQ133" s="5"/>
    </row>
    <row r="134">
      <c r="A134" s="2"/>
      <c r="B134" s="5"/>
      <c r="C134" s="2"/>
      <c r="D134" s="2" t="str">
        <f t="shared" si="72"/>
        <v>Stock 9</v>
      </c>
      <c r="E134" s="2"/>
      <c r="F134" s="2"/>
      <c r="G134" s="2"/>
      <c r="H134" s="2" t="str">
        <f t="shared" si="73"/>
        <v>Steady Eddy</v>
      </c>
      <c r="I134" s="2"/>
      <c r="J134" s="39">
        <f t="shared" ref="J134:U134" si="81">if($H$134="",0,if($H$134="Sky Rockets",J29*$W$8*$AA$29,if($H$134="Steady Eddy",J29*$X$8*$AA$29,J29*$Y$8*$AA$29)))</f>
        <v>4447.71</v>
      </c>
      <c r="K134" s="39">
        <f t="shared" si="81"/>
        <v>1569.78</v>
      </c>
      <c r="L134" s="39">
        <f t="shared" si="81"/>
        <v>4840.155</v>
      </c>
      <c r="M134" s="39">
        <f t="shared" si="81"/>
        <v>3139.56</v>
      </c>
      <c r="N134" s="39">
        <f t="shared" si="81"/>
        <v>4186.08</v>
      </c>
      <c r="O134" s="39">
        <f t="shared" si="81"/>
        <v>0</v>
      </c>
      <c r="P134" s="39">
        <f t="shared" si="81"/>
        <v>0</v>
      </c>
      <c r="Q134" s="39">
        <f t="shared" si="81"/>
        <v>1569.78</v>
      </c>
      <c r="R134" s="39">
        <f t="shared" si="81"/>
        <v>0</v>
      </c>
      <c r="S134" s="39">
        <f t="shared" si="81"/>
        <v>3139.56</v>
      </c>
      <c r="T134" s="39">
        <f t="shared" si="81"/>
        <v>1569.78</v>
      </c>
      <c r="U134" s="39">
        <f t="shared" si="81"/>
        <v>915.705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5"/>
      <c r="AJ134" s="2"/>
      <c r="AK134" s="2"/>
      <c r="AL134" s="2"/>
      <c r="AM134" s="2"/>
      <c r="AN134" s="2"/>
      <c r="AO134" s="2"/>
      <c r="AP134" s="5"/>
      <c r="AQ134" s="5"/>
    </row>
    <row r="135">
      <c r="A135" s="2"/>
      <c r="B135" s="5"/>
      <c r="C135" s="2"/>
      <c r="D135" s="2" t="str">
        <f t="shared" si="72"/>
        <v>Stock 10</v>
      </c>
      <c r="E135" s="2"/>
      <c r="F135" s="2"/>
      <c r="G135" s="2"/>
      <c r="H135" s="2" t="str">
        <f t="shared" si="73"/>
        <v>Steady Eddy</v>
      </c>
      <c r="I135" s="2"/>
      <c r="J135" s="39">
        <f t="shared" ref="J135:U135" si="82">if($H$135="",0,if($H$135="Sky Rockets",J30*$W$8*$AA$30,if($H$135="Steady Eddy",J30*$X$8*$AA$30,J30*$Y$8*$AA$30)))</f>
        <v>4345.11</v>
      </c>
      <c r="K135" s="39">
        <f t="shared" si="82"/>
        <v>1843.38</v>
      </c>
      <c r="L135" s="39">
        <f t="shared" si="82"/>
        <v>4081.77</v>
      </c>
      <c r="M135" s="39">
        <f t="shared" si="82"/>
        <v>3028.41</v>
      </c>
      <c r="N135" s="39">
        <f t="shared" si="82"/>
        <v>4476.78</v>
      </c>
      <c r="O135" s="39">
        <f t="shared" si="82"/>
        <v>4081.77</v>
      </c>
      <c r="P135" s="39">
        <f t="shared" si="82"/>
        <v>0</v>
      </c>
      <c r="Q135" s="39">
        <f t="shared" si="82"/>
        <v>1843.38</v>
      </c>
      <c r="R135" s="39">
        <f t="shared" si="82"/>
        <v>5398.47</v>
      </c>
      <c r="S135" s="39">
        <f t="shared" si="82"/>
        <v>3028.41</v>
      </c>
      <c r="T135" s="39">
        <f t="shared" si="82"/>
        <v>0</v>
      </c>
      <c r="U135" s="39">
        <f t="shared" si="82"/>
        <v>131.67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5"/>
      <c r="AJ135" s="2"/>
      <c r="AK135" s="2"/>
      <c r="AL135" s="2"/>
      <c r="AM135" s="2"/>
      <c r="AN135" s="2"/>
      <c r="AO135" s="2"/>
      <c r="AP135" s="5"/>
      <c r="AQ135" s="5"/>
    </row>
    <row r="136">
      <c r="A136" s="2"/>
      <c r="B136" s="5"/>
      <c r="C136" s="2"/>
      <c r="D136" s="2" t="str">
        <f t="shared" si="72"/>
        <v>Stock 11</v>
      </c>
      <c r="E136" s="2"/>
      <c r="F136" s="2"/>
      <c r="G136" s="2"/>
      <c r="H136" s="2" t="str">
        <f t="shared" si="73"/>
        <v>Steady Eddy</v>
      </c>
      <c r="I136" s="2"/>
      <c r="J136" s="39">
        <f t="shared" ref="J136:U136" si="83">if($H$136="",0,if($H$136="Sky Rockets",J31*$W$8*$AA$31,if($H$136="Steady Eddy",J31*$X$8*$AA$31,J31*$Y$8*$AA$31)))</f>
        <v>4638.375</v>
      </c>
      <c r="K136" s="39">
        <f t="shared" si="83"/>
        <v>2120.4</v>
      </c>
      <c r="L136" s="39">
        <f t="shared" si="83"/>
        <v>4638.375</v>
      </c>
      <c r="M136" s="39">
        <f t="shared" si="83"/>
        <v>0</v>
      </c>
      <c r="N136" s="39">
        <f t="shared" si="83"/>
        <v>4770.9</v>
      </c>
      <c r="O136" s="39">
        <f t="shared" si="83"/>
        <v>4638.375</v>
      </c>
      <c r="P136" s="39">
        <f t="shared" si="83"/>
        <v>1987.875</v>
      </c>
      <c r="Q136" s="39">
        <f t="shared" si="83"/>
        <v>2120.4</v>
      </c>
      <c r="R136" s="39">
        <f t="shared" si="83"/>
        <v>7288.875</v>
      </c>
      <c r="S136" s="39">
        <f t="shared" si="83"/>
        <v>3313.125</v>
      </c>
      <c r="T136" s="39">
        <f t="shared" si="83"/>
        <v>0</v>
      </c>
      <c r="U136" s="39">
        <f t="shared" si="83"/>
        <v>662.625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5"/>
      <c r="AJ136" s="2"/>
      <c r="AK136" s="2"/>
      <c r="AL136" s="2"/>
      <c r="AM136" s="2"/>
      <c r="AN136" s="2"/>
      <c r="AO136" s="2"/>
      <c r="AP136" s="5"/>
      <c r="AQ136" s="5"/>
    </row>
    <row r="137">
      <c r="A137" s="2"/>
      <c r="B137" s="5"/>
      <c r="C137" s="2"/>
      <c r="D137" s="2" t="str">
        <f t="shared" si="72"/>
        <v>Stock 12</v>
      </c>
      <c r="E137" s="2"/>
      <c r="F137" s="2"/>
      <c r="G137" s="2"/>
      <c r="H137" s="2" t="str">
        <f t="shared" si="73"/>
        <v>Steady Eddy</v>
      </c>
      <c r="I137" s="2"/>
      <c r="J137" s="39">
        <f t="shared" ref="J137:U137" si="84">if($H$137="",0,if($H$137="Sky Rockets",J32*$W$8*$AA$32,if($H$137="Steady Eddy",J32*$X$8*$AA$32,J32*$Y$8*$AA$32)))</f>
        <v>5068.44</v>
      </c>
      <c r="K137" s="39">
        <f t="shared" si="84"/>
        <v>2400.84</v>
      </c>
      <c r="L137" s="39">
        <f t="shared" si="84"/>
        <v>5201.82</v>
      </c>
      <c r="M137" s="39">
        <f t="shared" si="84"/>
        <v>0</v>
      </c>
      <c r="N137" s="39">
        <f t="shared" si="84"/>
        <v>5068.44</v>
      </c>
      <c r="O137" s="39">
        <f t="shared" si="84"/>
        <v>5201.82</v>
      </c>
      <c r="P137" s="39">
        <f t="shared" si="84"/>
        <v>2400.84</v>
      </c>
      <c r="Q137" s="39">
        <f t="shared" si="84"/>
        <v>2400.84</v>
      </c>
      <c r="R137" s="39">
        <f t="shared" si="84"/>
        <v>9203.22</v>
      </c>
      <c r="S137" s="39">
        <f t="shared" si="84"/>
        <v>3734.64</v>
      </c>
      <c r="T137" s="39">
        <f t="shared" si="84"/>
        <v>2400.84</v>
      </c>
      <c r="U137" s="39">
        <f t="shared" si="84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5"/>
      <c r="AJ137" s="2"/>
      <c r="AK137" s="2"/>
      <c r="AL137" s="2"/>
      <c r="AM137" s="2"/>
      <c r="AN137" s="2"/>
      <c r="AO137" s="2"/>
      <c r="AP137" s="5"/>
      <c r="AQ137" s="5"/>
    </row>
    <row r="138">
      <c r="A138" s="2"/>
      <c r="B138" s="5"/>
      <c r="C138" s="2"/>
      <c r="D138" s="2" t="str">
        <f t="shared" si="72"/>
        <v>Stock 13</v>
      </c>
      <c r="E138" s="2"/>
      <c r="F138" s="2"/>
      <c r="G138" s="2"/>
      <c r="H138" s="2" t="str">
        <f t="shared" si="73"/>
        <v>Steady Eddy</v>
      </c>
      <c r="I138" s="2"/>
      <c r="J138" s="39">
        <f t="shared" ref="J138:U138" si="85">if($H$138="",0,if($H$138="Sky Rockets",J33*$W$8*$AA$33,if($H$138="Steady Eddy",J33*$X$8*$AA$33,J33*$Y$8*$AA$33)))</f>
        <v>4832.46</v>
      </c>
      <c r="K138" s="39">
        <f t="shared" si="85"/>
        <v>1745.055</v>
      </c>
      <c r="L138" s="39">
        <f t="shared" si="85"/>
        <v>5100.93</v>
      </c>
      <c r="M138" s="39">
        <f t="shared" si="85"/>
        <v>0</v>
      </c>
      <c r="N138" s="39">
        <f t="shared" si="85"/>
        <v>4429.755</v>
      </c>
      <c r="O138" s="39">
        <f t="shared" si="85"/>
        <v>5100.93</v>
      </c>
      <c r="P138" s="39">
        <f t="shared" si="85"/>
        <v>2147.76</v>
      </c>
      <c r="Q138" s="39">
        <f t="shared" si="85"/>
        <v>1745.055</v>
      </c>
      <c r="R138" s="39">
        <f t="shared" si="85"/>
        <v>0</v>
      </c>
      <c r="S138" s="39">
        <f t="shared" si="85"/>
        <v>3490.11</v>
      </c>
      <c r="T138" s="39">
        <f t="shared" si="85"/>
        <v>1745.055</v>
      </c>
      <c r="U138" s="39">
        <f t="shared" si="85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5"/>
      <c r="AJ138" s="2"/>
      <c r="AK138" s="2"/>
      <c r="AL138" s="2"/>
      <c r="AM138" s="2"/>
      <c r="AN138" s="2"/>
      <c r="AO138" s="2"/>
      <c r="AP138" s="5"/>
      <c r="AQ138" s="5"/>
    </row>
    <row r="139">
      <c r="A139" s="2"/>
      <c r="B139" s="5"/>
      <c r="C139" s="2"/>
      <c r="D139" s="2" t="str">
        <f t="shared" si="72"/>
        <v>Stock 14</v>
      </c>
      <c r="E139" s="2"/>
      <c r="F139" s="2"/>
      <c r="G139" s="2"/>
      <c r="H139" s="2" t="str">
        <f t="shared" si="73"/>
        <v>SkyRockets</v>
      </c>
      <c r="I139" s="2"/>
      <c r="J139" s="39">
        <f t="shared" ref="J139:U139" si="86">if($H$139="",0,if($H$139="Sky Rockets",J34*$W$8*$AA$34,if($H$139="Steady Eddy",J34*$X$8*$AA$34,J34*$Y$8*$AA$34)))</f>
        <v>4728.15</v>
      </c>
      <c r="K139" s="39">
        <f t="shared" si="86"/>
        <v>2026.35</v>
      </c>
      <c r="L139" s="39">
        <f t="shared" si="86"/>
        <v>4728.15</v>
      </c>
      <c r="M139" s="39">
        <f t="shared" si="86"/>
        <v>3377.25</v>
      </c>
      <c r="N139" s="39">
        <f t="shared" si="86"/>
        <v>0</v>
      </c>
      <c r="O139" s="39">
        <f t="shared" si="86"/>
        <v>0</v>
      </c>
      <c r="P139" s="39">
        <f t="shared" si="86"/>
        <v>2026.35</v>
      </c>
      <c r="Q139" s="39">
        <f t="shared" si="86"/>
        <v>0</v>
      </c>
      <c r="R139" s="39">
        <f t="shared" si="86"/>
        <v>0</v>
      </c>
      <c r="S139" s="39">
        <f t="shared" si="86"/>
        <v>0</v>
      </c>
      <c r="T139" s="39">
        <f t="shared" si="86"/>
        <v>2026.35</v>
      </c>
      <c r="U139" s="39">
        <f t="shared" si="86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5"/>
      <c r="AJ139" s="2"/>
      <c r="AK139" s="2"/>
      <c r="AL139" s="2"/>
      <c r="AM139" s="2"/>
      <c r="AN139" s="2"/>
      <c r="AO139" s="2"/>
      <c r="AP139" s="5"/>
      <c r="AQ139" s="5"/>
    </row>
    <row r="140">
      <c r="A140" s="2"/>
      <c r="B140" s="5"/>
      <c r="C140" s="2"/>
      <c r="D140" s="2" t="str">
        <f t="shared" si="72"/>
        <v>Stock 15</v>
      </c>
      <c r="E140" s="2"/>
      <c r="F140" s="2"/>
      <c r="G140" s="2"/>
      <c r="H140" s="2" t="str">
        <f t="shared" si="73"/>
        <v>SkyRockets</v>
      </c>
      <c r="I140" s="2"/>
      <c r="J140" s="39">
        <f t="shared" ref="J140:U140" si="87">if($H$140="",0,if($H$140="Sky Rockets",J35*$W$8*$AA$35,if($H$140="Steady Eddy",J35*$X$8*$AA$35,J35*$Y$8*$AA$35)))</f>
        <v>4622.13</v>
      </c>
      <c r="K140" s="39">
        <f t="shared" si="87"/>
        <v>2311.065</v>
      </c>
      <c r="L140" s="39">
        <f t="shared" si="87"/>
        <v>4350.24</v>
      </c>
      <c r="M140" s="39">
        <f t="shared" si="87"/>
        <v>3262.68</v>
      </c>
      <c r="N140" s="39">
        <f t="shared" si="87"/>
        <v>0</v>
      </c>
      <c r="O140" s="39">
        <f t="shared" si="87"/>
        <v>0</v>
      </c>
      <c r="P140" s="39">
        <f t="shared" si="87"/>
        <v>1903.23</v>
      </c>
      <c r="Q140" s="39">
        <f t="shared" si="87"/>
        <v>0</v>
      </c>
      <c r="R140" s="39">
        <f t="shared" si="87"/>
        <v>5709.69</v>
      </c>
      <c r="S140" s="39">
        <f t="shared" si="87"/>
        <v>0</v>
      </c>
      <c r="T140" s="39">
        <f t="shared" si="87"/>
        <v>2311.065</v>
      </c>
      <c r="U140" s="39">
        <f t="shared" si="87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5"/>
      <c r="AJ140" s="2"/>
      <c r="AK140" s="2"/>
      <c r="AL140" s="2"/>
      <c r="AM140" s="2"/>
      <c r="AN140" s="2"/>
      <c r="AO140" s="2"/>
      <c r="AP140" s="5"/>
      <c r="AQ140" s="5"/>
    </row>
    <row r="141">
      <c r="A141" s="2"/>
      <c r="B141" s="5"/>
      <c r="C141" s="2"/>
      <c r="D141" s="2" t="str">
        <f t="shared" si="72"/>
        <v>Stock 16</v>
      </c>
      <c r="E141" s="2"/>
      <c r="F141" s="2"/>
      <c r="G141" s="2"/>
      <c r="H141" s="2" t="str">
        <f t="shared" si="73"/>
        <v>SkyRockets</v>
      </c>
      <c r="I141" s="2"/>
      <c r="J141" s="39">
        <f t="shared" ref="J141:U141" si="88">if($H$141="",0,if($H$141="Sky Rockets",J36*$W$8*$AA$36,if($H$141="Steady Eddy",J36*$X$8*$AA$36,J36*$Y$8*$AA$36)))</f>
        <v>5061.6</v>
      </c>
      <c r="K141" s="39">
        <f t="shared" si="88"/>
        <v>2599.2</v>
      </c>
      <c r="L141" s="39">
        <f t="shared" si="88"/>
        <v>4924.8</v>
      </c>
      <c r="M141" s="39">
        <f t="shared" si="88"/>
        <v>3693.6</v>
      </c>
      <c r="N141" s="39">
        <f t="shared" si="88"/>
        <v>6703.2</v>
      </c>
      <c r="O141" s="39">
        <f t="shared" si="88"/>
        <v>6292.8</v>
      </c>
      <c r="P141" s="39">
        <f t="shared" si="88"/>
        <v>2325.6</v>
      </c>
      <c r="Q141" s="39">
        <f t="shared" si="88"/>
        <v>0</v>
      </c>
      <c r="R141" s="39">
        <f t="shared" si="88"/>
        <v>4924.8</v>
      </c>
      <c r="S141" s="39">
        <f t="shared" si="88"/>
        <v>0</v>
      </c>
      <c r="T141" s="39">
        <f t="shared" si="88"/>
        <v>2599.2</v>
      </c>
      <c r="U141" s="39">
        <f t="shared" si="88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5"/>
      <c r="AJ141" s="2"/>
      <c r="AK141" s="2"/>
      <c r="AL141" s="2"/>
      <c r="AM141" s="2"/>
      <c r="AN141" s="2"/>
      <c r="AO141" s="2"/>
      <c r="AP141" s="5"/>
      <c r="AQ141" s="5"/>
    </row>
    <row r="142">
      <c r="A142" s="2"/>
      <c r="B142" s="5"/>
      <c r="C142" s="2"/>
      <c r="D142" s="2" t="str">
        <f t="shared" si="72"/>
        <v>Stock 17</v>
      </c>
      <c r="E142" s="2"/>
      <c r="F142" s="2"/>
      <c r="G142" s="2"/>
      <c r="H142" s="2" t="str">
        <f t="shared" si="73"/>
        <v>Slow Burn</v>
      </c>
      <c r="I142" s="2"/>
      <c r="J142" s="39">
        <f t="shared" ref="J142:U142" si="89">if($H$142="",0,if($H$142="Sky Rockets",J37*$W$8*$AA$37,if($H$142="Steady Eddy",J37*$X$8*$AA$37,J37*$Y$8*$AA$37)))</f>
        <v>4955.58</v>
      </c>
      <c r="K142" s="39">
        <f t="shared" si="89"/>
        <v>1514.205</v>
      </c>
      <c r="L142" s="39">
        <f t="shared" si="89"/>
        <v>4817.925</v>
      </c>
      <c r="M142" s="39">
        <f t="shared" si="89"/>
        <v>3579.03</v>
      </c>
      <c r="N142" s="39">
        <f t="shared" si="89"/>
        <v>5643.855</v>
      </c>
      <c r="O142" s="39">
        <f t="shared" si="89"/>
        <v>6194.475</v>
      </c>
      <c r="P142" s="39">
        <f t="shared" si="89"/>
        <v>2202.48</v>
      </c>
      <c r="Q142" s="39">
        <f t="shared" si="89"/>
        <v>0</v>
      </c>
      <c r="R142" s="39">
        <f t="shared" si="89"/>
        <v>3441.375</v>
      </c>
      <c r="S142" s="39">
        <f t="shared" si="89"/>
        <v>825.93</v>
      </c>
      <c r="T142" s="39">
        <f t="shared" si="89"/>
        <v>1514.205</v>
      </c>
      <c r="U142" s="39">
        <f t="shared" si="89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5"/>
      <c r="AJ142" s="2"/>
      <c r="AK142" s="2"/>
      <c r="AL142" s="2"/>
      <c r="AM142" s="2"/>
      <c r="AN142" s="2"/>
      <c r="AO142" s="2"/>
      <c r="AP142" s="5"/>
      <c r="AQ142" s="5"/>
    </row>
    <row r="143">
      <c r="A143" s="2"/>
      <c r="B143" s="5"/>
      <c r="C143" s="2"/>
      <c r="D143" s="2" t="str">
        <f t="shared" si="72"/>
        <v>Stock 18</v>
      </c>
      <c r="E143" s="2"/>
      <c r="F143" s="2"/>
      <c r="G143" s="2"/>
      <c r="H143" s="2" t="str">
        <f t="shared" si="73"/>
        <v>Slow Burn</v>
      </c>
      <c r="I143" s="2"/>
      <c r="J143" s="39">
        <f t="shared" ref="J143:U143" si="90">if($H$143="",0,if($H$143="Sky Rockets",J38*$W$8*$AA$38,if($H$143="Steady Eddy",J38*$X$8*$AA$38,J38*$Y$8*$AA$38)))</f>
        <v>4432.32</v>
      </c>
      <c r="K143" s="39">
        <f t="shared" si="90"/>
        <v>1662.12</v>
      </c>
      <c r="L143" s="39">
        <f t="shared" si="90"/>
        <v>4709.34</v>
      </c>
      <c r="M143" s="39">
        <f t="shared" si="90"/>
        <v>3047.22</v>
      </c>
      <c r="N143" s="39">
        <f t="shared" si="90"/>
        <v>5817.42</v>
      </c>
      <c r="O143" s="39">
        <f t="shared" si="90"/>
        <v>6094.44</v>
      </c>
      <c r="P143" s="39">
        <f t="shared" si="90"/>
        <v>1662.12</v>
      </c>
      <c r="Q143" s="39">
        <f t="shared" si="90"/>
        <v>1662.12</v>
      </c>
      <c r="R143" s="39">
        <f t="shared" si="90"/>
        <v>3324.24</v>
      </c>
      <c r="S143" s="39">
        <f t="shared" si="90"/>
        <v>277.02</v>
      </c>
      <c r="T143" s="39">
        <f t="shared" si="90"/>
        <v>1662.12</v>
      </c>
      <c r="U143" s="39">
        <f t="shared" si="90"/>
        <v>554.04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5"/>
      <c r="AJ143" s="2"/>
      <c r="AK143" s="2"/>
      <c r="AL143" s="2"/>
      <c r="AM143" s="2"/>
      <c r="AN143" s="2"/>
      <c r="AO143" s="2"/>
      <c r="AP143" s="5"/>
      <c r="AQ143" s="5"/>
    </row>
    <row r="144">
      <c r="A144" s="2"/>
      <c r="B144" s="5"/>
      <c r="C144" s="2"/>
      <c r="D144" s="2" t="str">
        <f t="shared" si="72"/>
        <v>Stock 19</v>
      </c>
      <c r="E144" s="2"/>
      <c r="F144" s="2"/>
      <c r="G144" s="2"/>
      <c r="H144" s="2" t="str">
        <f t="shared" si="73"/>
        <v>SkyRockets</v>
      </c>
      <c r="I144" s="2"/>
      <c r="J144" s="39">
        <f t="shared" ref="J144:U144" si="91">if($H$144="",0,if($H$144="Sky Rockets",J39*$W$8*$AA$39,if($H$144="Steady Eddy",J39*$X$8*$AA$39,J39*$Y$8*$AA$39)))</f>
        <v>4320.315</v>
      </c>
      <c r="K144" s="39">
        <f t="shared" si="91"/>
        <v>1951.11</v>
      </c>
      <c r="L144" s="39">
        <f t="shared" si="91"/>
        <v>5156.505</v>
      </c>
      <c r="M144" s="39">
        <f t="shared" si="91"/>
        <v>2926.665</v>
      </c>
      <c r="N144" s="39">
        <f t="shared" si="91"/>
        <v>6132.06</v>
      </c>
      <c r="O144" s="39">
        <f t="shared" si="91"/>
        <v>6550.155</v>
      </c>
      <c r="P144" s="39">
        <f t="shared" si="91"/>
        <v>1533.015</v>
      </c>
      <c r="Q144" s="39">
        <f t="shared" si="91"/>
        <v>1951.11</v>
      </c>
      <c r="R144" s="39">
        <f t="shared" si="91"/>
        <v>2369.205</v>
      </c>
      <c r="S144" s="39">
        <f t="shared" si="91"/>
        <v>139.365</v>
      </c>
      <c r="T144" s="39">
        <f t="shared" si="91"/>
        <v>1951.11</v>
      </c>
      <c r="U144" s="39">
        <f t="shared" si="91"/>
        <v>975.555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5"/>
      <c r="AJ144" s="2"/>
      <c r="AK144" s="2"/>
      <c r="AL144" s="2"/>
      <c r="AM144" s="2"/>
      <c r="AN144" s="2"/>
      <c r="AO144" s="2"/>
      <c r="AP144" s="5"/>
      <c r="AQ144" s="5"/>
    </row>
    <row r="145">
      <c r="A145" s="2"/>
      <c r="B145" s="5"/>
      <c r="C145" s="2"/>
      <c r="D145" s="2" t="str">
        <f t="shared" si="72"/>
        <v>Stock 20</v>
      </c>
      <c r="E145" s="2"/>
      <c r="F145" s="2"/>
      <c r="G145" s="2"/>
      <c r="H145" s="2" t="str">
        <f t="shared" si="73"/>
        <v>Steady Eddy</v>
      </c>
      <c r="I145" s="2"/>
      <c r="J145" s="39">
        <f t="shared" ref="J145:U145" si="92">if($H$145="",0,if($H$145="Sky Rockets",J40*$W$8*$AA$40,if($H$145="Steady Eddy",J40*$X$8*$AA$40,J40*$Y$8*$AA$40)))</f>
        <v>4767.48</v>
      </c>
      <c r="K145" s="39">
        <f t="shared" si="92"/>
        <v>2523.96</v>
      </c>
      <c r="L145" s="39">
        <f t="shared" si="92"/>
        <v>5328.36</v>
      </c>
      <c r="M145" s="39">
        <f t="shared" si="92"/>
        <v>3365.28</v>
      </c>
      <c r="N145" s="39">
        <f t="shared" si="92"/>
        <v>6730.56</v>
      </c>
      <c r="O145" s="39">
        <f t="shared" si="92"/>
        <v>6730.56</v>
      </c>
      <c r="P145" s="39">
        <f t="shared" si="92"/>
        <v>1963.08</v>
      </c>
      <c r="Q145" s="39">
        <f t="shared" si="92"/>
        <v>2523.96</v>
      </c>
      <c r="R145" s="39">
        <f t="shared" si="92"/>
        <v>5328.36</v>
      </c>
      <c r="S145" s="39">
        <f t="shared" si="92"/>
        <v>560.88</v>
      </c>
      <c r="T145" s="39">
        <f t="shared" si="92"/>
        <v>2523.96</v>
      </c>
      <c r="U145" s="39">
        <f t="shared" si="92"/>
        <v>1121.76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5"/>
      <c r="AJ145" s="2"/>
      <c r="AK145" s="2"/>
      <c r="AL145" s="2"/>
      <c r="AM145" s="2"/>
      <c r="AN145" s="2"/>
      <c r="AO145" s="2"/>
      <c r="AP145" s="5"/>
      <c r="AQ145" s="5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5"/>
      <c r="AJ146" s="2"/>
      <c r="AK146" s="2"/>
      <c r="AL146" s="2"/>
      <c r="AM146" s="2"/>
      <c r="AN146" s="2"/>
      <c r="AO146" s="2"/>
      <c r="AP146" s="5"/>
      <c r="AQ146" s="5"/>
    </row>
    <row r="147">
      <c r="A147" s="2"/>
      <c r="B147" s="5"/>
      <c r="C147" s="2"/>
      <c r="D147" s="2" t="str">
        <f>D124</f>
        <v>Calculations</v>
      </c>
      <c r="E147" s="2"/>
      <c r="F147" s="2"/>
      <c r="G147" s="2"/>
      <c r="H147" s="2">
        <f>U8</f>
        <v>60</v>
      </c>
      <c r="I147" s="2"/>
      <c r="J147" s="78">
        <f t="shared" ref="J147:U147" si="93">sum(J126:J145)</f>
        <v>92034.765</v>
      </c>
      <c r="K147" s="78">
        <f t="shared" si="93"/>
        <v>33315.93</v>
      </c>
      <c r="L147" s="78">
        <f t="shared" si="93"/>
        <v>80635.905</v>
      </c>
      <c r="M147" s="78">
        <f t="shared" si="93"/>
        <v>48392.145</v>
      </c>
      <c r="N147" s="78">
        <f t="shared" si="93"/>
        <v>67692.915</v>
      </c>
      <c r="O147" s="78">
        <f t="shared" si="93"/>
        <v>86078.835</v>
      </c>
      <c r="P147" s="78">
        <f t="shared" si="93"/>
        <v>25396.065</v>
      </c>
      <c r="Q147" s="78">
        <f t="shared" si="93"/>
        <v>24518.835</v>
      </c>
      <c r="R147" s="78">
        <f t="shared" si="93"/>
        <v>67144.86</v>
      </c>
      <c r="S147" s="78">
        <f t="shared" si="93"/>
        <v>25293.465</v>
      </c>
      <c r="T147" s="78">
        <f t="shared" si="93"/>
        <v>30808.215</v>
      </c>
      <c r="U147" s="78">
        <f t="shared" si="93"/>
        <v>11434.77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5"/>
      <c r="AJ147" s="2"/>
      <c r="AK147" s="2"/>
      <c r="AL147" s="2"/>
      <c r="AM147" s="2"/>
      <c r="AN147" s="2"/>
      <c r="AO147" s="2"/>
      <c r="AP147" s="5"/>
      <c r="AQ147" s="5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5"/>
      <c r="AJ148" s="2"/>
      <c r="AK148" s="2"/>
      <c r="AL148" s="2"/>
      <c r="AM148" s="2"/>
      <c r="AN148" s="2"/>
      <c r="AO148" s="2"/>
      <c r="AP148" s="5"/>
      <c r="AQ148" s="5"/>
    </row>
    <row r="149">
      <c r="A149" s="2"/>
      <c r="B149" s="5"/>
      <c r="C149" s="2"/>
      <c r="D149" s="2"/>
      <c r="E149" s="2"/>
      <c r="F149" s="3" t="s">
        <v>89</v>
      </c>
      <c r="G149" s="2"/>
      <c r="H149" s="2"/>
      <c r="I149" s="2"/>
      <c r="J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5"/>
      <c r="AJ149" s="2"/>
      <c r="AK149" s="2"/>
      <c r="AL149" s="2"/>
      <c r="AM149" s="2"/>
      <c r="AN149" s="2"/>
      <c r="AO149" s="2"/>
      <c r="AP149" s="5"/>
      <c r="AQ149" s="5"/>
    </row>
    <row r="150">
      <c r="A150" s="2"/>
      <c r="B150" s="5"/>
      <c r="C150" s="2"/>
      <c r="D150" s="2" t="str">
        <f t="shared" ref="D150:D169" si="95">D103</f>
        <v>Stock 1</v>
      </c>
      <c r="E150" s="2"/>
      <c r="F150" s="2"/>
      <c r="G150" s="2"/>
      <c r="H150" s="2" t="str">
        <f t="shared" ref="H150:H169" si="96">H126</f>
        <v>SkyRockets</v>
      </c>
      <c r="I150" s="2"/>
      <c r="J150" s="39">
        <f t="shared" ref="J150:U150" si="94">if($H$150="",0,if($H$150="Sky Rockets",J21*$W$9*$AB$21,if($H$150="Steady Eddy",J21*$X$9*$AB$21,J21*$Y$9*$AB$21)))</f>
        <v>4969.44</v>
      </c>
      <c r="K150" s="39">
        <f t="shared" si="94"/>
        <v>1753.92</v>
      </c>
      <c r="L150" s="39">
        <f t="shared" si="94"/>
        <v>5115.6</v>
      </c>
      <c r="M150" s="39">
        <f t="shared" si="94"/>
        <v>3507.84</v>
      </c>
      <c r="N150" s="39">
        <f t="shared" si="94"/>
        <v>1753.92</v>
      </c>
      <c r="O150" s="39">
        <f t="shared" si="94"/>
        <v>6723.36</v>
      </c>
      <c r="P150" s="39">
        <f t="shared" si="94"/>
        <v>2046.24</v>
      </c>
      <c r="Q150" s="39">
        <f t="shared" si="94"/>
        <v>1753.92</v>
      </c>
      <c r="R150" s="39">
        <f t="shared" si="94"/>
        <v>5261.76</v>
      </c>
      <c r="S150" s="39">
        <f t="shared" si="94"/>
        <v>584.64</v>
      </c>
      <c r="T150" s="39">
        <f t="shared" si="94"/>
        <v>292.32</v>
      </c>
      <c r="U150" s="39">
        <f t="shared" si="94"/>
        <v>2338.56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5"/>
      <c r="AJ150" s="2"/>
      <c r="AK150" s="2"/>
      <c r="AL150" s="2"/>
      <c r="AM150" s="2"/>
      <c r="AN150" s="2"/>
      <c r="AO150" s="2"/>
      <c r="AP150" s="5"/>
      <c r="AQ150" s="5"/>
    </row>
    <row r="151">
      <c r="A151" s="2"/>
      <c r="B151" s="5"/>
      <c r="C151" s="2"/>
      <c r="D151" s="2" t="str">
        <f t="shared" si="95"/>
        <v>Stock 2</v>
      </c>
      <c r="E151" s="2"/>
      <c r="F151" s="2"/>
      <c r="G151" s="2"/>
      <c r="H151" s="2" t="str">
        <f t="shared" si="96"/>
        <v>Steady Eddy</v>
      </c>
      <c r="I151" s="2"/>
      <c r="J151" s="39">
        <f t="shared" ref="J151:U151" si="97">if($H$151="",0,if($H$151="Sky Rockets",J22*$W$9*$AB$22,if($H$151="Steady Eddy",J22*$X$9*$AB$22,J22*$Y$9*$AB$22)))</f>
        <v>2428.272</v>
      </c>
      <c r="K151" s="39">
        <f t="shared" si="97"/>
        <v>1030.176</v>
      </c>
      <c r="L151" s="39">
        <f t="shared" si="97"/>
        <v>2575.44</v>
      </c>
      <c r="M151" s="39">
        <f t="shared" si="97"/>
        <v>1692.432</v>
      </c>
      <c r="N151" s="39">
        <f t="shared" si="97"/>
        <v>1030.176</v>
      </c>
      <c r="O151" s="39">
        <f t="shared" si="97"/>
        <v>3311.28</v>
      </c>
      <c r="P151" s="39">
        <f t="shared" si="97"/>
        <v>956.592</v>
      </c>
      <c r="Q151" s="39">
        <f t="shared" si="97"/>
        <v>0</v>
      </c>
      <c r="R151" s="39">
        <f t="shared" si="97"/>
        <v>1839.6</v>
      </c>
      <c r="S151" s="39">
        <f t="shared" si="97"/>
        <v>220.752</v>
      </c>
      <c r="T151" s="39">
        <f t="shared" si="97"/>
        <v>0</v>
      </c>
      <c r="U151" s="39">
        <f t="shared" si="97"/>
        <v>1103.76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5"/>
      <c r="AJ151" s="2"/>
      <c r="AK151" s="2"/>
      <c r="AL151" s="2"/>
      <c r="AM151" s="2"/>
      <c r="AN151" s="2"/>
      <c r="AO151" s="2"/>
      <c r="AP151" s="5"/>
      <c r="AQ151" s="5"/>
    </row>
    <row r="152">
      <c r="A152" s="2"/>
      <c r="B152" s="5"/>
      <c r="C152" s="2"/>
      <c r="D152" s="2" t="str">
        <f t="shared" si="95"/>
        <v>Stock 3</v>
      </c>
      <c r="E152" s="2"/>
      <c r="F152" s="2"/>
      <c r="G152" s="2"/>
      <c r="H152" s="2" t="str">
        <f t="shared" si="96"/>
        <v>Slow Burn</v>
      </c>
      <c r="I152" s="2"/>
      <c r="J152" s="39">
        <f t="shared" ref="J152:U152" si="98">if($H$152="",0,if($H$152="Sky Rockets",J23*$W$9*$AB$23,if($H$152="Steady Eddy",J23*$X$9*$AB$23,J23*$Y$9*$AB$23)))</f>
        <v>5186.16</v>
      </c>
      <c r="K152" s="39">
        <f t="shared" si="98"/>
        <v>0</v>
      </c>
      <c r="L152" s="39">
        <f t="shared" si="98"/>
        <v>5037.984</v>
      </c>
      <c r="M152" s="39">
        <f t="shared" si="98"/>
        <v>0</v>
      </c>
      <c r="N152" s="39">
        <f t="shared" si="98"/>
        <v>2370.816</v>
      </c>
      <c r="O152" s="39">
        <f t="shared" si="98"/>
        <v>6519.744</v>
      </c>
      <c r="P152" s="39">
        <f t="shared" si="98"/>
        <v>2222.64</v>
      </c>
      <c r="Q152" s="39">
        <f t="shared" si="98"/>
        <v>0</v>
      </c>
      <c r="R152" s="39">
        <f t="shared" si="98"/>
        <v>0</v>
      </c>
      <c r="S152" s="39">
        <f t="shared" si="98"/>
        <v>740.88</v>
      </c>
      <c r="T152" s="39">
        <f t="shared" si="98"/>
        <v>0</v>
      </c>
      <c r="U152" s="39">
        <f t="shared" si="98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5"/>
      <c r="AJ152" s="2"/>
      <c r="AK152" s="2"/>
      <c r="AL152" s="2"/>
      <c r="AM152" s="2"/>
      <c r="AN152" s="2"/>
      <c r="AO152" s="2"/>
      <c r="AP152" s="5"/>
      <c r="AQ152" s="5"/>
    </row>
    <row r="153">
      <c r="A153" s="2"/>
      <c r="B153" s="5"/>
      <c r="C153" s="2"/>
      <c r="D153" s="2" t="str">
        <f t="shared" si="95"/>
        <v>Stock 4</v>
      </c>
      <c r="E153" s="2"/>
      <c r="F153" s="2"/>
      <c r="G153" s="2"/>
      <c r="H153" s="2" t="str">
        <f t="shared" si="96"/>
        <v>Steady Eddy</v>
      </c>
      <c r="I153" s="2"/>
      <c r="J153" s="39">
        <f t="shared" ref="J153:U153" si="99">if($H$153="",0,if($H$153="Sky Rockets",J24*$W$9*$AB$24,if($H$153="Steady Eddy",J24*$X$9*$AB$24,J24*$Y$9*$AB$24)))</f>
        <v>2834.496</v>
      </c>
      <c r="K153" s="39">
        <f t="shared" si="99"/>
        <v>0</v>
      </c>
      <c r="L153" s="39">
        <f t="shared" si="99"/>
        <v>2909.088</v>
      </c>
      <c r="M153" s="39">
        <f t="shared" si="99"/>
        <v>0</v>
      </c>
      <c r="N153" s="39">
        <f t="shared" si="99"/>
        <v>1342.656</v>
      </c>
      <c r="O153" s="39">
        <f t="shared" si="99"/>
        <v>3655.008</v>
      </c>
      <c r="P153" s="39">
        <f t="shared" si="99"/>
        <v>0</v>
      </c>
      <c r="Q153" s="39">
        <f t="shared" si="99"/>
        <v>0</v>
      </c>
      <c r="R153" s="39">
        <f t="shared" si="99"/>
        <v>0</v>
      </c>
      <c r="S153" s="39">
        <f t="shared" si="99"/>
        <v>596.736</v>
      </c>
      <c r="T153" s="39">
        <f t="shared" si="99"/>
        <v>1342.656</v>
      </c>
      <c r="U153" s="39">
        <f t="shared" si="99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5"/>
      <c r="AJ153" s="2"/>
      <c r="AK153" s="2"/>
      <c r="AL153" s="2"/>
      <c r="AM153" s="2"/>
      <c r="AN153" s="2"/>
      <c r="AO153" s="2"/>
      <c r="AP153" s="5"/>
      <c r="AQ153" s="5"/>
    </row>
    <row r="154">
      <c r="A154" s="2"/>
      <c r="B154" s="5"/>
      <c r="C154" s="2"/>
      <c r="D154" s="2" t="str">
        <f t="shared" si="95"/>
        <v>Stock 5</v>
      </c>
      <c r="E154" s="2"/>
      <c r="F154" s="2"/>
      <c r="G154" s="2"/>
      <c r="H154" s="2" t="str">
        <f t="shared" si="96"/>
        <v>SkyRockets</v>
      </c>
      <c r="I154" s="2"/>
      <c r="J154" s="39">
        <f t="shared" ref="J154:U154" si="100">if($H$154="",0,if($H$154="Sky Rockets",J25*$W$9*$AB$25,if($H$154="Steady Eddy",J25*$X$9*$AB$25,J25*$Y$9*$AB$25)))</f>
        <v>5406.912</v>
      </c>
      <c r="K154" s="39">
        <f t="shared" si="100"/>
        <v>0</v>
      </c>
      <c r="L154" s="39">
        <f t="shared" si="100"/>
        <v>5707.296</v>
      </c>
      <c r="M154" s="39">
        <f t="shared" si="100"/>
        <v>3904.992</v>
      </c>
      <c r="N154" s="39">
        <f t="shared" si="100"/>
        <v>1652.112</v>
      </c>
      <c r="O154" s="39">
        <f t="shared" si="100"/>
        <v>7209.216</v>
      </c>
      <c r="P154" s="39">
        <f t="shared" si="100"/>
        <v>0</v>
      </c>
      <c r="Q154" s="39">
        <f t="shared" si="100"/>
        <v>1652.112</v>
      </c>
      <c r="R154" s="39">
        <f t="shared" si="100"/>
        <v>4205.376</v>
      </c>
      <c r="S154" s="39">
        <f t="shared" si="100"/>
        <v>901.152</v>
      </c>
      <c r="T154" s="39">
        <f t="shared" si="100"/>
        <v>2553.264</v>
      </c>
      <c r="U154" s="39">
        <f t="shared" si="100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5"/>
      <c r="AJ154" s="2"/>
      <c r="AK154" s="2"/>
      <c r="AL154" s="2"/>
      <c r="AM154" s="2"/>
      <c r="AN154" s="2"/>
      <c r="AO154" s="2"/>
      <c r="AP154" s="5"/>
      <c r="AQ154" s="5"/>
    </row>
    <row r="155">
      <c r="A155" s="2"/>
      <c r="B155" s="5"/>
      <c r="C155" s="2"/>
      <c r="D155" s="2" t="str">
        <f t="shared" si="95"/>
        <v>Stock 6</v>
      </c>
      <c r="E155" s="2"/>
      <c r="F155" s="2"/>
      <c r="G155" s="2"/>
      <c r="H155" s="2" t="str">
        <f t="shared" si="96"/>
        <v>Slow Burn</v>
      </c>
      <c r="I155" s="2"/>
      <c r="J155" s="39">
        <f t="shared" ref="J155:U155" si="101">if($H$155="",0,if($H$155="Sky Rockets",J26*$W$9*$AB$26,if($H$155="Steady Eddy",J26*$X$9*$AB$26,J26*$Y$9*$AB$26)))</f>
        <v>5292</v>
      </c>
      <c r="K155" s="39">
        <f t="shared" si="101"/>
        <v>1965.6</v>
      </c>
      <c r="L155" s="39">
        <f t="shared" si="101"/>
        <v>0</v>
      </c>
      <c r="M155" s="39">
        <f t="shared" si="101"/>
        <v>3780</v>
      </c>
      <c r="N155" s="39">
        <f t="shared" si="101"/>
        <v>0</v>
      </c>
      <c r="O155" s="39">
        <f t="shared" si="101"/>
        <v>7106.4</v>
      </c>
      <c r="P155" s="39">
        <f t="shared" si="101"/>
        <v>0</v>
      </c>
      <c r="Q155" s="39">
        <f t="shared" si="101"/>
        <v>1965.6</v>
      </c>
      <c r="R155" s="39">
        <f t="shared" si="101"/>
        <v>5594.4</v>
      </c>
      <c r="S155" s="39">
        <f t="shared" si="101"/>
        <v>0</v>
      </c>
      <c r="T155" s="39">
        <f t="shared" si="101"/>
        <v>1965.6</v>
      </c>
      <c r="U155" s="39">
        <f t="shared" si="101"/>
        <v>2570.4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5"/>
      <c r="AJ155" s="2"/>
      <c r="AK155" s="2"/>
      <c r="AL155" s="2"/>
      <c r="AM155" s="2"/>
      <c r="AN155" s="2"/>
      <c r="AO155" s="2"/>
      <c r="AP155" s="5"/>
      <c r="AQ155" s="5"/>
    </row>
    <row r="156">
      <c r="A156" s="2"/>
      <c r="B156" s="5"/>
      <c r="C156" s="2"/>
      <c r="D156" s="2" t="str">
        <f t="shared" si="95"/>
        <v>Stock 7</v>
      </c>
      <c r="E156" s="2"/>
      <c r="F156" s="2"/>
      <c r="G156" s="2"/>
      <c r="H156" s="2" t="str">
        <f t="shared" si="96"/>
        <v>SkyRockets</v>
      </c>
      <c r="I156" s="2"/>
      <c r="J156" s="39">
        <f t="shared" ref="J156:U156" si="102">if($H$156="",0,if($H$156="Sky Rockets",J27*$W$9*$AB$27,if($H$156="Steady Eddy",J27*$X$9*$AB$27,J27*$Y$9*$AB$27)))</f>
        <v>5175.072</v>
      </c>
      <c r="K156" s="39">
        <f t="shared" si="102"/>
        <v>2283.12</v>
      </c>
      <c r="L156" s="39">
        <f t="shared" si="102"/>
        <v>0</v>
      </c>
      <c r="M156" s="39">
        <f t="shared" si="102"/>
        <v>3652.992</v>
      </c>
      <c r="N156" s="39">
        <f t="shared" si="102"/>
        <v>0</v>
      </c>
      <c r="O156" s="39">
        <f t="shared" si="102"/>
        <v>0</v>
      </c>
      <c r="P156" s="39">
        <f t="shared" si="102"/>
        <v>0</v>
      </c>
      <c r="Q156" s="39">
        <f t="shared" si="102"/>
        <v>2283.12</v>
      </c>
      <c r="R156" s="39">
        <f t="shared" si="102"/>
        <v>5022.864</v>
      </c>
      <c r="S156" s="39">
        <f t="shared" si="102"/>
        <v>0</v>
      </c>
      <c r="T156" s="39">
        <f t="shared" si="102"/>
        <v>2283.12</v>
      </c>
      <c r="U156" s="39">
        <f t="shared" si="102"/>
        <v>456.624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5"/>
      <c r="AJ156" s="2"/>
      <c r="AK156" s="2"/>
      <c r="AL156" s="2"/>
      <c r="AM156" s="2"/>
      <c r="AN156" s="2"/>
      <c r="AO156" s="2"/>
      <c r="AP156" s="5"/>
      <c r="AQ156" s="5"/>
    </row>
    <row r="157">
      <c r="A157" s="2"/>
      <c r="B157" s="5"/>
      <c r="C157" s="2"/>
      <c r="D157" s="2" t="str">
        <f t="shared" si="95"/>
        <v>Stock 8</v>
      </c>
      <c r="E157" s="2"/>
      <c r="F157" s="2"/>
      <c r="G157" s="2"/>
      <c r="H157" s="2" t="str">
        <f t="shared" si="96"/>
        <v>SkyRockets</v>
      </c>
      <c r="I157" s="2"/>
      <c r="J157" s="39">
        <f t="shared" ref="J157:U157" si="103">if($H$157="",0,if($H$157="Sky Rockets",J28*$W$9*$AB$28,if($H$157="Steady Eddy",J28*$X$9*$AB$28,J28*$Y$9*$AB$28)))</f>
        <v>5668.992</v>
      </c>
      <c r="K157" s="39">
        <f t="shared" si="103"/>
        <v>2604.672</v>
      </c>
      <c r="L157" s="39">
        <f t="shared" si="103"/>
        <v>0</v>
      </c>
      <c r="M157" s="39">
        <f t="shared" si="103"/>
        <v>4136.832</v>
      </c>
      <c r="N157" s="39">
        <f t="shared" si="103"/>
        <v>5668.992</v>
      </c>
      <c r="O157" s="39">
        <f t="shared" si="103"/>
        <v>0</v>
      </c>
      <c r="P157" s="39">
        <f t="shared" si="103"/>
        <v>0</v>
      </c>
      <c r="Q157" s="39">
        <f t="shared" si="103"/>
        <v>2604.672</v>
      </c>
      <c r="R157" s="39">
        <f t="shared" si="103"/>
        <v>0</v>
      </c>
      <c r="S157" s="39">
        <f t="shared" si="103"/>
        <v>4136.832</v>
      </c>
      <c r="T157" s="39">
        <f t="shared" si="103"/>
        <v>2604.672</v>
      </c>
      <c r="U157" s="39">
        <f t="shared" si="103"/>
        <v>766.08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5"/>
      <c r="AJ157" s="2"/>
      <c r="AK157" s="2"/>
      <c r="AL157" s="2"/>
      <c r="AM157" s="2"/>
      <c r="AN157" s="2"/>
      <c r="AO157" s="2"/>
      <c r="AP157" s="5"/>
      <c r="AQ157" s="5"/>
    </row>
    <row r="158">
      <c r="A158" s="2"/>
      <c r="B158" s="5"/>
      <c r="C158" s="2"/>
      <c r="D158" s="2" t="str">
        <f t="shared" si="95"/>
        <v>Stock 9</v>
      </c>
      <c r="E158" s="2"/>
      <c r="F158" s="2"/>
      <c r="G158" s="2"/>
      <c r="H158" s="2" t="str">
        <f t="shared" si="96"/>
        <v>Steady Eddy</v>
      </c>
      <c r="I158" s="2"/>
      <c r="J158" s="39">
        <f t="shared" ref="J158:U158" si="104">if($H$158="",0,if($H$158="Sky Rockets",J29*$W$9*$AB$29,if($H$158="Steady Eddy",J29*$X$9*$AB$29,J29*$Y$9*$AB$29)))</f>
        <v>2621.808</v>
      </c>
      <c r="K158" s="39">
        <f t="shared" si="104"/>
        <v>925.344</v>
      </c>
      <c r="L158" s="39">
        <f t="shared" si="104"/>
        <v>2853.144</v>
      </c>
      <c r="M158" s="39">
        <f t="shared" si="104"/>
        <v>1850.688</v>
      </c>
      <c r="N158" s="39">
        <f t="shared" si="104"/>
        <v>2467.584</v>
      </c>
      <c r="O158" s="39">
        <f t="shared" si="104"/>
        <v>0</v>
      </c>
      <c r="P158" s="39">
        <f t="shared" si="104"/>
        <v>0</v>
      </c>
      <c r="Q158" s="39">
        <f t="shared" si="104"/>
        <v>925.344</v>
      </c>
      <c r="R158" s="39">
        <f t="shared" si="104"/>
        <v>0</v>
      </c>
      <c r="S158" s="39">
        <f t="shared" si="104"/>
        <v>1850.688</v>
      </c>
      <c r="T158" s="39">
        <f t="shared" si="104"/>
        <v>925.344</v>
      </c>
      <c r="U158" s="39">
        <f t="shared" si="104"/>
        <v>539.784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5"/>
      <c r="AJ158" s="2"/>
      <c r="AK158" s="2"/>
      <c r="AL158" s="2"/>
      <c r="AM158" s="2"/>
      <c r="AN158" s="2"/>
      <c r="AO158" s="2"/>
      <c r="AP158" s="5"/>
      <c r="AQ158" s="5"/>
    </row>
    <row r="159">
      <c r="A159" s="2"/>
      <c r="B159" s="5"/>
      <c r="C159" s="2"/>
      <c r="D159" s="2" t="str">
        <f t="shared" si="95"/>
        <v>Stock 10</v>
      </c>
      <c r="E159" s="2"/>
      <c r="F159" s="2"/>
      <c r="G159" s="2"/>
      <c r="H159" s="2" t="str">
        <f t="shared" si="96"/>
        <v>Steady Eddy</v>
      </c>
      <c r="I159" s="2"/>
      <c r="J159" s="39">
        <f t="shared" ref="J159:U159" si="105">if($H$159="",0,if($H$159="Sky Rockets",J30*$W$9*$AB$30,if($H$159="Steady Eddy",J30*$X$9*$AB$30,J30*$Y$9*$AB$30)))</f>
        <v>2561.328</v>
      </c>
      <c r="K159" s="39">
        <f t="shared" si="105"/>
        <v>1086.624</v>
      </c>
      <c r="L159" s="39">
        <f t="shared" si="105"/>
        <v>2406.096</v>
      </c>
      <c r="M159" s="39">
        <f t="shared" si="105"/>
        <v>1785.168</v>
      </c>
      <c r="N159" s="39">
        <f t="shared" si="105"/>
        <v>2638.944</v>
      </c>
      <c r="O159" s="39">
        <f t="shared" si="105"/>
        <v>2406.096</v>
      </c>
      <c r="P159" s="39">
        <f t="shared" si="105"/>
        <v>0</v>
      </c>
      <c r="Q159" s="39">
        <f t="shared" si="105"/>
        <v>1086.624</v>
      </c>
      <c r="R159" s="39">
        <f t="shared" si="105"/>
        <v>3182.256</v>
      </c>
      <c r="S159" s="39">
        <f t="shared" si="105"/>
        <v>1785.168</v>
      </c>
      <c r="T159" s="39">
        <f t="shared" si="105"/>
        <v>0</v>
      </c>
      <c r="U159" s="39">
        <f t="shared" si="105"/>
        <v>77.616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5"/>
      <c r="AJ159" s="2"/>
      <c r="AK159" s="2"/>
      <c r="AL159" s="2"/>
      <c r="AM159" s="2"/>
      <c r="AN159" s="2"/>
      <c r="AO159" s="2"/>
      <c r="AP159" s="5"/>
      <c r="AQ159" s="5"/>
    </row>
    <row r="160">
      <c r="A160" s="2"/>
      <c r="B160" s="5"/>
      <c r="C160" s="2"/>
      <c r="D160" s="2" t="str">
        <f t="shared" si="95"/>
        <v>Stock 11</v>
      </c>
      <c r="E160" s="2"/>
      <c r="F160" s="2"/>
      <c r="G160" s="2"/>
      <c r="H160" s="2" t="str">
        <f t="shared" si="96"/>
        <v>Steady Eddy</v>
      </c>
      <c r="I160" s="2"/>
      <c r="J160" s="39">
        <f t="shared" ref="J160:U160" si="106">if($H$160="",0,if($H$160="Sky Rockets",J31*$W$9*$AB$31,if($H$160="Steady Eddy",J31*$X$9*$AB$31,J31*$Y$9*$AB$31)))</f>
        <v>2734.2</v>
      </c>
      <c r="K160" s="39">
        <f t="shared" si="106"/>
        <v>1249.92</v>
      </c>
      <c r="L160" s="39">
        <f t="shared" si="106"/>
        <v>2734.2</v>
      </c>
      <c r="M160" s="39">
        <f t="shared" si="106"/>
        <v>0</v>
      </c>
      <c r="N160" s="39">
        <f t="shared" si="106"/>
        <v>2812.32</v>
      </c>
      <c r="O160" s="39">
        <f t="shared" si="106"/>
        <v>2734.2</v>
      </c>
      <c r="P160" s="39">
        <f t="shared" si="106"/>
        <v>1171.8</v>
      </c>
      <c r="Q160" s="39">
        <f t="shared" si="106"/>
        <v>1249.92</v>
      </c>
      <c r="R160" s="39">
        <f t="shared" si="106"/>
        <v>4296.6</v>
      </c>
      <c r="S160" s="39">
        <f t="shared" si="106"/>
        <v>1953</v>
      </c>
      <c r="T160" s="39">
        <f t="shared" si="106"/>
        <v>0</v>
      </c>
      <c r="U160" s="39">
        <f t="shared" si="106"/>
        <v>390.6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5"/>
      <c r="AJ160" s="2"/>
      <c r="AK160" s="2"/>
      <c r="AL160" s="2"/>
      <c r="AM160" s="2"/>
      <c r="AN160" s="2"/>
      <c r="AO160" s="2"/>
      <c r="AP160" s="5"/>
      <c r="AQ160" s="5"/>
    </row>
    <row r="161">
      <c r="A161" s="2"/>
      <c r="B161" s="5"/>
      <c r="C161" s="2"/>
      <c r="D161" s="2" t="str">
        <f t="shared" si="95"/>
        <v>Stock 12</v>
      </c>
      <c r="E161" s="2"/>
      <c r="F161" s="2"/>
      <c r="G161" s="2"/>
      <c r="H161" s="2" t="str">
        <f t="shared" si="96"/>
        <v>Steady Eddy</v>
      </c>
      <c r="I161" s="2"/>
      <c r="J161" s="39">
        <f t="shared" ref="J161:U161" si="107">if($H$161="",0,if($H$161="Sky Rockets",J32*$W$9*$AB$32,if($H$161="Steady Eddy",J32*$X$9*$AB$32,J32*$Y$9*$AB$32)))</f>
        <v>2987.712</v>
      </c>
      <c r="K161" s="39">
        <f t="shared" si="107"/>
        <v>1415.232</v>
      </c>
      <c r="L161" s="39">
        <f t="shared" si="107"/>
        <v>3066.336</v>
      </c>
      <c r="M161" s="39">
        <f t="shared" si="107"/>
        <v>0</v>
      </c>
      <c r="N161" s="39">
        <f t="shared" si="107"/>
        <v>2987.712</v>
      </c>
      <c r="O161" s="39">
        <f t="shared" si="107"/>
        <v>3066.336</v>
      </c>
      <c r="P161" s="39">
        <f t="shared" si="107"/>
        <v>1415.232</v>
      </c>
      <c r="Q161" s="39">
        <f t="shared" si="107"/>
        <v>1415.232</v>
      </c>
      <c r="R161" s="39">
        <f t="shared" si="107"/>
        <v>5425.056</v>
      </c>
      <c r="S161" s="39">
        <f t="shared" si="107"/>
        <v>2201.472</v>
      </c>
      <c r="T161" s="39">
        <f t="shared" si="107"/>
        <v>1415.232</v>
      </c>
      <c r="U161" s="39">
        <f t="shared" si="107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5"/>
      <c r="AJ161" s="2"/>
      <c r="AK161" s="2"/>
      <c r="AL161" s="2"/>
      <c r="AM161" s="2"/>
      <c r="AN161" s="2"/>
      <c r="AO161" s="2"/>
      <c r="AP161" s="5"/>
      <c r="AQ161" s="5"/>
    </row>
    <row r="162">
      <c r="A162" s="2"/>
      <c r="B162" s="5"/>
      <c r="C162" s="2"/>
      <c r="D162" s="2" t="str">
        <f t="shared" si="95"/>
        <v>Stock 13</v>
      </c>
      <c r="E162" s="2"/>
      <c r="F162" s="2"/>
      <c r="G162" s="2"/>
      <c r="H162" s="2" t="str">
        <f t="shared" si="96"/>
        <v>Steady Eddy</v>
      </c>
      <c r="I162" s="2"/>
      <c r="J162" s="39">
        <f t="shared" ref="J162:U162" si="108">if($H$162="",0,if($H$162="Sky Rockets",J33*$W$9*$AB$33,if($H$162="Steady Eddy",J33*$X$9*$AB$33,J33*$Y$9*$AB$33)))</f>
        <v>2848.608</v>
      </c>
      <c r="K162" s="39">
        <f t="shared" si="108"/>
        <v>1028.664</v>
      </c>
      <c r="L162" s="39">
        <f t="shared" si="108"/>
        <v>3006.864</v>
      </c>
      <c r="M162" s="39">
        <f t="shared" si="108"/>
        <v>0</v>
      </c>
      <c r="N162" s="39">
        <f t="shared" si="108"/>
        <v>2611.224</v>
      </c>
      <c r="O162" s="39">
        <f t="shared" si="108"/>
        <v>3006.864</v>
      </c>
      <c r="P162" s="39">
        <f t="shared" si="108"/>
        <v>1266.048</v>
      </c>
      <c r="Q162" s="39">
        <f t="shared" si="108"/>
        <v>1028.664</v>
      </c>
      <c r="R162" s="39">
        <f t="shared" si="108"/>
        <v>0</v>
      </c>
      <c r="S162" s="39">
        <f t="shared" si="108"/>
        <v>2057.328</v>
      </c>
      <c r="T162" s="39">
        <f t="shared" si="108"/>
        <v>1028.664</v>
      </c>
      <c r="U162" s="39">
        <f t="shared" si="108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5"/>
      <c r="AJ162" s="2"/>
      <c r="AK162" s="2"/>
      <c r="AL162" s="2"/>
      <c r="AM162" s="2"/>
      <c r="AN162" s="2"/>
      <c r="AO162" s="2"/>
      <c r="AP162" s="5"/>
      <c r="AQ162" s="5"/>
    </row>
    <row r="163">
      <c r="A163" s="2"/>
      <c r="B163" s="5"/>
      <c r="C163" s="2"/>
      <c r="D163" s="2" t="str">
        <f t="shared" si="95"/>
        <v>Stock 14</v>
      </c>
      <c r="E163" s="2"/>
      <c r="F163" s="2"/>
      <c r="G163" s="2"/>
      <c r="H163" s="2" t="str">
        <f t="shared" si="96"/>
        <v>SkyRockets</v>
      </c>
      <c r="I163" s="2"/>
      <c r="J163" s="39">
        <f t="shared" ref="J163:U163" si="109">if($H$163="",0,if($H$163="Sky Rockets",J34*$W$9*$AB$34,if($H$163="Steady Eddy",J34*$X$9*$AB$34,J34*$Y$9*$AB$34)))</f>
        <v>5574.24</v>
      </c>
      <c r="K163" s="39">
        <f t="shared" si="109"/>
        <v>2388.96</v>
      </c>
      <c r="L163" s="39">
        <f t="shared" si="109"/>
        <v>5574.24</v>
      </c>
      <c r="M163" s="39">
        <f t="shared" si="109"/>
        <v>3981.6</v>
      </c>
      <c r="N163" s="39">
        <f t="shared" si="109"/>
        <v>0</v>
      </c>
      <c r="O163" s="39">
        <f t="shared" si="109"/>
        <v>0</v>
      </c>
      <c r="P163" s="39">
        <f t="shared" si="109"/>
        <v>2388.96</v>
      </c>
      <c r="Q163" s="39">
        <f t="shared" si="109"/>
        <v>0</v>
      </c>
      <c r="R163" s="39">
        <f t="shared" si="109"/>
        <v>0</v>
      </c>
      <c r="S163" s="39">
        <f t="shared" si="109"/>
        <v>0</v>
      </c>
      <c r="T163" s="39">
        <f t="shared" si="109"/>
        <v>2388.96</v>
      </c>
      <c r="U163" s="39">
        <f t="shared" si="109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5"/>
      <c r="AJ163" s="2"/>
      <c r="AK163" s="2"/>
      <c r="AL163" s="2"/>
      <c r="AM163" s="2"/>
      <c r="AN163" s="2"/>
      <c r="AO163" s="2"/>
      <c r="AP163" s="5"/>
      <c r="AQ163" s="5"/>
    </row>
    <row r="164">
      <c r="A164" s="2"/>
      <c r="B164" s="5"/>
      <c r="C164" s="2"/>
      <c r="D164" s="2" t="str">
        <f t="shared" si="95"/>
        <v>Stock 15</v>
      </c>
      <c r="E164" s="2"/>
      <c r="F164" s="2"/>
      <c r="G164" s="2"/>
      <c r="H164" s="2" t="str">
        <f t="shared" si="96"/>
        <v>SkyRockets</v>
      </c>
      <c r="I164" s="2"/>
      <c r="J164" s="39">
        <f t="shared" ref="J164:U164" si="110">if($H$164="",0,if($H$164="Sky Rockets",J35*$W$9*$AB$35,if($H$164="Steady Eddy",J35*$X$9*$AB$35,J35*$Y$9*$AB$35)))</f>
        <v>5449.248</v>
      </c>
      <c r="K164" s="39">
        <f t="shared" si="110"/>
        <v>2724.624</v>
      </c>
      <c r="L164" s="39">
        <f t="shared" si="110"/>
        <v>5128.704</v>
      </c>
      <c r="M164" s="39">
        <f t="shared" si="110"/>
        <v>3846.528</v>
      </c>
      <c r="N164" s="39">
        <f t="shared" si="110"/>
        <v>0</v>
      </c>
      <c r="O164" s="39">
        <f t="shared" si="110"/>
        <v>0</v>
      </c>
      <c r="P164" s="39">
        <f t="shared" si="110"/>
        <v>2243.808</v>
      </c>
      <c r="Q164" s="39">
        <f t="shared" si="110"/>
        <v>0</v>
      </c>
      <c r="R164" s="39">
        <f t="shared" si="110"/>
        <v>6731.424</v>
      </c>
      <c r="S164" s="39">
        <f t="shared" si="110"/>
        <v>0</v>
      </c>
      <c r="T164" s="39">
        <f t="shared" si="110"/>
        <v>2724.624</v>
      </c>
      <c r="U164" s="39">
        <f t="shared" si="110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5"/>
      <c r="AJ164" s="2"/>
      <c r="AK164" s="2"/>
      <c r="AL164" s="2"/>
      <c r="AM164" s="2"/>
      <c r="AN164" s="2"/>
      <c r="AO164" s="2"/>
      <c r="AP164" s="5"/>
      <c r="AQ164" s="5"/>
    </row>
    <row r="165">
      <c r="A165" s="2"/>
      <c r="B165" s="5"/>
      <c r="C165" s="2"/>
      <c r="D165" s="2" t="str">
        <f t="shared" si="95"/>
        <v>Stock 16</v>
      </c>
      <c r="E165" s="2"/>
      <c r="F165" s="2"/>
      <c r="G165" s="2"/>
      <c r="H165" s="2" t="str">
        <f t="shared" si="96"/>
        <v>SkyRockets</v>
      </c>
      <c r="I165" s="2"/>
      <c r="J165" s="39">
        <f t="shared" ref="J165:U165" si="111">if($H$165="",0,if($H$165="Sky Rockets",J36*$W$9*$AB$36,if($H$165="Steady Eddy",J36*$X$9*$AB$36,J36*$Y$9*$AB$36)))</f>
        <v>5967.36</v>
      </c>
      <c r="K165" s="39">
        <f t="shared" si="111"/>
        <v>3064.32</v>
      </c>
      <c r="L165" s="39">
        <f t="shared" si="111"/>
        <v>5806.08</v>
      </c>
      <c r="M165" s="39">
        <f t="shared" si="111"/>
        <v>4354.56</v>
      </c>
      <c r="N165" s="39">
        <f t="shared" si="111"/>
        <v>7902.72</v>
      </c>
      <c r="O165" s="39">
        <f t="shared" si="111"/>
        <v>7418.88</v>
      </c>
      <c r="P165" s="39">
        <f t="shared" si="111"/>
        <v>2741.76</v>
      </c>
      <c r="Q165" s="39">
        <f t="shared" si="111"/>
        <v>0</v>
      </c>
      <c r="R165" s="39">
        <f t="shared" si="111"/>
        <v>5806.08</v>
      </c>
      <c r="S165" s="39">
        <f t="shared" si="111"/>
        <v>0</v>
      </c>
      <c r="T165" s="39">
        <f t="shared" si="111"/>
        <v>3064.32</v>
      </c>
      <c r="U165" s="39">
        <f t="shared" si="111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5"/>
      <c r="AJ165" s="2"/>
      <c r="AK165" s="2"/>
      <c r="AL165" s="2"/>
      <c r="AM165" s="2"/>
      <c r="AN165" s="2"/>
      <c r="AO165" s="2"/>
      <c r="AP165" s="5"/>
      <c r="AQ165" s="5"/>
    </row>
    <row r="166">
      <c r="A166" s="2"/>
      <c r="B166" s="5"/>
      <c r="C166" s="2"/>
      <c r="D166" s="2" t="str">
        <f t="shared" si="95"/>
        <v>Stock 17</v>
      </c>
      <c r="E166" s="2"/>
      <c r="F166" s="2"/>
      <c r="G166" s="2"/>
      <c r="H166" s="2" t="str">
        <f t="shared" si="96"/>
        <v>Slow Burn</v>
      </c>
      <c r="I166" s="2"/>
      <c r="J166" s="39">
        <f t="shared" ref="J166:U166" si="112">if($H$166="",0,if($H$166="Sky Rockets",J37*$W$9*$AB$37,if($H$166="Steady Eddy",J37*$X$9*$AB$37,J37*$Y$9*$AB$37)))</f>
        <v>5842.368</v>
      </c>
      <c r="K166" s="39">
        <f t="shared" si="112"/>
        <v>1785.168</v>
      </c>
      <c r="L166" s="39">
        <f t="shared" si="112"/>
        <v>5680.08</v>
      </c>
      <c r="M166" s="39">
        <f t="shared" si="112"/>
        <v>4219.488</v>
      </c>
      <c r="N166" s="39">
        <f t="shared" si="112"/>
        <v>6653.808</v>
      </c>
      <c r="O166" s="39">
        <f t="shared" si="112"/>
        <v>7302.96</v>
      </c>
      <c r="P166" s="39">
        <f t="shared" si="112"/>
        <v>2596.608</v>
      </c>
      <c r="Q166" s="39">
        <f t="shared" si="112"/>
        <v>0</v>
      </c>
      <c r="R166" s="39">
        <f t="shared" si="112"/>
        <v>4057.2</v>
      </c>
      <c r="S166" s="39">
        <f t="shared" si="112"/>
        <v>973.728</v>
      </c>
      <c r="T166" s="39">
        <f t="shared" si="112"/>
        <v>1785.168</v>
      </c>
      <c r="U166" s="39">
        <f t="shared" si="112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5"/>
      <c r="AJ166" s="2"/>
      <c r="AK166" s="2"/>
      <c r="AL166" s="2"/>
      <c r="AM166" s="2"/>
      <c r="AN166" s="2"/>
      <c r="AO166" s="2"/>
      <c r="AP166" s="5"/>
      <c r="AQ166" s="5"/>
    </row>
    <row r="167">
      <c r="A167" s="2"/>
      <c r="B167" s="5"/>
      <c r="C167" s="2"/>
      <c r="D167" s="2" t="str">
        <f t="shared" si="95"/>
        <v>Stock 18</v>
      </c>
      <c r="E167" s="2"/>
      <c r="F167" s="2"/>
      <c r="G167" s="2"/>
      <c r="H167" s="2" t="str">
        <f t="shared" si="96"/>
        <v>Slow Burn</v>
      </c>
      <c r="I167" s="2"/>
      <c r="J167" s="39">
        <f t="shared" ref="J167:U167" si="113">if($H$167="",0,if($H$167="Sky Rockets",J38*$W$9*$AB$38,if($H$167="Steady Eddy",J38*$X$9*$AB$38,J38*$Y$9*$AB$38)))</f>
        <v>5225.472</v>
      </c>
      <c r="K167" s="39">
        <f t="shared" si="113"/>
        <v>1959.552</v>
      </c>
      <c r="L167" s="39">
        <f t="shared" si="113"/>
        <v>5552.064</v>
      </c>
      <c r="M167" s="39">
        <f t="shared" si="113"/>
        <v>3592.512</v>
      </c>
      <c r="N167" s="39">
        <f t="shared" si="113"/>
        <v>6858.432</v>
      </c>
      <c r="O167" s="39">
        <f t="shared" si="113"/>
        <v>7185.024</v>
      </c>
      <c r="P167" s="39">
        <f t="shared" si="113"/>
        <v>1959.552</v>
      </c>
      <c r="Q167" s="39">
        <f t="shared" si="113"/>
        <v>1959.552</v>
      </c>
      <c r="R167" s="39">
        <f t="shared" si="113"/>
        <v>3919.104</v>
      </c>
      <c r="S167" s="39">
        <f t="shared" si="113"/>
        <v>326.592</v>
      </c>
      <c r="T167" s="39">
        <f t="shared" si="113"/>
        <v>1959.552</v>
      </c>
      <c r="U167" s="39">
        <f t="shared" si="113"/>
        <v>653.184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5"/>
      <c r="AJ167" s="2"/>
      <c r="AK167" s="2"/>
      <c r="AL167" s="2"/>
      <c r="AM167" s="2"/>
      <c r="AN167" s="2"/>
      <c r="AO167" s="2"/>
      <c r="AP167" s="5"/>
      <c r="AQ167" s="5"/>
    </row>
    <row r="168">
      <c r="A168" s="2"/>
      <c r="B168" s="5"/>
      <c r="C168" s="2"/>
      <c r="D168" s="2" t="str">
        <f t="shared" si="95"/>
        <v>Stock 19</v>
      </c>
      <c r="E168" s="2"/>
      <c r="F168" s="2"/>
      <c r="G168" s="2"/>
      <c r="H168" s="2" t="str">
        <f t="shared" si="96"/>
        <v>SkyRockets</v>
      </c>
      <c r="I168" s="2"/>
      <c r="J168" s="39">
        <f t="shared" ref="J168:U168" si="114">if($H$168="",0,if($H$168="Sky Rockets",J39*$W$9*$AB$39,if($H$168="Steady Eddy",J39*$X$9*$AB$39,J39*$Y$9*$AB$39)))</f>
        <v>5093.424</v>
      </c>
      <c r="K168" s="39">
        <f t="shared" si="114"/>
        <v>2300.256</v>
      </c>
      <c r="L168" s="39">
        <f t="shared" si="114"/>
        <v>6079.248</v>
      </c>
      <c r="M168" s="39">
        <f t="shared" si="114"/>
        <v>3450.384</v>
      </c>
      <c r="N168" s="39">
        <f t="shared" si="114"/>
        <v>7229.376</v>
      </c>
      <c r="O168" s="39">
        <f t="shared" si="114"/>
        <v>7722.288</v>
      </c>
      <c r="P168" s="39">
        <f t="shared" si="114"/>
        <v>1807.344</v>
      </c>
      <c r="Q168" s="39">
        <f t="shared" si="114"/>
        <v>2300.256</v>
      </c>
      <c r="R168" s="39">
        <f t="shared" si="114"/>
        <v>2793.168</v>
      </c>
      <c r="S168" s="39">
        <f t="shared" si="114"/>
        <v>164.304</v>
      </c>
      <c r="T168" s="39">
        <f t="shared" si="114"/>
        <v>2300.256</v>
      </c>
      <c r="U168" s="39">
        <f t="shared" si="114"/>
        <v>1150.128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5"/>
      <c r="AJ168" s="2"/>
      <c r="AK168" s="2"/>
      <c r="AL168" s="2"/>
      <c r="AM168" s="2"/>
      <c r="AN168" s="2"/>
      <c r="AO168" s="2"/>
      <c r="AP168" s="5"/>
      <c r="AQ168" s="5"/>
    </row>
    <row r="169">
      <c r="A169" s="2"/>
      <c r="B169" s="5"/>
      <c r="C169" s="2"/>
      <c r="D169" s="2" t="str">
        <f t="shared" si="95"/>
        <v>Stock 20</v>
      </c>
      <c r="E169" s="2"/>
      <c r="F169" s="2"/>
      <c r="G169" s="2"/>
      <c r="H169" s="2" t="str">
        <f t="shared" si="96"/>
        <v>Steady Eddy</v>
      </c>
      <c r="I169" s="2"/>
      <c r="J169" s="39">
        <f t="shared" ref="J169:U169" si="115">if($H$169="",0,if($H$169="Sky Rockets",J40*$W$9*$AB$40,if($H$169="Steady Eddy",J40*$X$9*$AB$40,J40*$Y$9*$AB$40)))</f>
        <v>2810.304</v>
      </c>
      <c r="K169" s="39">
        <f t="shared" si="115"/>
        <v>1487.808</v>
      </c>
      <c r="L169" s="39">
        <f t="shared" si="115"/>
        <v>3140.928</v>
      </c>
      <c r="M169" s="39">
        <f t="shared" si="115"/>
        <v>1983.744</v>
      </c>
      <c r="N169" s="39">
        <f t="shared" si="115"/>
        <v>3967.488</v>
      </c>
      <c r="O169" s="39">
        <f t="shared" si="115"/>
        <v>3967.488</v>
      </c>
      <c r="P169" s="39">
        <f t="shared" si="115"/>
        <v>1157.184</v>
      </c>
      <c r="Q169" s="39">
        <f t="shared" si="115"/>
        <v>1487.808</v>
      </c>
      <c r="R169" s="39">
        <f t="shared" si="115"/>
        <v>3140.928</v>
      </c>
      <c r="S169" s="39">
        <f t="shared" si="115"/>
        <v>330.624</v>
      </c>
      <c r="T169" s="39">
        <f t="shared" si="115"/>
        <v>1487.808</v>
      </c>
      <c r="U169" s="39">
        <f t="shared" si="115"/>
        <v>661.248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5"/>
      <c r="AJ169" s="2"/>
      <c r="AK169" s="2"/>
      <c r="AL169" s="2"/>
      <c r="AM169" s="2"/>
      <c r="AN169" s="2"/>
      <c r="AO169" s="2"/>
      <c r="AP169" s="5"/>
      <c r="AQ169" s="5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5"/>
      <c r="AJ170" s="2"/>
      <c r="AK170" s="2"/>
      <c r="AL170" s="2"/>
      <c r="AM170" s="2"/>
      <c r="AN170" s="2"/>
      <c r="AO170" s="2"/>
      <c r="AP170" s="5"/>
      <c r="AQ170" s="5"/>
    </row>
    <row r="171">
      <c r="A171" s="2"/>
      <c r="B171" s="5"/>
      <c r="C171" s="2"/>
      <c r="D171" s="3"/>
      <c r="E171" s="2"/>
      <c r="F171" s="2"/>
      <c r="G171" s="2"/>
      <c r="H171" s="2"/>
      <c r="I171" s="2"/>
      <c r="J171" s="78">
        <f t="shared" ref="J171:U171" si="116">sum(J150:J169)</f>
        <v>86677.416</v>
      </c>
      <c r="K171" s="78">
        <f t="shared" si="116"/>
        <v>31053.96</v>
      </c>
      <c r="L171" s="78">
        <f t="shared" si="116"/>
        <v>72373.392</v>
      </c>
      <c r="M171" s="78">
        <f t="shared" si="116"/>
        <v>49739.76</v>
      </c>
      <c r="N171" s="78">
        <f t="shared" si="116"/>
        <v>59948.28</v>
      </c>
      <c r="O171" s="78">
        <f t="shared" si="116"/>
        <v>79335.144</v>
      </c>
      <c r="P171" s="78">
        <f t="shared" si="116"/>
        <v>23973.768</v>
      </c>
      <c r="Q171" s="78">
        <f t="shared" si="116"/>
        <v>21712.824</v>
      </c>
      <c r="R171" s="78">
        <f t="shared" si="116"/>
        <v>61275.816</v>
      </c>
      <c r="S171" s="78">
        <f t="shared" si="116"/>
        <v>18823.896</v>
      </c>
      <c r="T171" s="78">
        <f t="shared" si="116"/>
        <v>30121.56</v>
      </c>
      <c r="U171" s="78">
        <f t="shared" si="116"/>
        <v>10707.984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5"/>
      <c r="AJ171" s="2"/>
      <c r="AK171" s="2"/>
      <c r="AL171" s="2"/>
      <c r="AM171" s="2"/>
      <c r="AN171" s="2"/>
      <c r="AO171" s="2"/>
      <c r="AP171" s="5"/>
      <c r="AQ171" s="5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5"/>
      <c r="AJ172" s="2"/>
      <c r="AK172" s="2"/>
      <c r="AL172" s="2"/>
      <c r="AM172" s="2"/>
      <c r="AN172" s="2"/>
      <c r="AO172" s="2"/>
      <c r="AP172" s="5"/>
      <c r="AQ172" s="5"/>
    </row>
    <row r="173">
      <c r="A173" s="2"/>
      <c r="B173" s="5"/>
      <c r="C173" s="2"/>
      <c r="D173" s="2"/>
      <c r="E173" s="2"/>
      <c r="F173" s="3" t="s">
        <v>96</v>
      </c>
      <c r="G173" s="2"/>
      <c r="H173" s="2"/>
      <c r="I173" s="2"/>
      <c r="J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5"/>
      <c r="AJ173" s="2"/>
      <c r="AK173" s="2"/>
      <c r="AL173" s="2"/>
      <c r="AM173" s="2"/>
      <c r="AN173" s="2"/>
      <c r="AO173" s="2"/>
      <c r="AP173" s="5"/>
      <c r="AQ173" s="5"/>
    </row>
    <row r="174">
      <c r="A174" s="2"/>
      <c r="B174" s="5"/>
      <c r="C174" s="2"/>
      <c r="D174" s="2" t="str">
        <f t="shared" ref="D174:D193" si="118">D150</f>
        <v>Stock 1</v>
      </c>
      <c r="E174" s="2"/>
      <c r="F174" s="2"/>
      <c r="G174" s="2"/>
      <c r="H174" s="2" t="str">
        <f t="shared" ref="H174:H193" si="119">H150</f>
        <v>SkyRockets</v>
      </c>
      <c r="I174" s="2"/>
      <c r="J174" s="39">
        <f t="shared" ref="J174:U174" si="117">if($H$174="",0,if($H$174="Sky Rockets",J21*$W$10*$AC$21,if($H$174="Steady Eddy",J21*$X$10*$AC$21,J21*$Y$10*$AC$21)))</f>
        <v>2188.92</v>
      </c>
      <c r="K174" s="39">
        <f t="shared" si="117"/>
        <v>772.56</v>
      </c>
      <c r="L174" s="39">
        <f t="shared" si="117"/>
        <v>2253.3</v>
      </c>
      <c r="M174" s="39">
        <f t="shared" si="117"/>
        <v>1545.12</v>
      </c>
      <c r="N174" s="39">
        <f t="shared" si="117"/>
        <v>772.56</v>
      </c>
      <c r="O174" s="39">
        <f t="shared" si="117"/>
        <v>2961.48</v>
      </c>
      <c r="P174" s="39">
        <f t="shared" si="117"/>
        <v>901.32</v>
      </c>
      <c r="Q174" s="39">
        <f t="shared" si="117"/>
        <v>772.56</v>
      </c>
      <c r="R174" s="39">
        <f t="shared" si="117"/>
        <v>2317.68</v>
      </c>
      <c r="S174" s="39">
        <f t="shared" si="117"/>
        <v>257.52</v>
      </c>
      <c r="T174" s="39">
        <f t="shared" si="117"/>
        <v>128.76</v>
      </c>
      <c r="U174" s="39">
        <f t="shared" si="117"/>
        <v>1030.08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5"/>
      <c r="AJ174" s="2"/>
      <c r="AK174" s="2"/>
      <c r="AL174" s="2"/>
      <c r="AM174" s="2"/>
      <c r="AN174" s="2"/>
      <c r="AO174" s="2"/>
      <c r="AP174" s="5"/>
      <c r="AQ174" s="5"/>
    </row>
    <row r="175">
      <c r="A175" s="2"/>
      <c r="B175" s="5"/>
      <c r="C175" s="2"/>
      <c r="D175" s="2" t="str">
        <f t="shared" si="118"/>
        <v>Stock 2</v>
      </c>
      <c r="E175" s="2"/>
      <c r="F175" s="2"/>
      <c r="G175" s="2"/>
      <c r="H175" s="2" t="str">
        <f t="shared" si="119"/>
        <v>Steady Eddy</v>
      </c>
      <c r="I175" s="2"/>
      <c r="J175" s="39">
        <f t="shared" ref="J175:U175" si="120">if($H$175="",0,if($H$175="Sky Rockets",J22*$W$10*$AC$22,if($H$175="Steady Eddy",J22*$X$10*$AC$22,J22*$Y$10*$AC$22)))</f>
        <v>3208.788</v>
      </c>
      <c r="K175" s="39">
        <f t="shared" si="120"/>
        <v>1361.304</v>
      </c>
      <c r="L175" s="39">
        <f t="shared" si="120"/>
        <v>3403.26</v>
      </c>
      <c r="M175" s="39">
        <f t="shared" si="120"/>
        <v>2236.428</v>
      </c>
      <c r="N175" s="39">
        <f t="shared" si="120"/>
        <v>1361.304</v>
      </c>
      <c r="O175" s="39">
        <f t="shared" si="120"/>
        <v>4375.62</v>
      </c>
      <c r="P175" s="39">
        <f t="shared" si="120"/>
        <v>1264.068</v>
      </c>
      <c r="Q175" s="39">
        <f t="shared" si="120"/>
        <v>0</v>
      </c>
      <c r="R175" s="39">
        <f t="shared" si="120"/>
        <v>2430.9</v>
      </c>
      <c r="S175" s="39">
        <f t="shared" si="120"/>
        <v>291.708</v>
      </c>
      <c r="T175" s="39">
        <f t="shared" si="120"/>
        <v>0</v>
      </c>
      <c r="U175" s="39">
        <f t="shared" si="120"/>
        <v>1458.54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5"/>
      <c r="AJ175" s="2"/>
      <c r="AK175" s="2"/>
      <c r="AL175" s="2"/>
      <c r="AM175" s="2"/>
      <c r="AN175" s="2"/>
      <c r="AO175" s="2"/>
      <c r="AP175" s="5"/>
      <c r="AQ175" s="5"/>
    </row>
    <row r="176">
      <c r="A176" s="2"/>
      <c r="B176" s="5"/>
      <c r="C176" s="2"/>
      <c r="D176" s="2" t="str">
        <f t="shared" si="118"/>
        <v>Stock 3</v>
      </c>
      <c r="E176" s="2"/>
      <c r="F176" s="2"/>
      <c r="G176" s="2"/>
      <c r="H176" s="2" t="str">
        <f t="shared" si="119"/>
        <v>Slow Burn</v>
      </c>
      <c r="I176" s="2"/>
      <c r="J176" s="39">
        <f t="shared" ref="J176:U176" si="121">if($H$176="",0,if($H$176="Sky Rockets",J23*$W$10*$AC$23,if($H$176="Steady Eddy",J23*$X$10*$AC$23,J23*$Y$10*$AC$23)))</f>
        <v>2284.38</v>
      </c>
      <c r="K176" s="39">
        <f t="shared" si="121"/>
        <v>0</v>
      </c>
      <c r="L176" s="39">
        <f t="shared" si="121"/>
        <v>2219.112</v>
      </c>
      <c r="M176" s="39">
        <f t="shared" si="121"/>
        <v>0</v>
      </c>
      <c r="N176" s="39">
        <f t="shared" si="121"/>
        <v>1044.288</v>
      </c>
      <c r="O176" s="39">
        <f t="shared" si="121"/>
        <v>2871.792</v>
      </c>
      <c r="P176" s="39">
        <f t="shared" si="121"/>
        <v>979.02</v>
      </c>
      <c r="Q176" s="39">
        <f t="shared" si="121"/>
        <v>0</v>
      </c>
      <c r="R176" s="39">
        <f t="shared" si="121"/>
        <v>0</v>
      </c>
      <c r="S176" s="39">
        <f t="shared" si="121"/>
        <v>326.34</v>
      </c>
      <c r="T176" s="39">
        <f t="shared" si="121"/>
        <v>0</v>
      </c>
      <c r="U176" s="39">
        <f t="shared" si="121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5"/>
      <c r="AJ176" s="2"/>
      <c r="AK176" s="2"/>
      <c r="AL176" s="2"/>
      <c r="AM176" s="2"/>
      <c r="AN176" s="2"/>
      <c r="AO176" s="2"/>
      <c r="AP176" s="5"/>
      <c r="AQ176" s="5"/>
    </row>
    <row r="177">
      <c r="A177" s="2"/>
      <c r="B177" s="5"/>
      <c r="C177" s="2"/>
      <c r="D177" s="2" t="str">
        <f t="shared" si="118"/>
        <v>Stock 4</v>
      </c>
      <c r="E177" s="2"/>
      <c r="F177" s="2"/>
      <c r="G177" s="2"/>
      <c r="H177" s="2" t="str">
        <f t="shared" si="119"/>
        <v>Steady Eddy</v>
      </c>
      <c r="I177" s="2"/>
      <c r="J177" s="39">
        <f t="shared" ref="J177:U177" si="122">if($H$177="",0,if($H$177="Sky Rockets",J24*$W$10*$AC$24,if($H$177="Steady Eddy",J24*$X$10*$AC$24,J24*$Y$10*$AC$24)))</f>
        <v>3745.584</v>
      </c>
      <c r="K177" s="39">
        <f t="shared" si="122"/>
        <v>0</v>
      </c>
      <c r="L177" s="39">
        <f t="shared" si="122"/>
        <v>3844.152</v>
      </c>
      <c r="M177" s="39">
        <f t="shared" si="122"/>
        <v>0</v>
      </c>
      <c r="N177" s="39">
        <f t="shared" si="122"/>
        <v>1774.224</v>
      </c>
      <c r="O177" s="39">
        <f t="shared" si="122"/>
        <v>4829.832</v>
      </c>
      <c r="P177" s="39">
        <f t="shared" si="122"/>
        <v>0</v>
      </c>
      <c r="Q177" s="39">
        <f t="shared" si="122"/>
        <v>0</v>
      </c>
      <c r="R177" s="39">
        <f t="shared" si="122"/>
        <v>0</v>
      </c>
      <c r="S177" s="39">
        <f t="shared" si="122"/>
        <v>788.544</v>
      </c>
      <c r="T177" s="39">
        <f t="shared" si="122"/>
        <v>1774.224</v>
      </c>
      <c r="U177" s="39">
        <f t="shared" si="122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5"/>
      <c r="AJ177" s="2"/>
      <c r="AK177" s="2"/>
      <c r="AL177" s="2"/>
      <c r="AM177" s="2"/>
      <c r="AN177" s="2"/>
      <c r="AO177" s="2"/>
      <c r="AP177" s="5"/>
      <c r="AQ177" s="5"/>
    </row>
    <row r="178">
      <c r="A178" s="2"/>
      <c r="B178" s="5"/>
      <c r="C178" s="2"/>
      <c r="D178" s="2" t="str">
        <f t="shared" si="118"/>
        <v>Stock 5</v>
      </c>
      <c r="E178" s="2"/>
      <c r="F178" s="2"/>
      <c r="G178" s="2"/>
      <c r="H178" s="2" t="str">
        <f t="shared" si="119"/>
        <v>SkyRockets</v>
      </c>
      <c r="I178" s="2"/>
      <c r="J178" s="39">
        <f t="shared" ref="J178:U178" si="123">if($H$178="",0,if($H$178="Sky Rockets",J25*$W$10*$AC$25,if($H$178="Steady Eddy",J25*$X$10*$AC$25,J25*$Y$10*$AC$25)))</f>
        <v>2381.616</v>
      </c>
      <c r="K178" s="39">
        <f t="shared" si="123"/>
        <v>0</v>
      </c>
      <c r="L178" s="39">
        <f t="shared" si="123"/>
        <v>2513.928</v>
      </c>
      <c r="M178" s="39">
        <f t="shared" si="123"/>
        <v>1720.056</v>
      </c>
      <c r="N178" s="39">
        <f t="shared" si="123"/>
        <v>727.716</v>
      </c>
      <c r="O178" s="39">
        <f t="shared" si="123"/>
        <v>3175.488</v>
      </c>
      <c r="P178" s="39">
        <f t="shared" si="123"/>
        <v>0</v>
      </c>
      <c r="Q178" s="39">
        <f t="shared" si="123"/>
        <v>727.716</v>
      </c>
      <c r="R178" s="39">
        <f t="shared" si="123"/>
        <v>1852.368</v>
      </c>
      <c r="S178" s="39">
        <f t="shared" si="123"/>
        <v>396.936</v>
      </c>
      <c r="T178" s="39">
        <f t="shared" si="123"/>
        <v>1124.652</v>
      </c>
      <c r="U178" s="39">
        <f t="shared" si="123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5"/>
      <c r="AJ178" s="2"/>
      <c r="AK178" s="2"/>
      <c r="AL178" s="2"/>
      <c r="AM178" s="2"/>
      <c r="AN178" s="2"/>
      <c r="AO178" s="2"/>
      <c r="AP178" s="5"/>
      <c r="AQ178" s="5"/>
    </row>
    <row r="179">
      <c r="A179" s="2"/>
      <c r="B179" s="5"/>
      <c r="C179" s="2"/>
      <c r="D179" s="2" t="str">
        <f t="shared" si="118"/>
        <v>Stock 6</v>
      </c>
      <c r="E179" s="2"/>
      <c r="F179" s="2"/>
      <c r="G179" s="2"/>
      <c r="H179" s="2" t="str">
        <f t="shared" si="119"/>
        <v>Slow Burn</v>
      </c>
      <c r="I179" s="2"/>
      <c r="J179" s="39">
        <f t="shared" ref="J179:U179" si="124">if($H$179="",0,if($H$179="Sky Rockets",J26*$W$10*$AC$26,if($H$179="Steady Eddy",J26*$X$10*$AC$26,J26*$Y$10*$AC$26)))</f>
        <v>2331</v>
      </c>
      <c r="K179" s="39">
        <f t="shared" si="124"/>
        <v>865.8</v>
      </c>
      <c r="L179" s="39">
        <f t="shared" si="124"/>
        <v>0</v>
      </c>
      <c r="M179" s="39">
        <f t="shared" si="124"/>
        <v>1665</v>
      </c>
      <c r="N179" s="39">
        <f t="shared" si="124"/>
        <v>0</v>
      </c>
      <c r="O179" s="39">
        <f t="shared" si="124"/>
        <v>3130.2</v>
      </c>
      <c r="P179" s="39">
        <f t="shared" si="124"/>
        <v>0</v>
      </c>
      <c r="Q179" s="39">
        <f t="shared" si="124"/>
        <v>865.8</v>
      </c>
      <c r="R179" s="39">
        <f t="shared" si="124"/>
        <v>2464.2</v>
      </c>
      <c r="S179" s="39">
        <f t="shared" si="124"/>
        <v>0</v>
      </c>
      <c r="T179" s="39">
        <f t="shared" si="124"/>
        <v>865.8</v>
      </c>
      <c r="U179" s="39">
        <f t="shared" si="124"/>
        <v>1132.2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5"/>
      <c r="AJ179" s="2"/>
      <c r="AK179" s="2"/>
      <c r="AL179" s="2"/>
      <c r="AM179" s="2"/>
      <c r="AN179" s="2"/>
      <c r="AO179" s="2"/>
      <c r="AP179" s="5"/>
      <c r="AQ179" s="5"/>
    </row>
    <row r="180">
      <c r="A180" s="2"/>
      <c r="B180" s="5"/>
      <c r="C180" s="2"/>
      <c r="D180" s="2" t="str">
        <f t="shared" si="118"/>
        <v>Stock 7</v>
      </c>
      <c r="E180" s="2"/>
      <c r="F180" s="2"/>
      <c r="G180" s="2"/>
      <c r="H180" s="2" t="str">
        <f t="shared" si="119"/>
        <v>SkyRockets</v>
      </c>
      <c r="I180" s="2"/>
      <c r="J180" s="39">
        <f t="shared" ref="J180:U180" si="125">if($H$180="",0,if($H$180="Sky Rockets",J27*$W$10*$AC$27,if($H$180="Steady Eddy",J27*$X$10*$AC$27,J27*$Y$10*$AC$27)))</f>
        <v>2279.496</v>
      </c>
      <c r="K180" s="39">
        <f t="shared" si="125"/>
        <v>1005.66</v>
      </c>
      <c r="L180" s="39">
        <f t="shared" si="125"/>
        <v>0</v>
      </c>
      <c r="M180" s="39">
        <f t="shared" si="125"/>
        <v>1609.056</v>
      </c>
      <c r="N180" s="39">
        <f t="shared" si="125"/>
        <v>0</v>
      </c>
      <c r="O180" s="39">
        <f t="shared" si="125"/>
        <v>0</v>
      </c>
      <c r="P180" s="39">
        <f t="shared" si="125"/>
        <v>0</v>
      </c>
      <c r="Q180" s="39">
        <f t="shared" si="125"/>
        <v>1005.66</v>
      </c>
      <c r="R180" s="39">
        <f t="shared" si="125"/>
        <v>2212.452</v>
      </c>
      <c r="S180" s="39">
        <f t="shared" si="125"/>
        <v>0</v>
      </c>
      <c r="T180" s="39">
        <f t="shared" si="125"/>
        <v>1005.66</v>
      </c>
      <c r="U180" s="39">
        <f t="shared" si="125"/>
        <v>201.132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5"/>
      <c r="AJ180" s="2"/>
      <c r="AK180" s="2"/>
      <c r="AL180" s="2"/>
      <c r="AM180" s="2"/>
      <c r="AN180" s="2"/>
      <c r="AO180" s="2"/>
      <c r="AP180" s="5"/>
      <c r="AQ180" s="5"/>
    </row>
    <row r="181">
      <c r="A181" s="2"/>
      <c r="B181" s="5"/>
      <c r="C181" s="2"/>
      <c r="D181" s="2" t="str">
        <f t="shared" si="118"/>
        <v>Stock 8</v>
      </c>
      <c r="E181" s="2"/>
      <c r="F181" s="2"/>
      <c r="G181" s="2"/>
      <c r="H181" s="2" t="str">
        <f t="shared" si="119"/>
        <v>SkyRockets</v>
      </c>
      <c r="I181" s="2"/>
      <c r="J181" s="39">
        <f t="shared" ref="J181:U181" si="126">if($H$181="",0,if($H$181="Sky Rockets",J28*$W$10*$AC$28,if($H$181="Steady Eddy",J28*$X$10*$AC$28,J28*$Y$10*$AC$28)))</f>
        <v>2497.056</v>
      </c>
      <c r="K181" s="39">
        <f t="shared" si="126"/>
        <v>1147.296</v>
      </c>
      <c r="L181" s="39">
        <f t="shared" si="126"/>
        <v>0</v>
      </c>
      <c r="M181" s="39">
        <f t="shared" si="126"/>
        <v>1822.176</v>
      </c>
      <c r="N181" s="39">
        <f t="shared" si="126"/>
        <v>2497.056</v>
      </c>
      <c r="O181" s="39">
        <f t="shared" si="126"/>
        <v>0</v>
      </c>
      <c r="P181" s="39">
        <f t="shared" si="126"/>
        <v>0</v>
      </c>
      <c r="Q181" s="39">
        <f t="shared" si="126"/>
        <v>1147.296</v>
      </c>
      <c r="R181" s="39">
        <f t="shared" si="126"/>
        <v>0</v>
      </c>
      <c r="S181" s="39">
        <f t="shared" si="126"/>
        <v>1822.176</v>
      </c>
      <c r="T181" s="39">
        <f t="shared" si="126"/>
        <v>1147.296</v>
      </c>
      <c r="U181" s="39">
        <f t="shared" si="126"/>
        <v>337.44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5"/>
      <c r="AJ181" s="2"/>
      <c r="AK181" s="2"/>
      <c r="AL181" s="2"/>
      <c r="AM181" s="2"/>
      <c r="AN181" s="2"/>
      <c r="AO181" s="2"/>
      <c r="AP181" s="5"/>
      <c r="AQ181" s="5"/>
    </row>
    <row r="182">
      <c r="A182" s="2"/>
      <c r="B182" s="5"/>
      <c r="C182" s="2"/>
      <c r="D182" s="2" t="str">
        <f t="shared" si="118"/>
        <v>Stock 9</v>
      </c>
      <c r="E182" s="2"/>
      <c r="F182" s="2"/>
      <c r="G182" s="2"/>
      <c r="H182" s="2" t="str">
        <f t="shared" si="119"/>
        <v>Steady Eddy</v>
      </c>
      <c r="I182" s="2"/>
      <c r="J182" s="39">
        <f t="shared" ref="J182:U182" si="127">if($H$182="",0,if($H$182="Sky Rockets",J29*$W$10*$AC$29,if($H$182="Steady Eddy",J29*$X$10*$AC$29,J29*$Y$10*$AC$29)))</f>
        <v>3464.532</v>
      </c>
      <c r="K182" s="39">
        <f t="shared" si="127"/>
        <v>1222.776</v>
      </c>
      <c r="L182" s="39">
        <f t="shared" si="127"/>
        <v>3770.226</v>
      </c>
      <c r="M182" s="39">
        <f t="shared" si="127"/>
        <v>2445.552</v>
      </c>
      <c r="N182" s="39">
        <f t="shared" si="127"/>
        <v>3260.736</v>
      </c>
      <c r="O182" s="39">
        <f t="shared" si="127"/>
        <v>0</v>
      </c>
      <c r="P182" s="39">
        <f t="shared" si="127"/>
        <v>0</v>
      </c>
      <c r="Q182" s="39">
        <f t="shared" si="127"/>
        <v>1222.776</v>
      </c>
      <c r="R182" s="39">
        <f t="shared" si="127"/>
        <v>0</v>
      </c>
      <c r="S182" s="39">
        <f t="shared" si="127"/>
        <v>2445.552</v>
      </c>
      <c r="T182" s="39">
        <f t="shared" si="127"/>
        <v>1222.776</v>
      </c>
      <c r="U182" s="39">
        <f t="shared" si="127"/>
        <v>713.286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5"/>
      <c r="AJ182" s="2"/>
      <c r="AK182" s="2"/>
      <c r="AL182" s="2"/>
      <c r="AM182" s="2"/>
      <c r="AN182" s="2"/>
      <c r="AO182" s="2"/>
      <c r="AP182" s="5"/>
      <c r="AQ182" s="5"/>
    </row>
    <row r="183">
      <c r="A183" s="2"/>
      <c r="B183" s="5"/>
      <c r="C183" s="2"/>
      <c r="D183" s="2" t="str">
        <f t="shared" si="118"/>
        <v>Stock 10</v>
      </c>
      <c r="E183" s="2"/>
      <c r="F183" s="2"/>
      <c r="G183" s="2"/>
      <c r="H183" s="2" t="str">
        <f t="shared" si="119"/>
        <v>Steady Eddy</v>
      </c>
      <c r="I183" s="2"/>
      <c r="J183" s="39">
        <f t="shared" ref="J183:U183" si="128">if($H$183="",0,if($H$183="Sky Rockets",J30*$W$10*$AC$30,if($H$183="Steady Eddy",J30*$X$10*$AC$30,J30*$Y$10*$AC$30)))</f>
        <v>3384.612</v>
      </c>
      <c r="K183" s="39">
        <f t="shared" si="128"/>
        <v>1435.896</v>
      </c>
      <c r="L183" s="39">
        <f t="shared" si="128"/>
        <v>3179.484</v>
      </c>
      <c r="M183" s="39">
        <f t="shared" si="128"/>
        <v>2358.972</v>
      </c>
      <c r="N183" s="39">
        <f t="shared" si="128"/>
        <v>3487.176</v>
      </c>
      <c r="O183" s="39">
        <f t="shared" si="128"/>
        <v>3179.484</v>
      </c>
      <c r="P183" s="39">
        <f t="shared" si="128"/>
        <v>0</v>
      </c>
      <c r="Q183" s="39">
        <f t="shared" si="128"/>
        <v>1435.896</v>
      </c>
      <c r="R183" s="39">
        <f t="shared" si="128"/>
        <v>4205.124</v>
      </c>
      <c r="S183" s="39">
        <f t="shared" si="128"/>
        <v>2358.972</v>
      </c>
      <c r="T183" s="39">
        <f t="shared" si="128"/>
        <v>0</v>
      </c>
      <c r="U183" s="39">
        <f t="shared" si="128"/>
        <v>102.564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5"/>
      <c r="AJ183" s="2"/>
      <c r="AK183" s="2"/>
      <c r="AL183" s="2"/>
      <c r="AM183" s="2"/>
      <c r="AN183" s="2"/>
      <c r="AO183" s="2"/>
      <c r="AP183" s="5"/>
      <c r="AQ183" s="5"/>
    </row>
    <row r="184">
      <c r="A184" s="2"/>
      <c r="B184" s="5"/>
      <c r="C184" s="2"/>
      <c r="D184" s="2" t="str">
        <f t="shared" si="118"/>
        <v>Stock 11</v>
      </c>
      <c r="E184" s="2"/>
      <c r="F184" s="2"/>
      <c r="G184" s="2"/>
      <c r="H184" s="2" t="str">
        <f t="shared" si="119"/>
        <v>Steady Eddy</v>
      </c>
      <c r="I184" s="2"/>
      <c r="J184" s="39">
        <f t="shared" ref="J184:U184" si="129">if($H$184="",0,if($H$184="Sky Rockets",J31*$W$10*$AC$31,if($H$184="Steady Eddy",J31*$X$10*$AC$31,J31*$Y$10*$AC$31)))</f>
        <v>3613.05</v>
      </c>
      <c r="K184" s="39">
        <f t="shared" si="129"/>
        <v>1651.68</v>
      </c>
      <c r="L184" s="39">
        <f t="shared" si="129"/>
        <v>3613.05</v>
      </c>
      <c r="M184" s="39">
        <f t="shared" si="129"/>
        <v>0</v>
      </c>
      <c r="N184" s="39">
        <f t="shared" si="129"/>
        <v>3716.28</v>
      </c>
      <c r="O184" s="39">
        <f t="shared" si="129"/>
        <v>3613.05</v>
      </c>
      <c r="P184" s="39">
        <f t="shared" si="129"/>
        <v>1548.45</v>
      </c>
      <c r="Q184" s="39">
        <f t="shared" si="129"/>
        <v>1651.68</v>
      </c>
      <c r="R184" s="39">
        <f t="shared" si="129"/>
        <v>5677.65</v>
      </c>
      <c r="S184" s="39">
        <f t="shared" si="129"/>
        <v>2580.75</v>
      </c>
      <c r="T184" s="39">
        <f t="shared" si="129"/>
        <v>0</v>
      </c>
      <c r="U184" s="39">
        <f t="shared" si="129"/>
        <v>516.15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5"/>
      <c r="AJ184" s="2"/>
      <c r="AK184" s="2"/>
      <c r="AL184" s="2"/>
      <c r="AM184" s="2"/>
      <c r="AN184" s="2"/>
      <c r="AO184" s="2"/>
      <c r="AP184" s="5"/>
      <c r="AQ184" s="5"/>
    </row>
    <row r="185">
      <c r="A185" s="2"/>
      <c r="B185" s="5"/>
      <c r="C185" s="2"/>
      <c r="D185" s="2" t="str">
        <f t="shared" si="118"/>
        <v>Stock 12</v>
      </c>
      <c r="E185" s="2"/>
      <c r="F185" s="2"/>
      <c r="G185" s="2"/>
      <c r="H185" s="2" t="str">
        <f t="shared" si="119"/>
        <v>Steady Eddy</v>
      </c>
      <c r="I185" s="2"/>
      <c r="J185" s="39">
        <f t="shared" ref="J185:U185" si="130">if($H$185="",0,if($H$185="Sky Rockets",J32*$W$10*$AC$32,if($H$185="Steady Eddy",J32*$X$10*$AC$32,J32*$Y$10*$AC$32)))</f>
        <v>3948.048</v>
      </c>
      <c r="K185" s="39">
        <f t="shared" si="130"/>
        <v>1870.128</v>
      </c>
      <c r="L185" s="39">
        <f t="shared" si="130"/>
        <v>4051.944</v>
      </c>
      <c r="M185" s="39">
        <f t="shared" si="130"/>
        <v>0</v>
      </c>
      <c r="N185" s="39">
        <f t="shared" si="130"/>
        <v>3948.048</v>
      </c>
      <c r="O185" s="39">
        <f t="shared" si="130"/>
        <v>4051.944</v>
      </c>
      <c r="P185" s="39">
        <f t="shared" si="130"/>
        <v>1870.128</v>
      </c>
      <c r="Q185" s="39">
        <f t="shared" si="130"/>
        <v>1870.128</v>
      </c>
      <c r="R185" s="39">
        <f t="shared" si="130"/>
        <v>7168.824</v>
      </c>
      <c r="S185" s="39">
        <f t="shared" si="130"/>
        <v>2909.088</v>
      </c>
      <c r="T185" s="39">
        <f t="shared" si="130"/>
        <v>1870.128</v>
      </c>
      <c r="U185" s="39">
        <f t="shared" si="130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5"/>
      <c r="AJ185" s="2"/>
      <c r="AK185" s="2"/>
      <c r="AL185" s="2"/>
      <c r="AM185" s="2"/>
      <c r="AN185" s="2"/>
      <c r="AO185" s="2"/>
      <c r="AP185" s="5"/>
      <c r="AQ185" s="5"/>
    </row>
    <row r="186">
      <c r="A186" s="2"/>
      <c r="B186" s="5"/>
      <c r="C186" s="2"/>
      <c r="D186" s="2" t="str">
        <f t="shared" si="118"/>
        <v>Stock 13</v>
      </c>
      <c r="E186" s="2"/>
      <c r="F186" s="2"/>
      <c r="G186" s="2"/>
      <c r="H186" s="2" t="str">
        <f t="shared" si="119"/>
        <v>Steady Eddy</v>
      </c>
      <c r="I186" s="2"/>
      <c r="J186" s="39">
        <f t="shared" ref="J186:U186" si="131">if($H$186="",0,if($H$186="Sky Rockets",J33*$W$10*$AC$33,if($H$186="Steady Eddy",J33*$X$10*$AC$33,J33*$Y$10*$AC$33)))</f>
        <v>3764.232</v>
      </c>
      <c r="K186" s="39">
        <f t="shared" si="131"/>
        <v>1359.306</v>
      </c>
      <c r="L186" s="39">
        <f t="shared" si="131"/>
        <v>3973.356</v>
      </c>
      <c r="M186" s="39">
        <f t="shared" si="131"/>
        <v>0</v>
      </c>
      <c r="N186" s="39">
        <f t="shared" si="131"/>
        <v>3450.546</v>
      </c>
      <c r="O186" s="39">
        <f t="shared" si="131"/>
        <v>3973.356</v>
      </c>
      <c r="P186" s="39">
        <f t="shared" si="131"/>
        <v>1672.992</v>
      </c>
      <c r="Q186" s="39">
        <f t="shared" si="131"/>
        <v>1359.306</v>
      </c>
      <c r="R186" s="39">
        <f t="shared" si="131"/>
        <v>0</v>
      </c>
      <c r="S186" s="39">
        <f t="shared" si="131"/>
        <v>2718.612</v>
      </c>
      <c r="T186" s="39">
        <f t="shared" si="131"/>
        <v>1359.306</v>
      </c>
      <c r="U186" s="39">
        <f t="shared" si="131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5"/>
      <c r="AJ186" s="2"/>
      <c r="AK186" s="2"/>
      <c r="AL186" s="2"/>
      <c r="AM186" s="2"/>
      <c r="AN186" s="2"/>
      <c r="AO186" s="2"/>
      <c r="AP186" s="5"/>
      <c r="AQ186" s="5"/>
    </row>
    <row r="187">
      <c r="A187" s="2"/>
      <c r="B187" s="5"/>
      <c r="C187" s="2"/>
      <c r="D187" s="2" t="str">
        <f t="shared" si="118"/>
        <v>Stock 14</v>
      </c>
      <c r="E187" s="2"/>
      <c r="F187" s="2"/>
      <c r="G187" s="2"/>
      <c r="H187" s="2" t="str">
        <f t="shared" si="119"/>
        <v>SkyRockets</v>
      </c>
      <c r="I187" s="2"/>
      <c r="J187" s="39">
        <f t="shared" ref="J187:U187" si="132">if($H$187="",0,if($H$187="Sky Rockets",J34*$W$10*$AC$34,if($H$187="Steady Eddy",J34*$X$10*$AC$34,J34*$Y$10*$AC$34)))</f>
        <v>2455.32</v>
      </c>
      <c r="K187" s="39">
        <f t="shared" si="132"/>
        <v>1052.28</v>
      </c>
      <c r="L187" s="39">
        <f t="shared" si="132"/>
        <v>2455.32</v>
      </c>
      <c r="M187" s="39">
        <f t="shared" si="132"/>
        <v>1753.8</v>
      </c>
      <c r="N187" s="39">
        <f t="shared" si="132"/>
        <v>0</v>
      </c>
      <c r="O187" s="39">
        <f t="shared" si="132"/>
        <v>0</v>
      </c>
      <c r="P187" s="39">
        <f t="shared" si="132"/>
        <v>1052.28</v>
      </c>
      <c r="Q187" s="39">
        <f t="shared" si="132"/>
        <v>0</v>
      </c>
      <c r="R187" s="39">
        <f t="shared" si="132"/>
        <v>0</v>
      </c>
      <c r="S187" s="39">
        <f t="shared" si="132"/>
        <v>0</v>
      </c>
      <c r="T187" s="39">
        <f t="shared" si="132"/>
        <v>1052.28</v>
      </c>
      <c r="U187" s="39">
        <f t="shared" si="132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5"/>
      <c r="AJ187" s="2"/>
      <c r="AK187" s="2"/>
      <c r="AL187" s="2"/>
      <c r="AM187" s="2"/>
      <c r="AN187" s="2"/>
      <c r="AO187" s="2"/>
      <c r="AP187" s="5"/>
      <c r="AQ187" s="5"/>
    </row>
    <row r="188">
      <c r="A188" s="2"/>
      <c r="B188" s="5"/>
      <c r="C188" s="2"/>
      <c r="D188" s="2" t="str">
        <f t="shared" si="118"/>
        <v>Stock 15</v>
      </c>
      <c r="E188" s="2"/>
      <c r="F188" s="2"/>
      <c r="G188" s="2"/>
      <c r="H188" s="2" t="str">
        <f t="shared" si="119"/>
        <v>SkyRockets</v>
      </c>
      <c r="I188" s="2"/>
      <c r="J188" s="39">
        <f t="shared" ref="J188:U188" si="133">if($H$188="",0,if($H$188="Sky Rockets",J35*$W$10*$AC$35,if($H$188="Steady Eddy",J35*$X$10*$AC$35,J35*$Y$10*$AC$35)))</f>
        <v>2400.264</v>
      </c>
      <c r="K188" s="39">
        <f t="shared" si="133"/>
        <v>1200.132</v>
      </c>
      <c r="L188" s="39">
        <f t="shared" si="133"/>
        <v>2259.072</v>
      </c>
      <c r="M188" s="39">
        <f t="shared" si="133"/>
        <v>1694.304</v>
      </c>
      <c r="N188" s="39">
        <f t="shared" si="133"/>
        <v>0</v>
      </c>
      <c r="O188" s="39">
        <f t="shared" si="133"/>
        <v>0</v>
      </c>
      <c r="P188" s="39">
        <f t="shared" si="133"/>
        <v>988.344</v>
      </c>
      <c r="Q188" s="39">
        <f t="shared" si="133"/>
        <v>0</v>
      </c>
      <c r="R188" s="39">
        <f t="shared" si="133"/>
        <v>2965.032</v>
      </c>
      <c r="S188" s="39">
        <f t="shared" si="133"/>
        <v>0</v>
      </c>
      <c r="T188" s="39">
        <f t="shared" si="133"/>
        <v>1200.132</v>
      </c>
      <c r="U188" s="39">
        <f t="shared" si="133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5"/>
      <c r="AJ188" s="2"/>
      <c r="AK188" s="2"/>
      <c r="AL188" s="2"/>
      <c r="AM188" s="2"/>
      <c r="AN188" s="2"/>
      <c r="AO188" s="2"/>
      <c r="AP188" s="5"/>
      <c r="AQ188" s="5"/>
    </row>
    <row r="189">
      <c r="A189" s="2"/>
      <c r="B189" s="5"/>
      <c r="C189" s="2"/>
      <c r="D189" s="2" t="str">
        <f t="shared" si="118"/>
        <v>Stock 16</v>
      </c>
      <c r="E189" s="2"/>
      <c r="F189" s="2"/>
      <c r="G189" s="2"/>
      <c r="H189" s="2" t="str">
        <f t="shared" si="119"/>
        <v>SkyRockets</v>
      </c>
      <c r="I189" s="2"/>
      <c r="J189" s="39">
        <f t="shared" ref="J189:U189" si="134">if($H$189="",0,if($H$189="Sky Rockets",J36*$W$10*$AC$36,if($H$189="Steady Eddy",J36*$X$10*$AC$36,J36*$Y$10*$AC$36)))</f>
        <v>2628.48</v>
      </c>
      <c r="K189" s="39">
        <f t="shared" si="134"/>
        <v>1349.76</v>
      </c>
      <c r="L189" s="39">
        <f t="shared" si="134"/>
        <v>2557.44</v>
      </c>
      <c r="M189" s="39">
        <f t="shared" si="134"/>
        <v>1918.08</v>
      </c>
      <c r="N189" s="39">
        <f t="shared" si="134"/>
        <v>3480.96</v>
      </c>
      <c r="O189" s="39">
        <f t="shared" si="134"/>
        <v>3267.84</v>
      </c>
      <c r="P189" s="39">
        <f t="shared" si="134"/>
        <v>1207.68</v>
      </c>
      <c r="Q189" s="39">
        <f t="shared" si="134"/>
        <v>0</v>
      </c>
      <c r="R189" s="39">
        <f t="shared" si="134"/>
        <v>2557.44</v>
      </c>
      <c r="S189" s="39">
        <f t="shared" si="134"/>
        <v>0</v>
      </c>
      <c r="T189" s="39">
        <f t="shared" si="134"/>
        <v>1349.76</v>
      </c>
      <c r="U189" s="39">
        <f t="shared" si="134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5"/>
      <c r="AJ189" s="2"/>
      <c r="AK189" s="2"/>
      <c r="AL189" s="2"/>
      <c r="AM189" s="2"/>
      <c r="AN189" s="2"/>
      <c r="AO189" s="2"/>
      <c r="AP189" s="5"/>
      <c r="AQ189" s="5"/>
    </row>
    <row r="190">
      <c r="A190" s="2"/>
      <c r="B190" s="5"/>
      <c r="C190" s="2"/>
      <c r="D190" s="2" t="str">
        <f t="shared" si="118"/>
        <v>Stock 17</v>
      </c>
      <c r="E190" s="2"/>
      <c r="F190" s="2"/>
      <c r="G190" s="2"/>
      <c r="H190" s="2" t="str">
        <f t="shared" si="119"/>
        <v>Slow Burn</v>
      </c>
      <c r="I190" s="2"/>
      <c r="J190" s="39">
        <f t="shared" ref="J190:U190" si="135">if($H$190="",0,if($H$190="Sky Rockets",J37*$W$10*$AC$37,if($H$190="Steady Eddy",J37*$X$10*$AC$37,J37*$Y$10*$AC$37)))</f>
        <v>2573.424</v>
      </c>
      <c r="K190" s="39">
        <f t="shared" si="135"/>
        <v>786.324</v>
      </c>
      <c r="L190" s="39">
        <f t="shared" si="135"/>
        <v>2501.94</v>
      </c>
      <c r="M190" s="39">
        <f t="shared" si="135"/>
        <v>1858.584</v>
      </c>
      <c r="N190" s="39">
        <f t="shared" si="135"/>
        <v>2930.844</v>
      </c>
      <c r="O190" s="39">
        <f t="shared" si="135"/>
        <v>3216.78</v>
      </c>
      <c r="P190" s="39">
        <f t="shared" si="135"/>
        <v>1143.744</v>
      </c>
      <c r="Q190" s="39">
        <f t="shared" si="135"/>
        <v>0</v>
      </c>
      <c r="R190" s="39">
        <f t="shared" si="135"/>
        <v>1787.1</v>
      </c>
      <c r="S190" s="39">
        <f t="shared" si="135"/>
        <v>428.904</v>
      </c>
      <c r="T190" s="39">
        <f t="shared" si="135"/>
        <v>786.324</v>
      </c>
      <c r="U190" s="39">
        <f t="shared" si="135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5"/>
      <c r="AJ190" s="2"/>
      <c r="AK190" s="2"/>
      <c r="AL190" s="2"/>
      <c r="AM190" s="2"/>
      <c r="AN190" s="2"/>
      <c r="AO190" s="2"/>
      <c r="AP190" s="5"/>
      <c r="AQ190" s="5"/>
    </row>
    <row r="191">
      <c r="A191" s="2"/>
      <c r="B191" s="5"/>
      <c r="C191" s="2"/>
      <c r="D191" s="2" t="str">
        <f t="shared" si="118"/>
        <v>Stock 18</v>
      </c>
      <c r="E191" s="2"/>
      <c r="F191" s="2"/>
      <c r="G191" s="2"/>
      <c r="H191" s="2" t="str">
        <f t="shared" si="119"/>
        <v>Slow Burn</v>
      </c>
      <c r="I191" s="2"/>
      <c r="J191" s="39">
        <f t="shared" ref="J191:U191" si="136">if($H$191="",0,if($H$191="Sky Rockets",J38*$W$10*$AC$38,if($H$191="Steady Eddy",J38*$X$10*$AC$38,J38*$Y$10*$AC$38)))</f>
        <v>2301.696</v>
      </c>
      <c r="K191" s="39">
        <f t="shared" si="136"/>
        <v>863.136</v>
      </c>
      <c r="L191" s="39">
        <f t="shared" si="136"/>
        <v>2445.552</v>
      </c>
      <c r="M191" s="39">
        <f t="shared" si="136"/>
        <v>1582.416</v>
      </c>
      <c r="N191" s="39">
        <f t="shared" si="136"/>
        <v>3020.976</v>
      </c>
      <c r="O191" s="39">
        <f t="shared" si="136"/>
        <v>3164.832</v>
      </c>
      <c r="P191" s="39">
        <f t="shared" si="136"/>
        <v>863.136</v>
      </c>
      <c r="Q191" s="39">
        <f t="shared" si="136"/>
        <v>863.136</v>
      </c>
      <c r="R191" s="39">
        <f t="shared" si="136"/>
        <v>1726.272</v>
      </c>
      <c r="S191" s="39">
        <f t="shared" si="136"/>
        <v>143.856</v>
      </c>
      <c r="T191" s="39">
        <f t="shared" si="136"/>
        <v>863.136</v>
      </c>
      <c r="U191" s="39">
        <f t="shared" si="136"/>
        <v>287.712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5"/>
      <c r="AJ191" s="2"/>
      <c r="AK191" s="2"/>
      <c r="AL191" s="2"/>
      <c r="AM191" s="2"/>
      <c r="AN191" s="2"/>
      <c r="AO191" s="2"/>
      <c r="AP191" s="5"/>
      <c r="AQ191" s="5"/>
    </row>
    <row r="192">
      <c r="A192" s="2"/>
      <c r="B192" s="5"/>
      <c r="C192" s="2"/>
      <c r="D192" s="2" t="str">
        <f t="shared" si="118"/>
        <v>Stock 19</v>
      </c>
      <c r="E192" s="2"/>
      <c r="F192" s="2"/>
      <c r="G192" s="2"/>
      <c r="H192" s="2" t="str">
        <f t="shared" si="119"/>
        <v>SkyRockets</v>
      </c>
      <c r="I192" s="2"/>
      <c r="J192" s="39">
        <f t="shared" ref="J192:U192" si="137">if($H$192="",0,if($H$192="Sky Rockets",J39*$W$10*$AC$39,if($H$192="Steady Eddy",J39*$X$10*$AC$39,J39*$Y$10*$AC$39)))</f>
        <v>2243.532</v>
      </c>
      <c r="K192" s="39">
        <f t="shared" si="137"/>
        <v>1013.208</v>
      </c>
      <c r="L192" s="39">
        <f t="shared" si="137"/>
        <v>2677.764</v>
      </c>
      <c r="M192" s="39">
        <f t="shared" si="137"/>
        <v>1519.812</v>
      </c>
      <c r="N192" s="39">
        <f t="shared" si="137"/>
        <v>3184.368</v>
      </c>
      <c r="O192" s="39">
        <f t="shared" si="137"/>
        <v>3401.484</v>
      </c>
      <c r="P192" s="39">
        <f t="shared" si="137"/>
        <v>796.092</v>
      </c>
      <c r="Q192" s="39">
        <f t="shared" si="137"/>
        <v>1013.208</v>
      </c>
      <c r="R192" s="39">
        <f t="shared" si="137"/>
        <v>1230.324</v>
      </c>
      <c r="S192" s="39">
        <f t="shared" si="137"/>
        <v>72.372</v>
      </c>
      <c r="T192" s="39">
        <f t="shared" si="137"/>
        <v>1013.208</v>
      </c>
      <c r="U192" s="39">
        <f t="shared" si="137"/>
        <v>506.604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5"/>
      <c r="AJ192" s="2"/>
      <c r="AK192" s="2"/>
      <c r="AL192" s="2"/>
      <c r="AM192" s="2"/>
      <c r="AN192" s="2"/>
      <c r="AO192" s="2"/>
      <c r="AP192" s="5"/>
      <c r="AQ192" s="5"/>
    </row>
    <row r="193">
      <c r="A193" s="2"/>
      <c r="B193" s="5"/>
      <c r="C193" s="2"/>
      <c r="D193" s="2" t="str">
        <f t="shared" si="118"/>
        <v>Stock 20</v>
      </c>
      <c r="E193" s="2"/>
      <c r="F193" s="2"/>
      <c r="G193" s="2"/>
      <c r="H193" s="2" t="str">
        <f t="shared" si="119"/>
        <v>Steady Eddy</v>
      </c>
      <c r="I193" s="2"/>
      <c r="J193" s="39">
        <f t="shared" ref="J193:U193" si="138">if($H$193="",0,if($H$193="Sky Rockets",(J40*$W$10)*$AC$40,if($H$193="Steady Eddy",(J40*$X$10)*$AC$40,(J40*$Y$10)*$AC$40)))</f>
        <v>3713.616</v>
      </c>
      <c r="K193" s="39">
        <f t="shared" si="138"/>
        <v>1966.032</v>
      </c>
      <c r="L193" s="39">
        <f t="shared" si="138"/>
        <v>4150.512</v>
      </c>
      <c r="M193" s="39">
        <f t="shared" si="138"/>
        <v>2621.376</v>
      </c>
      <c r="N193" s="39">
        <f t="shared" si="138"/>
        <v>5242.752</v>
      </c>
      <c r="O193" s="39">
        <f t="shared" si="138"/>
        <v>5242.752</v>
      </c>
      <c r="P193" s="39">
        <f t="shared" si="138"/>
        <v>1529.136</v>
      </c>
      <c r="Q193" s="39">
        <f t="shared" si="138"/>
        <v>1966.032</v>
      </c>
      <c r="R193" s="39">
        <f t="shared" si="138"/>
        <v>4150.512</v>
      </c>
      <c r="S193" s="39">
        <f t="shared" si="138"/>
        <v>436.896</v>
      </c>
      <c r="T193" s="39">
        <f t="shared" si="138"/>
        <v>1966.032</v>
      </c>
      <c r="U193" s="39">
        <f t="shared" si="138"/>
        <v>873.792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5"/>
      <c r="AJ193" s="2"/>
      <c r="AK193" s="2"/>
      <c r="AL193" s="2"/>
      <c r="AM193" s="2"/>
      <c r="AN193" s="2"/>
      <c r="AO193" s="2"/>
      <c r="AP193" s="5"/>
      <c r="AQ193" s="5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5"/>
      <c r="AJ194" s="2"/>
      <c r="AK194" s="2"/>
      <c r="AL194" s="2"/>
      <c r="AM194" s="2"/>
      <c r="AN194" s="2"/>
      <c r="AO194" s="2"/>
      <c r="AP194" s="5"/>
      <c r="AQ194" s="5"/>
    </row>
    <row r="195">
      <c r="A195" s="2"/>
      <c r="B195" s="5"/>
      <c r="C195" s="2"/>
      <c r="D195" s="2" t="str">
        <f>D171</f>
        <v/>
      </c>
      <c r="E195" s="2"/>
      <c r="F195" s="2"/>
      <c r="G195" s="2"/>
      <c r="H195" s="2">
        <f>Y15</f>
        <v>120</v>
      </c>
      <c r="I195" s="2"/>
      <c r="J195" s="78">
        <f t="shared" ref="J195:U195" si="139">sum(J174:J193)</f>
        <v>57407.646</v>
      </c>
      <c r="K195" s="78">
        <f t="shared" si="139"/>
        <v>20923.278</v>
      </c>
      <c r="L195" s="78">
        <f t="shared" si="139"/>
        <v>51869.412</v>
      </c>
      <c r="M195" s="78">
        <f t="shared" si="139"/>
        <v>28350.732</v>
      </c>
      <c r="N195" s="78">
        <f t="shared" si="139"/>
        <v>43899.834</v>
      </c>
      <c r="O195" s="78">
        <f t="shared" si="139"/>
        <v>54455.934</v>
      </c>
      <c r="P195" s="78">
        <f t="shared" si="139"/>
        <v>15816.39</v>
      </c>
      <c r="Q195" s="78">
        <f t="shared" si="139"/>
        <v>15901.194</v>
      </c>
      <c r="R195" s="78">
        <f t="shared" si="139"/>
        <v>42745.878</v>
      </c>
      <c r="S195" s="78">
        <f t="shared" si="139"/>
        <v>17978.226</v>
      </c>
      <c r="T195" s="78">
        <f t="shared" si="139"/>
        <v>18729.474</v>
      </c>
      <c r="U195" s="78">
        <f t="shared" si="139"/>
        <v>7159.5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5"/>
      <c r="AJ195" s="2"/>
      <c r="AK195" s="2"/>
      <c r="AL195" s="2"/>
      <c r="AM195" s="2"/>
      <c r="AN195" s="2"/>
      <c r="AO195" s="2"/>
      <c r="AP195" s="5"/>
      <c r="AQ195" s="5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5"/>
      <c r="AJ196" s="2"/>
      <c r="AK196" s="2"/>
      <c r="AL196" s="2"/>
      <c r="AM196" s="2"/>
      <c r="AN196" s="2"/>
      <c r="AO196" s="2"/>
      <c r="AP196" s="5"/>
      <c r="AQ196" s="5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5"/>
      <c r="AJ197" s="2"/>
      <c r="AK197" s="2"/>
      <c r="AL197" s="2"/>
      <c r="AM197" s="2"/>
      <c r="AN197" s="2"/>
      <c r="AO197" s="2"/>
      <c r="AP197" s="5"/>
      <c r="AQ197" s="5"/>
    </row>
    <row r="198">
      <c r="A198" s="2"/>
      <c r="B198" s="5"/>
      <c r="C198" s="2"/>
      <c r="D198" s="2"/>
      <c r="E198" s="2"/>
      <c r="F198" s="2"/>
      <c r="G198" s="13"/>
      <c r="H198" s="13" t="s">
        <v>110</v>
      </c>
      <c r="I198" s="2"/>
      <c r="J198" s="39">
        <f t="shared" ref="J198:U198" si="140">sum(J200:J203)</f>
        <v>43020.75</v>
      </c>
      <c r="K198" s="39">
        <f t="shared" si="140"/>
        <v>107790.42</v>
      </c>
      <c r="L198" s="39">
        <f t="shared" si="140"/>
        <v>159703.821</v>
      </c>
      <c r="M198" s="39">
        <f t="shared" si="140"/>
        <v>189363.006</v>
      </c>
      <c r="N198" s="39">
        <f t="shared" si="140"/>
        <v>175482.405</v>
      </c>
      <c r="O198" s="39">
        <f t="shared" si="140"/>
        <v>210518.787</v>
      </c>
      <c r="P198" s="39">
        <f t="shared" si="140"/>
        <v>186217.317</v>
      </c>
      <c r="Q198" s="39">
        <f t="shared" si="140"/>
        <v>160871.793</v>
      </c>
      <c r="R198" s="39">
        <f t="shared" si="140"/>
        <v>135443.382</v>
      </c>
      <c r="S198" s="39">
        <f t="shared" si="140"/>
        <v>119323.074</v>
      </c>
      <c r="T198" s="39">
        <f t="shared" si="140"/>
        <v>116245.665</v>
      </c>
      <c r="U198" s="39">
        <f t="shared" si="140"/>
        <v>97757.649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5"/>
      <c r="AJ198" s="2"/>
      <c r="AK198" s="2"/>
      <c r="AL198" s="2"/>
      <c r="AM198" s="2"/>
      <c r="AN198" s="2"/>
      <c r="AO198" s="2"/>
      <c r="AP198" s="5"/>
      <c r="AQ198" s="5"/>
    </row>
    <row r="199">
      <c r="A199" s="2"/>
      <c r="B199" s="5"/>
      <c r="C199" s="2"/>
      <c r="D199" s="2"/>
      <c r="E199" s="2"/>
      <c r="F199" s="2"/>
      <c r="G199" s="13"/>
      <c r="H199" s="13"/>
      <c r="I199" s="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5"/>
      <c r="AJ199" s="2"/>
      <c r="AK199" s="2"/>
      <c r="AL199" s="2"/>
      <c r="AM199" s="2"/>
      <c r="AN199" s="2"/>
      <c r="AO199" s="2"/>
      <c r="AP199" s="5"/>
      <c r="AQ199" s="5"/>
    </row>
    <row r="200">
      <c r="A200" s="2"/>
      <c r="B200" s="5"/>
      <c r="C200" s="2"/>
      <c r="D200" s="2"/>
      <c r="E200" s="2"/>
      <c r="F200" s="2"/>
      <c r="G200" s="13">
        <v>1.0</v>
      </c>
      <c r="H200" s="13">
        <v>30.0</v>
      </c>
      <c r="I200" s="2"/>
      <c r="J200" s="39">
        <f t="shared" ref="J200:U200" si="141">J124</f>
        <v>43020.75</v>
      </c>
      <c r="K200" s="39">
        <f t="shared" si="141"/>
        <v>15755.655</v>
      </c>
      <c r="L200" s="39">
        <f t="shared" si="141"/>
        <v>39710.475</v>
      </c>
      <c r="M200" s="39">
        <f t="shared" si="141"/>
        <v>20265.495</v>
      </c>
      <c r="N200" s="39">
        <f t="shared" si="141"/>
        <v>33793.59</v>
      </c>
      <c r="O200" s="39">
        <f t="shared" si="141"/>
        <v>41216.7</v>
      </c>
      <c r="P200" s="39">
        <f t="shared" si="141"/>
        <v>11839.47</v>
      </c>
      <c r="Q200" s="39">
        <f t="shared" si="141"/>
        <v>12240.75</v>
      </c>
      <c r="R200" s="39">
        <f t="shared" si="141"/>
        <v>32494.845</v>
      </c>
      <c r="S200" s="39">
        <f t="shared" si="141"/>
        <v>14649</v>
      </c>
      <c r="T200" s="39">
        <f t="shared" si="141"/>
        <v>13775.19</v>
      </c>
      <c r="U200" s="39">
        <f t="shared" si="141"/>
        <v>5379.66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5"/>
      <c r="AJ200" s="2"/>
      <c r="AK200" s="2"/>
      <c r="AL200" s="2"/>
      <c r="AM200" s="2"/>
      <c r="AN200" s="2"/>
      <c r="AO200" s="2"/>
      <c r="AP200" s="5"/>
      <c r="AQ200" s="5"/>
    </row>
    <row r="201">
      <c r="A201" s="2"/>
      <c r="B201" s="5"/>
      <c r="C201" s="2"/>
      <c r="D201" s="2"/>
      <c r="E201" s="2"/>
      <c r="F201" s="2"/>
      <c r="G201" s="13">
        <v>2.0</v>
      </c>
      <c r="H201" s="13">
        <v>60.0</v>
      </c>
      <c r="I201" s="2"/>
      <c r="J201" s="4"/>
      <c r="K201" s="39">
        <f t="shared" ref="K201:W201" si="142">J147</f>
        <v>92034.765</v>
      </c>
      <c r="L201" s="39">
        <f t="shared" si="142"/>
        <v>33315.93</v>
      </c>
      <c r="M201" s="39">
        <f t="shared" si="142"/>
        <v>80635.905</v>
      </c>
      <c r="N201" s="39">
        <f t="shared" si="142"/>
        <v>48392.145</v>
      </c>
      <c r="O201" s="39">
        <f t="shared" si="142"/>
        <v>67692.915</v>
      </c>
      <c r="P201" s="39">
        <f t="shared" si="142"/>
        <v>86078.835</v>
      </c>
      <c r="Q201" s="39">
        <f t="shared" si="142"/>
        <v>25396.065</v>
      </c>
      <c r="R201" s="39">
        <f t="shared" si="142"/>
        <v>24518.835</v>
      </c>
      <c r="S201" s="39">
        <f t="shared" si="142"/>
        <v>67144.86</v>
      </c>
      <c r="T201" s="39">
        <f t="shared" si="142"/>
        <v>25293.465</v>
      </c>
      <c r="U201" s="39">
        <f t="shared" si="142"/>
        <v>30808.215</v>
      </c>
      <c r="V201" s="39">
        <f t="shared" si="142"/>
        <v>11434.77</v>
      </c>
      <c r="W201" s="4" t="str">
        <f t="shared" si="142"/>
        <v/>
      </c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5"/>
      <c r="AJ201" s="2"/>
      <c r="AK201" s="2"/>
      <c r="AL201" s="2"/>
      <c r="AM201" s="2"/>
      <c r="AN201" s="2"/>
      <c r="AO201" s="2"/>
      <c r="AP201" s="5"/>
      <c r="AQ201" s="5"/>
    </row>
    <row r="202">
      <c r="A202" s="2"/>
      <c r="B202" s="5"/>
      <c r="C202" s="2"/>
      <c r="D202" s="2"/>
      <c r="E202" s="2"/>
      <c r="F202" s="2"/>
      <c r="G202" s="13">
        <v>3.0</v>
      </c>
      <c r="H202" s="13">
        <v>90.0</v>
      </c>
      <c r="I202" s="4"/>
      <c r="J202" s="4"/>
      <c r="K202" s="4"/>
      <c r="L202" s="39">
        <f t="shared" ref="L202:W202" si="143">J171</f>
        <v>86677.416</v>
      </c>
      <c r="M202" s="39">
        <f t="shared" si="143"/>
        <v>31053.96</v>
      </c>
      <c r="N202" s="39">
        <f t="shared" si="143"/>
        <v>72373.392</v>
      </c>
      <c r="O202" s="39">
        <f t="shared" si="143"/>
        <v>49739.76</v>
      </c>
      <c r="P202" s="39">
        <f t="shared" si="143"/>
        <v>59948.28</v>
      </c>
      <c r="Q202" s="39">
        <f t="shared" si="143"/>
        <v>79335.144</v>
      </c>
      <c r="R202" s="39">
        <f t="shared" si="143"/>
        <v>23973.768</v>
      </c>
      <c r="S202" s="39">
        <f t="shared" si="143"/>
        <v>21712.824</v>
      </c>
      <c r="T202" s="39">
        <f t="shared" si="143"/>
        <v>61275.816</v>
      </c>
      <c r="U202" s="39">
        <f t="shared" si="143"/>
        <v>18823.896</v>
      </c>
      <c r="V202" s="39">
        <f t="shared" si="143"/>
        <v>30121.56</v>
      </c>
      <c r="W202" s="39">
        <f t="shared" si="143"/>
        <v>10707.984</v>
      </c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5"/>
      <c r="AJ202" s="2"/>
      <c r="AK202" s="2"/>
      <c r="AL202" s="2"/>
      <c r="AM202" s="2"/>
      <c r="AN202" s="2"/>
      <c r="AO202" s="2"/>
      <c r="AP202" s="5"/>
      <c r="AQ202" s="5"/>
    </row>
    <row r="203">
      <c r="A203" s="2"/>
      <c r="B203" s="5"/>
      <c r="C203" s="2"/>
      <c r="D203" s="2"/>
      <c r="E203" s="2"/>
      <c r="F203" s="2"/>
      <c r="G203" s="13">
        <v>4.0</v>
      </c>
      <c r="H203" s="13">
        <v>120.0</v>
      </c>
      <c r="I203" s="4"/>
      <c r="J203" s="4"/>
      <c r="K203" s="4"/>
      <c r="L203" s="4"/>
      <c r="M203" s="39">
        <f t="shared" ref="M203:X203" si="144">J195</f>
        <v>57407.646</v>
      </c>
      <c r="N203" s="39">
        <f t="shared" si="144"/>
        <v>20923.278</v>
      </c>
      <c r="O203" s="39">
        <f t="shared" si="144"/>
        <v>51869.412</v>
      </c>
      <c r="P203" s="39">
        <f t="shared" si="144"/>
        <v>28350.732</v>
      </c>
      <c r="Q203" s="39">
        <f t="shared" si="144"/>
        <v>43899.834</v>
      </c>
      <c r="R203" s="39">
        <f t="shared" si="144"/>
        <v>54455.934</v>
      </c>
      <c r="S203" s="39">
        <f t="shared" si="144"/>
        <v>15816.39</v>
      </c>
      <c r="T203" s="39">
        <f t="shared" si="144"/>
        <v>15901.194</v>
      </c>
      <c r="U203" s="39">
        <f t="shared" si="144"/>
        <v>42745.878</v>
      </c>
      <c r="V203" s="39">
        <f t="shared" si="144"/>
        <v>17978.226</v>
      </c>
      <c r="W203" s="39">
        <f t="shared" si="144"/>
        <v>18729.474</v>
      </c>
      <c r="X203" s="39">
        <f t="shared" si="144"/>
        <v>7159.5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5"/>
      <c r="AJ203" s="2"/>
      <c r="AK203" s="2"/>
      <c r="AL203" s="2"/>
      <c r="AM203" s="2"/>
      <c r="AN203" s="2"/>
      <c r="AO203" s="2"/>
      <c r="AP203" s="5"/>
      <c r="AQ203" s="5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5"/>
      <c r="AJ204" s="2"/>
      <c r="AK204" s="2"/>
      <c r="AL204" s="2"/>
      <c r="AM204" s="2"/>
      <c r="AN204" s="2"/>
      <c r="AO204" s="2"/>
      <c r="AP204" s="5"/>
      <c r="AQ204" s="5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9">
        <f t="shared" ref="M205:X205" si="145">M203+L202+K201+J200</f>
        <v>279140.577</v>
      </c>
      <c r="N205" s="39">
        <f t="shared" si="145"/>
        <v>101048.823</v>
      </c>
      <c r="O205" s="39">
        <f t="shared" si="145"/>
        <v>244589.184</v>
      </c>
      <c r="P205" s="39">
        <f t="shared" si="145"/>
        <v>146748.132</v>
      </c>
      <c r="Q205" s="39">
        <f t="shared" si="145"/>
        <v>205334.619</v>
      </c>
      <c r="R205" s="39">
        <f t="shared" si="145"/>
        <v>261086.613</v>
      </c>
      <c r="S205" s="39">
        <f t="shared" si="145"/>
        <v>77025.693</v>
      </c>
      <c r="T205" s="39">
        <f t="shared" si="145"/>
        <v>74373.603</v>
      </c>
      <c r="U205" s="39">
        <f t="shared" si="145"/>
        <v>203661.399</v>
      </c>
      <c r="V205" s="39">
        <f t="shared" si="145"/>
        <v>76744.587</v>
      </c>
      <c r="W205" s="39">
        <f t="shared" si="145"/>
        <v>93434.439</v>
      </c>
      <c r="X205" s="39">
        <f t="shared" si="145"/>
        <v>34681.914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5"/>
      <c r="AJ205" s="2"/>
      <c r="AK205" s="2"/>
      <c r="AL205" s="2"/>
      <c r="AM205" s="2"/>
      <c r="AN205" s="2"/>
      <c r="AO205" s="2"/>
      <c r="AP205" s="5"/>
      <c r="AQ205" s="5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5"/>
      <c r="AJ206" s="2"/>
      <c r="AK206" s="2"/>
      <c r="AL206" s="2"/>
      <c r="AM206" s="2"/>
      <c r="AN206" s="2"/>
      <c r="AO206" s="2"/>
      <c r="AP206" s="5"/>
      <c r="AQ206" s="5"/>
    </row>
    <row r="207">
      <c r="A207" s="2"/>
      <c r="B207" s="5"/>
      <c r="C207" s="2"/>
      <c r="D207" s="2"/>
      <c r="E207" s="2"/>
      <c r="F207" s="2"/>
      <c r="G207" s="2"/>
      <c r="H207" s="124" t="s">
        <v>111</v>
      </c>
      <c r="I207" s="125"/>
      <c r="J207" s="126">
        <f t="shared" ref="J207:U207" si="146">if(J44="Sea",$K$3,if(J44="Air",$L$3,if(J44="Express",$M$3,0)))</f>
        <v>149</v>
      </c>
      <c r="K207" s="126">
        <f t="shared" si="146"/>
        <v>154</v>
      </c>
      <c r="L207" s="126">
        <f t="shared" si="146"/>
        <v>144</v>
      </c>
      <c r="M207" s="126">
        <f t="shared" si="146"/>
        <v>144</v>
      </c>
      <c r="N207" s="126">
        <f t="shared" si="146"/>
        <v>154</v>
      </c>
      <c r="O207" s="126">
        <f t="shared" si="146"/>
        <v>149</v>
      </c>
      <c r="P207" s="126">
        <f t="shared" si="146"/>
        <v>144</v>
      </c>
      <c r="Q207" s="126">
        <f t="shared" si="146"/>
        <v>154</v>
      </c>
      <c r="R207" s="126">
        <f t="shared" si="146"/>
        <v>149</v>
      </c>
      <c r="S207" s="126">
        <f t="shared" si="146"/>
        <v>144</v>
      </c>
      <c r="T207" s="126">
        <f t="shared" si="146"/>
        <v>154</v>
      </c>
      <c r="U207" s="126">
        <f t="shared" si="146"/>
        <v>144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5"/>
      <c r="AJ207" s="2"/>
      <c r="AK207" s="2"/>
      <c r="AL207" s="2"/>
      <c r="AM207" s="2"/>
      <c r="AN207" s="2"/>
      <c r="AO207" s="2"/>
      <c r="AP207" s="5"/>
      <c r="AQ207" s="5"/>
    </row>
    <row r="208">
      <c r="A208" s="2"/>
      <c r="B208" s="5"/>
      <c r="C208" s="2"/>
      <c r="D208" s="3" t="s">
        <v>112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5"/>
      <c r="AJ208" s="2"/>
      <c r="AK208" s="2"/>
      <c r="AL208" s="2"/>
      <c r="AM208" s="2"/>
      <c r="AN208" s="2"/>
      <c r="AO208" s="2"/>
      <c r="AP208" s="5"/>
      <c r="AQ208" s="5"/>
    </row>
    <row r="209">
      <c r="A209" s="2"/>
      <c r="B209" s="5"/>
      <c r="C209" s="2"/>
      <c r="D209" s="3" t="s">
        <v>113</v>
      </c>
      <c r="H209" s="127">
        <v>30.0</v>
      </c>
      <c r="I209" s="128"/>
      <c r="J209" s="129">
        <f t="shared" ref="J209:U209" si="147">if(J$207&lt;=$H209,J$200,0)</f>
        <v>0</v>
      </c>
      <c r="K209" s="129">
        <f t="shared" si="147"/>
        <v>0</v>
      </c>
      <c r="L209" s="129">
        <f t="shared" si="147"/>
        <v>0</v>
      </c>
      <c r="M209" s="129">
        <f t="shared" si="147"/>
        <v>0</v>
      </c>
      <c r="N209" s="129">
        <f t="shared" si="147"/>
        <v>0</v>
      </c>
      <c r="O209" s="129">
        <f t="shared" si="147"/>
        <v>0</v>
      </c>
      <c r="P209" s="129">
        <f t="shared" si="147"/>
        <v>0</v>
      </c>
      <c r="Q209" s="129">
        <f t="shared" si="147"/>
        <v>0</v>
      </c>
      <c r="R209" s="129">
        <f t="shared" si="147"/>
        <v>0</v>
      </c>
      <c r="S209" s="129">
        <f t="shared" si="147"/>
        <v>0</v>
      </c>
      <c r="T209" s="129">
        <f t="shared" si="147"/>
        <v>0</v>
      </c>
      <c r="U209" s="129">
        <f t="shared" si="147"/>
        <v>0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5"/>
      <c r="AJ209" s="2"/>
      <c r="AK209" s="2"/>
      <c r="AL209" s="2"/>
      <c r="AM209" s="2"/>
      <c r="AN209" s="2"/>
      <c r="AO209" s="2"/>
      <c r="AP209" s="5"/>
      <c r="AQ209" s="5"/>
    </row>
    <row r="210">
      <c r="A210" s="2"/>
      <c r="B210" s="5"/>
      <c r="C210" s="2"/>
      <c r="D210" s="2"/>
      <c r="E210" s="2"/>
      <c r="F210" s="2"/>
      <c r="G210" s="2"/>
      <c r="H210" s="127">
        <v>60.0</v>
      </c>
      <c r="I210" s="128"/>
      <c r="J210" s="129"/>
      <c r="K210" s="129">
        <f t="shared" ref="K210:V210" si="148">if(and(J$207&gt;$H$209,J$207&lt;=$H$210),J$200,0)</f>
        <v>0</v>
      </c>
      <c r="L210" s="129">
        <f t="shared" si="148"/>
        <v>0</v>
      </c>
      <c r="M210" s="129">
        <f t="shared" si="148"/>
        <v>0</v>
      </c>
      <c r="N210" s="129">
        <f t="shared" si="148"/>
        <v>0</v>
      </c>
      <c r="O210" s="129">
        <f t="shared" si="148"/>
        <v>0</v>
      </c>
      <c r="P210" s="129">
        <f t="shared" si="148"/>
        <v>0</v>
      </c>
      <c r="Q210" s="129">
        <f t="shared" si="148"/>
        <v>0</v>
      </c>
      <c r="R210" s="129">
        <f t="shared" si="148"/>
        <v>0</v>
      </c>
      <c r="S210" s="129">
        <f t="shared" si="148"/>
        <v>0</v>
      </c>
      <c r="T210" s="129">
        <f t="shared" si="148"/>
        <v>0</v>
      </c>
      <c r="U210" s="129">
        <f t="shared" si="148"/>
        <v>0</v>
      </c>
      <c r="V210" s="129">
        <f t="shared" si="148"/>
        <v>0</v>
      </c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2"/>
      <c r="AH210" s="2"/>
      <c r="AI210" s="5"/>
      <c r="AJ210" s="2"/>
      <c r="AK210" s="2"/>
      <c r="AL210" s="2"/>
      <c r="AM210" s="2"/>
      <c r="AN210" s="2"/>
      <c r="AO210" s="2"/>
      <c r="AP210" s="5"/>
      <c r="AQ210" s="5"/>
    </row>
    <row r="211">
      <c r="A211" s="2"/>
      <c r="B211" s="5"/>
      <c r="C211" s="2"/>
      <c r="D211" s="2"/>
      <c r="E211" s="2"/>
      <c r="F211" s="2"/>
      <c r="G211" s="2"/>
      <c r="H211" s="127">
        <v>90.0</v>
      </c>
      <c r="I211" s="129"/>
      <c r="J211" s="129"/>
      <c r="K211" s="129"/>
      <c r="L211" s="129">
        <f t="shared" ref="L211:W211" si="149">if(and(J$207&gt;$H$210,J$207&lt;=$H$211),J$200,0)</f>
        <v>0</v>
      </c>
      <c r="M211" s="129">
        <f t="shared" si="149"/>
        <v>0</v>
      </c>
      <c r="N211" s="129">
        <f t="shared" si="149"/>
        <v>0</v>
      </c>
      <c r="O211" s="129">
        <f t="shared" si="149"/>
        <v>0</v>
      </c>
      <c r="P211" s="129">
        <f t="shared" si="149"/>
        <v>0</v>
      </c>
      <c r="Q211" s="129">
        <f t="shared" si="149"/>
        <v>0</v>
      </c>
      <c r="R211" s="129">
        <f t="shared" si="149"/>
        <v>0</v>
      </c>
      <c r="S211" s="129">
        <f t="shared" si="149"/>
        <v>0</v>
      </c>
      <c r="T211" s="129">
        <f t="shared" si="149"/>
        <v>0</v>
      </c>
      <c r="U211" s="129">
        <f t="shared" si="149"/>
        <v>0</v>
      </c>
      <c r="V211" s="129">
        <f t="shared" si="149"/>
        <v>0</v>
      </c>
      <c r="W211" s="129">
        <f t="shared" si="149"/>
        <v>0</v>
      </c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2"/>
      <c r="AH211" s="2"/>
      <c r="AI211" s="5"/>
      <c r="AJ211" s="2"/>
      <c r="AK211" s="2"/>
      <c r="AL211" s="2"/>
      <c r="AM211" s="2"/>
      <c r="AN211" s="2"/>
      <c r="AO211" s="2"/>
      <c r="AP211" s="5"/>
      <c r="AQ211" s="5"/>
    </row>
    <row r="212">
      <c r="A212" s="2"/>
      <c r="B212" s="5"/>
      <c r="C212" s="2"/>
      <c r="D212" s="2"/>
      <c r="E212" s="2"/>
      <c r="F212" s="2"/>
      <c r="G212" s="2"/>
      <c r="H212" s="127">
        <v>120.0</v>
      </c>
      <c r="I212" s="129"/>
      <c r="J212" s="129"/>
      <c r="K212" s="129"/>
      <c r="L212" s="129"/>
      <c r="M212" s="129">
        <f t="shared" ref="M212:X212" si="150">if(and(J$207&gt;$H$211,J$207&lt;=$H$212),J$200,0)</f>
        <v>0</v>
      </c>
      <c r="N212" s="129">
        <f t="shared" si="150"/>
        <v>0</v>
      </c>
      <c r="O212" s="129">
        <f t="shared" si="150"/>
        <v>0</v>
      </c>
      <c r="P212" s="129">
        <f t="shared" si="150"/>
        <v>0</v>
      </c>
      <c r="Q212" s="129">
        <f t="shared" si="150"/>
        <v>0</v>
      </c>
      <c r="R212" s="129">
        <f t="shared" si="150"/>
        <v>0</v>
      </c>
      <c r="S212" s="129">
        <f t="shared" si="150"/>
        <v>0</v>
      </c>
      <c r="T212" s="129">
        <f t="shared" si="150"/>
        <v>0</v>
      </c>
      <c r="U212" s="129">
        <f t="shared" si="150"/>
        <v>0</v>
      </c>
      <c r="V212" s="129">
        <f t="shared" si="150"/>
        <v>0</v>
      </c>
      <c r="W212" s="129">
        <f t="shared" si="150"/>
        <v>0</v>
      </c>
      <c r="X212" s="129">
        <f t="shared" si="150"/>
        <v>0</v>
      </c>
      <c r="Y212" s="130"/>
      <c r="Z212" s="130"/>
      <c r="AA212" s="130"/>
      <c r="AB212" s="130"/>
      <c r="AC212" s="130"/>
      <c r="AD212" s="130"/>
      <c r="AE212" s="130"/>
      <c r="AF212" s="130"/>
      <c r="AG212" s="2"/>
      <c r="AH212" s="2"/>
      <c r="AI212" s="5"/>
      <c r="AJ212" s="2"/>
      <c r="AK212" s="2"/>
      <c r="AL212" s="2"/>
      <c r="AM212" s="2"/>
      <c r="AN212" s="2"/>
      <c r="AO212" s="2"/>
      <c r="AP212" s="5"/>
      <c r="AQ212" s="5"/>
    </row>
    <row r="213">
      <c r="A213" s="2"/>
      <c r="B213" s="5"/>
      <c r="C213" s="2"/>
      <c r="D213" s="2"/>
      <c r="E213" s="2"/>
      <c r="F213" s="2"/>
      <c r="G213" s="2"/>
      <c r="H213" s="127">
        <v>150.0</v>
      </c>
      <c r="I213" s="129"/>
      <c r="J213" s="129"/>
      <c r="K213" s="129"/>
      <c r="L213" s="129"/>
      <c r="M213" s="129"/>
      <c r="N213" s="131">
        <f t="shared" ref="N213:Y213" si="151">if(and(J$207&gt;$H$212,J$207&lt;=$H$213),J$200,0)</f>
        <v>43020.75</v>
      </c>
      <c r="O213" s="129">
        <f t="shared" si="151"/>
        <v>0</v>
      </c>
      <c r="P213" s="131">
        <f t="shared" si="151"/>
        <v>39710.475</v>
      </c>
      <c r="Q213" s="131">
        <f t="shared" si="151"/>
        <v>20265.495</v>
      </c>
      <c r="R213" s="129">
        <f t="shared" si="151"/>
        <v>0</v>
      </c>
      <c r="S213" s="131">
        <f t="shared" si="151"/>
        <v>41216.7</v>
      </c>
      <c r="T213" s="131">
        <f t="shared" si="151"/>
        <v>11839.47</v>
      </c>
      <c r="U213" s="129">
        <f t="shared" si="151"/>
        <v>0</v>
      </c>
      <c r="V213" s="131">
        <f t="shared" si="151"/>
        <v>32494.845</v>
      </c>
      <c r="W213" s="131">
        <f t="shared" si="151"/>
        <v>14649</v>
      </c>
      <c r="X213" s="129">
        <f t="shared" si="151"/>
        <v>0</v>
      </c>
      <c r="Y213" s="131">
        <f t="shared" si="151"/>
        <v>5379.66</v>
      </c>
      <c r="Z213" s="130"/>
      <c r="AA213" s="130"/>
      <c r="AB213" s="130"/>
      <c r="AC213" s="130"/>
      <c r="AD213" s="130"/>
      <c r="AE213" s="130"/>
      <c r="AF213" s="130"/>
      <c r="AG213" s="2"/>
      <c r="AH213" s="2"/>
      <c r="AI213" s="5"/>
      <c r="AJ213" s="2"/>
      <c r="AK213" s="2"/>
      <c r="AL213" s="2"/>
      <c r="AM213" s="2"/>
      <c r="AN213" s="2"/>
      <c r="AO213" s="2"/>
      <c r="AP213" s="5"/>
      <c r="AQ213" s="5"/>
    </row>
    <row r="214">
      <c r="A214" s="2"/>
      <c r="B214" s="5"/>
      <c r="C214" s="2"/>
      <c r="D214" s="2"/>
      <c r="E214" s="2"/>
      <c r="F214" s="2"/>
      <c r="G214" s="2"/>
      <c r="H214" s="127">
        <v>180.0</v>
      </c>
      <c r="I214" s="129"/>
      <c r="J214" s="129"/>
      <c r="K214" s="129"/>
      <c r="L214" s="129"/>
      <c r="M214" s="129"/>
      <c r="N214" s="129"/>
      <c r="O214" s="129">
        <f t="shared" ref="O214:Z214" si="152">if(and(J$207&gt;$H$213,J$207&lt;=$H$214),J$200,0)</f>
        <v>0</v>
      </c>
      <c r="P214" s="131">
        <f t="shared" si="152"/>
        <v>15755.655</v>
      </c>
      <c r="Q214" s="129">
        <f t="shared" si="152"/>
        <v>0</v>
      </c>
      <c r="R214" s="129">
        <f t="shared" si="152"/>
        <v>0</v>
      </c>
      <c r="S214" s="131">
        <f t="shared" si="152"/>
        <v>33793.59</v>
      </c>
      <c r="T214" s="129">
        <f t="shared" si="152"/>
        <v>0</v>
      </c>
      <c r="U214" s="129">
        <f t="shared" si="152"/>
        <v>0</v>
      </c>
      <c r="V214" s="131">
        <f t="shared" si="152"/>
        <v>12240.75</v>
      </c>
      <c r="W214" s="129">
        <f t="shared" si="152"/>
        <v>0</v>
      </c>
      <c r="X214" s="129">
        <f t="shared" si="152"/>
        <v>0</v>
      </c>
      <c r="Y214" s="131">
        <f t="shared" si="152"/>
        <v>13775.19</v>
      </c>
      <c r="Z214" s="129">
        <f t="shared" si="152"/>
        <v>0</v>
      </c>
      <c r="AA214" s="132"/>
      <c r="AB214" s="130"/>
      <c r="AC214" s="130"/>
      <c r="AD214" s="130"/>
      <c r="AE214" s="130"/>
      <c r="AF214" s="130"/>
      <c r="AG214" s="2"/>
      <c r="AH214" s="2"/>
      <c r="AI214" s="5"/>
      <c r="AJ214" s="2"/>
      <c r="AK214" s="2"/>
      <c r="AL214" s="2"/>
      <c r="AM214" s="2"/>
      <c r="AN214" s="2"/>
      <c r="AO214" s="2"/>
      <c r="AP214" s="5"/>
      <c r="AQ214" s="5"/>
    </row>
    <row r="215">
      <c r="A215" s="2"/>
      <c r="B215" s="5"/>
      <c r="C215" s="2"/>
      <c r="D215" s="2"/>
      <c r="E215" s="2"/>
      <c r="F215" s="2"/>
      <c r="G215" s="2"/>
      <c r="H215" s="127">
        <v>210.0</v>
      </c>
      <c r="I215" s="128"/>
      <c r="J215" s="129"/>
      <c r="K215" s="129"/>
      <c r="L215" s="129"/>
      <c r="M215" s="129"/>
      <c r="N215" s="129"/>
      <c r="O215" s="129"/>
      <c r="P215" s="129">
        <f t="shared" ref="P215:AA215" si="153">if(and(J$207&gt;$H$214,J$207&lt;=$H$215),J$200,0)</f>
        <v>0</v>
      </c>
      <c r="Q215" s="129">
        <f t="shared" si="153"/>
        <v>0</v>
      </c>
      <c r="R215" s="129">
        <f t="shared" si="153"/>
        <v>0</v>
      </c>
      <c r="S215" s="129">
        <f t="shared" si="153"/>
        <v>0</v>
      </c>
      <c r="T215" s="129">
        <f t="shared" si="153"/>
        <v>0</v>
      </c>
      <c r="U215" s="129">
        <f t="shared" si="153"/>
        <v>0</v>
      </c>
      <c r="V215" s="129">
        <f t="shared" si="153"/>
        <v>0</v>
      </c>
      <c r="W215" s="129">
        <f t="shared" si="153"/>
        <v>0</v>
      </c>
      <c r="X215" s="129">
        <f t="shared" si="153"/>
        <v>0</v>
      </c>
      <c r="Y215" s="129">
        <f t="shared" si="153"/>
        <v>0</v>
      </c>
      <c r="Z215" s="129">
        <f t="shared" si="153"/>
        <v>0</v>
      </c>
      <c r="AA215" s="129">
        <f t="shared" si="153"/>
        <v>0</v>
      </c>
      <c r="AB215" s="130"/>
      <c r="AC215" s="130"/>
      <c r="AD215" s="130"/>
      <c r="AE215" s="130"/>
      <c r="AF215" s="130"/>
      <c r="AG215" s="2"/>
      <c r="AH215" s="2"/>
      <c r="AI215" s="5"/>
      <c r="AJ215" s="2"/>
      <c r="AK215" s="2"/>
      <c r="AL215" s="2"/>
      <c r="AM215" s="2"/>
      <c r="AN215" s="2"/>
      <c r="AO215" s="2"/>
      <c r="AP215" s="5"/>
      <c r="AQ215" s="5"/>
    </row>
    <row r="216">
      <c r="A216" s="2"/>
      <c r="B216" s="5"/>
      <c r="C216" s="2"/>
      <c r="D216" s="2"/>
      <c r="E216" s="2"/>
      <c r="F216" s="2"/>
      <c r="G216" s="2"/>
      <c r="H216" s="127">
        <v>240.0</v>
      </c>
      <c r="I216" s="128"/>
      <c r="J216" s="129"/>
      <c r="K216" s="129"/>
      <c r="L216" s="129"/>
      <c r="M216" s="129"/>
      <c r="N216" s="129"/>
      <c r="O216" s="129"/>
      <c r="P216" s="129"/>
      <c r="Q216" s="129">
        <f t="shared" ref="Q216:AB216" si="154">if(and(J$207&gt;$H$215,J$207&lt;=$H$216),J$200,0)</f>
        <v>0</v>
      </c>
      <c r="R216" s="129">
        <f t="shared" si="154"/>
        <v>0</v>
      </c>
      <c r="S216" s="129">
        <f t="shared" si="154"/>
        <v>0</v>
      </c>
      <c r="T216" s="129">
        <f t="shared" si="154"/>
        <v>0</v>
      </c>
      <c r="U216" s="129">
        <f t="shared" si="154"/>
        <v>0</v>
      </c>
      <c r="V216" s="129">
        <f t="shared" si="154"/>
        <v>0</v>
      </c>
      <c r="W216" s="129">
        <f t="shared" si="154"/>
        <v>0</v>
      </c>
      <c r="X216" s="129">
        <f t="shared" si="154"/>
        <v>0</v>
      </c>
      <c r="Y216" s="129">
        <f t="shared" si="154"/>
        <v>0</v>
      </c>
      <c r="Z216" s="129">
        <f t="shared" si="154"/>
        <v>0</v>
      </c>
      <c r="AA216" s="129">
        <f t="shared" si="154"/>
        <v>0</v>
      </c>
      <c r="AB216" s="129">
        <f t="shared" si="154"/>
        <v>0</v>
      </c>
      <c r="AC216" s="130"/>
      <c r="AD216" s="130"/>
      <c r="AE216" s="130"/>
      <c r="AF216" s="130"/>
      <c r="AG216" s="2"/>
      <c r="AH216" s="2"/>
      <c r="AI216" s="5"/>
      <c r="AJ216" s="2"/>
      <c r="AK216" s="2"/>
      <c r="AL216" s="2"/>
      <c r="AM216" s="2"/>
      <c r="AN216" s="2"/>
      <c r="AO216" s="2"/>
      <c r="AP216" s="5"/>
      <c r="AQ216" s="5"/>
    </row>
    <row r="217">
      <c r="A217" s="2"/>
      <c r="B217" s="5"/>
      <c r="C217" s="2"/>
      <c r="D217" s="2"/>
      <c r="E217" s="2"/>
      <c r="F217" s="2"/>
      <c r="G217" s="2"/>
      <c r="H217" s="127">
        <v>270.0</v>
      </c>
      <c r="I217" s="128"/>
      <c r="J217" s="129"/>
      <c r="K217" s="129"/>
      <c r="L217" s="129"/>
      <c r="M217" s="129"/>
      <c r="N217" s="129"/>
      <c r="O217" s="129"/>
      <c r="P217" s="129"/>
      <c r="Q217" s="129"/>
      <c r="R217" s="129">
        <f t="shared" ref="R217:AC217" si="155">if(and(J$207&gt;$H$216,J$207&lt;=$H$217),J$200,0)</f>
        <v>0</v>
      </c>
      <c r="S217" s="129">
        <f t="shared" si="155"/>
        <v>0</v>
      </c>
      <c r="T217" s="129">
        <f t="shared" si="155"/>
        <v>0</v>
      </c>
      <c r="U217" s="129">
        <f t="shared" si="155"/>
        <v>0</v>
      </c>
      <c r="V217" s="129">
        <f t="shared" si="155"/>
        <v>0</v>
      </c>
      <c r="W217" s="129">
        <f t="shared" si="155"/>
        <v>0</v>
      </c>
      <c r="X217" s="129">
        <f t="shared" si="155"/>
        <v>0</v>
      </c>
      <c r="Y217" s="129">
        <f t="shared" si="155"/>
        <v>0</v>
      </c>
      <c r="Z217" s="129">
        <f t="shared" si="155"/>
        <v>0</v>
      </c>
      <c r="AA217" s="129">
        <f t="shared" si="155"/>
        <v>0</v>
      </c>
      <c r="AB217" s="129">
        <f t="shared" si="155"/>
        <v>0</v>
      </c>
      <c r="AC217" s="129">
        <f t="shared" si="155"/>
        <v>0</v>
      </c>
      <c r="AD217" s="130"/>
      <c r="AE217" s="130"/>
      <c r="AF217" s="130"/>
      <c r="AG217" s="2"/>
      <c r="AH217" s="2"/>
      <c r="AI217" s="5"/>
      <c r="AJ217" s="2"/>
      <c r="AK217" s="2"/>
      <c r="AL217" s="2"/>
      <c r="AM217" s="2"/>
      <c r="AN217" s="2"/>
      <c r="AO217" s="2"/>
      <c r="AP217" s="5"/>
      <c r="AQ217" s="5"/>
    </row>
    <row r="218">
      <c r="A218" s="2"/>
      <c r="B218" s="5"/>
      <c r="C218" s="2"/>
      <c r="D218" s="2"/>
      <c r="E218" s="2"/>
      <c r="F218" s="2"/>
      <c r="G218" s="2"/>
      <c r="H218" s="127">
        <v>300.0</v>
      </c>
      <c r="I218" s="128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>
        <f t="shared" ref="S218:AD218" si="156">if(and(J$207&gt;$H$217,J$207&lt;=$H$218),J$200,0)</f>
        <v>0</v>
      </c>
      <c r="T218" s="129">
        <f t="shared" si="156"/>
        <v>0</v>
      </c>
      <c r="U218" s="129">
        <f t="shared" si="156"/>
        <v>0</v>
      </c>
      <c r="V218" s="129">
        <f t="shared" si="156"/>
        <v>0</v>
      </c>
      <c r="W218" s="129">
        <f t="shared" si="156"/>
        <v>0</v>
      </c>
      <c r="X218" s="129">
        <f t="shared" si="156"/>
        <v>0</v>
      </c>
      <c r="Y218" s="129">
        <f t="shared" si="156"/>
        <v>0</v>
      </c>
      <c r="Z218" s="129">
        <f t="shared" si="156"/>
        <v>0</v>
      </c>
      <c r="AA218" s="129">
        <f t="shared" si="156"/>
        <v>0</v>
      </c>
      <c r="AB218" s="129">
        <f t="shared" si="156"/>
        <v>0</v>
      </c>
      <c r="AC218" s="129">
        <f t="shared" si="156"/>
        <v>0</v>
      </c>
      <c r="AD218" s="129">
        <f t="shared" si="156"/>
        <v>0</v>
      </c>
      <c r="AE218" s="130"/>
      <c r="AF218" s="130"/>
      <c r="AG218" s="2"/>
      <c r="AH218" s="2"/>
      <c r="AI218" s="5"/>
      <c r="AJ218" s="2"/>
      <c r="AK218" s="2"/>
      <c r="AL218" s="2"/>
      <c r="AM218" s="2"/>
      <c r="AN218" s="2"/>
      <c r="AO218" s="2"/>
      <c r="AP218" s="5"/>
      <c r="AQ218" s="5"/>
    </row>
    <row r="219">
      <c r="A219" s="2"/>
      <c r="B219" s="5"/>
      <c r="C219" s="2"/>
      <c r="D219" s="2"/>
      <c r="E219" s="2"/>
      <c r="F219" s="2"/>
      <c r="G219" s="2"/>
      <c r="H219" s="127">
        <v>330.0</v>
      </c>
      <c r="I219" s="128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>
        <f t="shared" ref="T219:AE219" si="157">if(and(J$207&gt;$H$218,J$207&lt;=$H$219),J$200,0)</f>
        <v>0</v>
      </c>
      <c r="U219" s="129">
        <f t="shared" si="157"/>
        <v>0</v>
      </c>
      <c r="V219" s="129">
        <f t="shared" si="157"/>
        <v>0</v>
      </c>
      <c r="W219" s="129">
        <f t="shared" si="157"/>
        <v>0</v>
      </c>
      <c r="X219" s="129">
        <f t="shared" si="157"/>
        <v>0</v>
      </c>
      <c r="Y219" s="129">
        <f t="shared" si="157"/>
        <v>0</v>
      </c>
      <c r="Z219" s="129">
        <f t="shared" si="157"/>
        <v>0</v>
      </c>
      <c r="AA219" s="129">
        <f t="shared" si="157"/>
        <v>0</v>
      </c>
      <c r="AB219" s="129">
        <f t="shared" si="157"/>
        <v>0</v>
      </c>
      <c r="AC219" s="129">
        <f t="shared" si="157"/>
        <v>0</v>
      </c>
      <c r="AD219" s="129">
        <f t="shared" si="157"/>
        <v>0</v>
      </c>
      <c r="AE219" s="129">
        <f t="shared" si="157"/>
        <v>0</v>
      </c>
      <c r="AF219" s="130"/>
      <c r="AG219" s="2"/>
      <c r="AH219" s="2"/>
      <c r="AI219" s="5"/>
      <c r="AJ219" s="2"/>
      <c r="AK219" s="2"/>
      <c r="AL219" s="2"/>
      <c r="AM219" s="2"/>
      <c r="AN219" s="2"/>
      <c r="AO219" s="2"/>
      <c r="AP219" s="5"/>
      <c r="AQ219" s="5"/>
    </row>
    <row r="220">
      <c r="A220" s="2"/>
      <c r="B220" s="5"/>
      <c r="C220" s="2"/>
      <c r="D220" s="2"/>
      <c r="E220" s="2"/>
      <c r="F220" s="2"/>
      <c r="G220" s="2"/>
      <c r="H220" s="127">
        <v>360.0</v>
      </c>
      <c r="I220" s="128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>
        <f t="shared" ref="U220:AF220" si="158">if(and(J$207&gt;$H$219,J$207&lt;=$H$220),J$200,0)</f>
        <v>0</v>
      </c>
      <c r="V220" s="129">
        <f t="shared" si="158"/>
        <v>0</v>
      </c>
      <c r="W220" s="129">
        <f t="shared" si="158"/>
        <v>0</v>
      </c>
      <c r="X220" s="129">
        <f t="shared" si="158"/>
        <v>0</v>
      </c>
      <c r="Y220" s="129">
        <f t="shared" si="158"/>
        <v>0</v>
      </c>
      <c r="Z220" s="129">
        <f t="shared" si="158"/>
        <v>0</v>
      </c>
      <c r="AA220" s="129">
        <f t="shared" si="158"/>
        <v>0</v>
      </c>
      <c r="AB220" s="129">
        <f t="shared" si="158"/>
        <v>0</v>
      </c>
      <c r="AC220" s="129">
        <f t="shared" si="158"/>
        <v>0</v>
      </c>
      <c r="AD220" s="129">
        <f t="shared" si="158"/>
        <v>0</v>
      </c>
      <c r="AE220" s="129">
        <f t="shared" si="158"/>
        <v>0</v>
      </c>
      <c r="AF220" s="129">
        <f t="shared" si="158"/>
        <v>0</v>
      </c>
      <c r="AG220" s="2"/>
      <c r="AH220" s="2"/>
      <c r="AI220" s="5"/>
      <c r="AJ220" s="2"/>
      <c r="AK220" s="2"/>
      <c r="AL220" s="2"/>
      <c r="AM220" s="2"/>
      <c r="AN220" s="2"/>
      <c r="AO220" s="2"/>
      <c r="AP220" s="5"/>
      <c r="AQ220" s="5"/>
    </row>
    <row r="221">
      <c r="A221" s="2"/>
      <c r="B221" s="5"/>
      <c r="C221" s="2"/>
      <c r="D221" s="2"/>
      <c r="E221" s="2"/>
      <c r="F221" s="2"/>
      <c r="G221" s="2"/>
      <c r="H221" s="128"/>
      <c r="I221" s="128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5"/>
      <c r="AJ221" s="2"/>
      <c r="AK221" s="2"/>
      <c r="AL221" s="2"/>
      <c r="AM221" s="2"/>
      <c r="AN221" s="2"/>
      <c r="AO221" s="2"/>
      <c r="AP221" s="5"/>
      <c r="AQ221" s="5"/>
    </row>
    <row r="222">
      <c r="A222" s="2"/>
      <c r="B222" s="5"/>
      <c r="C222" s="2"/>
      <c r="D222" s="2"/>
      <c r="E222" s="2"/>
      <c r="F222" s="2"/>
      <c r="G222" s="2"/>
      <c r="H222" s="128"/>
      <c r="I222" s="128"/>
      <c r="J222" s="131">
        <f t="shared" ref="J222:AF222" si="159">sum(J209:J220)</f>
        <v>0</v>
      </c>
      <c r="K222" s="131">
        <f t="shared" si="159"/>
        <v>0</v>
      </c>
      <c r="L222" s="131">
        <f t="shared" si="159"/>
        <v>0</v>
      </c>
      <c r="M222" s="131">
        <f t="shared" si="159"/>
        <v>0</v>
      </c>
      <c r="N222" s="131">
        <f t="shared" si="159"/>
        <v>43020.75</v>
      </c>
      <c r="O222" s="131">
        <f t="shared" si="159"/>
        <v>0</v>
      </c>
      <c r="P222" s="131">
        <f t="shared" si="159"/>
        <v>55466.13</v>
      </c>
      <c r="Q222" s="131">
        <f t="shared" si="159"/>
        <v>20265.495</v>
      </c>
      <c r="R222" s="131">
        <f t="shared" si="159"/>
        <v>0</v>
      </c>
      <c r="S222" s="131">
        <f t="shared" si="159"/>
        <v>75010.29</v>
      </c>
      <c r="T222" s="131">
        <f t="shared" si="159"/>
        <v>11839.47</v>
      </c>
      <c r="U222" s="131">
        <f t="shared" si="159"/>
        <v>0</v>
      </c>
      <c r="V222" s="131">
        <f t="shared" si="159"/>
        <v>44735.595</v>
      </c>
      <c r="W222" s="131">
        <f t="shared" si="159"/>
        <v>14649</v>
      </c>
      <c r="X222" s="131">
        <f t="shared" si="159"/>
        <v>0</v>
      </c>
      <c r="Y222" s="131">
        <f t="shared" si="159"/>
        <v>19154.85</v>
      </c>
      <c r="Z222" s="131">
        <f t="shared" si="159"/>
        <v>0</v>
      </c>
      <c r="AA222" s="131">
        <f t="shared" si="159"/>
        <v>0</v>
      </c>
      <c r="AB222" s="131">
        <f t="shared" si="159"/>
        <v>0</v>
      </c>
      <c r="AC222" s="131">
        <f t="shared" si="159"/>
        <v>0</v>
      </c>
      <c r="AD222" s="131">
        <f t="shared" si="159"/>
        <v>0</v>
      </c>
      <c r="AE222" s="131">
        <f t="shared" si="159"/>
        <v>0</v>
      </c>
      <c r="AF222" s="131">
        <f t="shared" si="159"/>
        <v>0</v>
      </c>
      <c r="AG222" s="2"/>
      <c r="AH222" s="2"/>
      <c r="AI222" s="5"/>
      <c r="AJ222" s="2"/>
      <c r="AK222" s="2"/>
      <c r="AL222" s="2"/>
      <c r="AM222" s="2"/>
      <c r="AN222" s="2"/>
      <c r="AO222" s="2"/>
      <c r="AP222" s="5"/>
      <c r="AQ222" s="5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5"/>
      <c r="AJ223" s="2"/>
      <c r="AK223" s="2"/>
      <c r="AL223" s="2"/>
      <c r="AM223" s="2"/>
      <c r="AN223" s="2"/>
      <c r="AO223" s="2"/>
      <c r="AP223" s="5"/>
      <c r="AQ223" s="5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5"/>
      <c r="AJ224" s="2"/>
      <c r="AK224" s="2"/>
      <c r="AL224" s="2"/>
      <c r="AM224" s="2"/>
      <c r="AN224" s="2"/>
      <c r="AO224" s="2"/>
      <c r="AP224" s="5"/>
      <c r="AQ224" s="5"/>
    </row>
    <row r="225">
      <c r="A225" s="2"/>
      <c r="B225" s="5"/>
      <c r="C225" s="2"/>
      <c r="D225" s="2"/>
      <c r="E225" s="2"/>
      <c r="F225" s="2"/>
      <c r="G225" s="2"/>
      <c r="H225" s="124" t="s">
        <v>111</v>
      </c>
      <c r="I225" s="125"/>
      <c r="J225" s="126">
        <f t="shared" ref="J225:U225" si="160">J207+30</f>
        <v>179</v>
      </c>
      <c r="K225" s="126">
        <f t="shared" si="160"/>
        <v>184</v>
      </c>
      <c r="L225" s="126">
        <f t="shared" si="160"/>
        <v>174</v>
      </c>
      <c r="M225" s="126">
        <f t="shared" si="160"/>
        <v>174</v>
      </c>
      <c r="N225" s="126">
        <f t="shared" si="160"/>
        <v>184</v>
      </c>
      <c r="O225" s="126">
        <f t="shared" si="160"/>
        <v>179</v>
      </c>
      <c r="P225" s="126">
        <f t="shared" si="160"/>
        <v>174</v>
      </c>
      <c r="Q225" s="126">
        <f t="shared" si="160"/>
        <v>184</v>
      </c>
      <c r="R225" s="126">
        <f t="shared" si="160"/>
        <v>179</v>
      </c>
      <c r="S225" s="126">
        <f t="shared" si="160"/>
        <v>174</v>
      </c>
      <c r="T225" s="126">
        <f t="shared" si="160"/>
        <v>184</v>
      </c>
      <c r="U225" s="126">
        <f t="shared" si="160"/>
        <v>174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5"/>
      <c r="AJ225" s="2"/>
      <c r="AK225" s="2"/>
      <c r="AL225" s="2"/>
      <c r="AM225" s="2"/>
      <c r="AN225" s="2"/>
      <c r="AO225" s="2"/>
      <c r="AP225" s="5"/>
      <c r="AQ225" s="5"/>
    </row>
    <row r="226">
      <c r="A226" s="2"/>
      <c r="B226" s="5"/>
      <c r="C226" s="2"/>
      <c r="D226" s="3" t="s">
        <v>114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5"/>
      <c r="AJ226" s="2"/>
      <c r="AK226" s="2"/>
      <c r="AL226" s="2"/>
      <c r="AM226" s="2"/>
      <c r="AN226" s="2"/>
      <c r="AO226" s="2"/>
      <c r="AP226" s="5"/>
      <c r="AQ226" s="5"/>
    </row>
    <row r="227">
      <c r="A227" s="2"/>
      <c r="B227" s="5"/>
      <c r="C227" s="2"/>
      <c r="D227" s="3" t="s">
        <v>113</v>
      </c>
      <c r="H227" s="133">
        <v>30.0</v>
      </c>
      <c r="I227" s="128"/>
      <c r="J227" s="134"/>
      <c r="K227" s="134">
        <f>if(K$225&lt;=I227,K$201,0)</f>
        <v>0</v>
      </c>
      <c r="L227" s="134">
        <f t="shared" ref="L227:U227" si="161">if(L$225&lt;=J227,M$201,0)</f>
        <v>0</v>
      </c>
      <c r="M227" s="134">
        <f t="shared" si="161"/>
        <v>0</v>
      </c>
      <c r="N227" s="134">
        <f t="shared" si="161"/>
        <v>0</v>
      </c>
      <c r="O227" s="134">
        <f t="shared" si="161"/>
        <v>0</v>
      </c>
      <c r="P227" s="134">
        <f t="shared" si="161"/>
        <v>0</v>
      </c>
      <c r="Q227" s="134">
        <f t="shared" si="161"/>
        <v>0</v>
      </c>
      <c r="R227" s="134">
        <f t="shared" si="161"/>
        <v>0</v>
      </c>
      <c r="S227" s="134">
        <f t="shared" si="161"/>
        <v>0</v>
      </c>
      <c r="T227" s="134">
        <f t="shared" si="161"/>
        <v>0</v>
      </c>
      <c r="U227" s="134">
        <f t="shared" si="161"/>
        <v>0</v>
      </c>
      <c r="V227" s="130"/>
      <c r="W227" s="130"/>
      <c r="X227" s="130"/>
      <c r="Y227" s="130"/>
      <c r="Z227" s="130"/>
      <c r="AA227" s="130"/>
      <c r="AB227" s="2"/>
      <c r="AC227" s="2"/>
      <c r="AD227" s="2"/>
      <c r="AE227" s="2"/>
      <c r="AF227" s="2"/>
      <c r="AG227" s="2"/>
      <c r="AH227" s="2"/>
      <c r="AI227" s="5"/>
      <c r="AJ227" s="2"/>
      <c r="AK227" s="2"/>
      <c r="AL227" s="2"/>
      <c r="AM227" s="2"/>
      <c r="AN227" s="2"/>
      <c r="AO227" s="2"/>
      <c r="AP227" s="5"/>
      <c r="AQ227" s="5"/>
    </row>
    <row r="228">
      <c r="A228" s="2"/>
      <c r="B228" s="5"/>
      <c r="C228" s="2"/>
      <c r="D228" s="2"/>
      <c r="E228" s="2"/>
      <c r="F228" s="2"/>
      <c r="G228" s="2"/>
      <c r="H228" s="133">
        <v>60.0</v>
      </c>
      <c r="I228" s="128"/>
      <c r="J228" s="132"/>
      <c r="K228" s="132">
        <f t="shared" ref="K228:V228" si="162">if(and(J$225&gt;$H$227,J$225&lt;=$H$228),K$201,0)</f>
        <v>0</v>
      </c>
      <c r="L228" s="132">
        <f t="shared" si="162"/>
        <v>0</v>
      </c>
      <c r="M228" s="132">
        <f t="shared" si="162"/>
        <v>0</v>
      </c>
      <c r="N228" s="132">
        <f t="shared" si="162"/>
        <v>0</v>
      </c>
      <c r="O228" s="132">
        <f t="shared" si="162"/>
        <v>0</v>
      </c>
      <c r="P228" s="132">
        <f t="shared" si="162"/>
        <v>0</v>
      </c>
      <c r="Q228" s="132">
        <f t="shared" si="162"/>
        <v>0</v>
      </c>
      <c r="R228" s="132">
        <f t="shared" si="162"/>
        <v>0</v>
      </c>
      <c r="S228" s="132">
        <f t="shared" si="162"/>
        <v>0</v>
      </c>
      <c r="T228" s="132">
        <f t="shared" si="162"/>
        <v>0</v>
      </c>
      <c r="U228" s="132">
        <f t="shared" si="162"/>
        <v>0</v>
      </c>
      <c r="V228" s="132">
        <f t="shared" si="162"/>
        <v>0</v>
      </c>
      <c r="W228" s="130"/>
      <c r="X228" s="130"/>
      <c r="Y228" s="130"/>
      <c r="Z228" s="130"/>
      <c r="AA228" s="130"/>
      <c r="AB228" s="2"/>
      <c r="AC228" s="2"/>
      <c r="AD228" s="2"/>
      <c r="AE228" s="2"/>
      <c r="AF228" s="2"/>
      <c r="AG228" s="2"/>
      <c r="AH228" s="2"/>
      <c r="AI228" s="5"/>
      <c r="AJ228" s="2"/>
      <c r="AK228" s="2"/>
      <c r="AL228" s="2"/>
      <c r="AM228" s="2"/>
      <c r="AN228" s="2"/>
      <c r="AO228" s="2"/>
      <c r="AP228" s="5"/>
      <c r="AQ228" s="5"/>
    </row>
    <row r="229">
      <c r="A229" s="2"/>
      <c r="B229" s="5"/>
      <c r="C229" s="2"/>
      <c r="D229" s="2"/>
      <c r="E229" s="2"/>
      <c r="F229" s="2"/>
      <c r="G229" s="2"/>
      <c r="H229" s="133">
        <v>90.0</v>
      </c>
      <c r="I229" s="129"/>
      <c r="J229" s="132"/>
      <c r="K229" s="132"/>
      <c r="L229" s="132">
        <f t="shared" ref="L229:W229" si="163">if(and(J$225&gt;$H$228,J$225&lt;=$H$229),K$201,0)</f>
        <v>0</v>
      </c>
      <c r="M229" s="132">
        <f t="shared" si="163"/>
        <v>0</v>
      </c>
      <c r="N229" s="132">
        <f t="shared" si="163"/>
        <v>0</v>
      </c>
      <c r="O229" s="132">
        <f t="shared" si="163"/>
        <v>0</v>
      </c>
      <c r="P229" s="132">
        <f t="shared" si="163"/>
        <v>0</v>
      </c>
      <c r="Q229" s="132">
        <f t="shared" si="163"/>
        <v>0</v>
      </c>
      <c r="R229" s="132">
        <f t="shared" si="163"/>
        <v>0</v>
      </c>
      <c r="S229" s="132">
        <f t="shared" si="163"/>
        <v>0</v>
      </c>
      <c r="T229" s="132">
        <f t="shared" si="163"/>
        <v>0</v>
      </c>
      <c r="U229" s="132">
        <f t="shared" si="163"/>
        <v>0</v>
      </c>
      <c r="V229" s="132">
        <f t="shared" si="163"/>
        <v>0</v>
      </c>
      <c r="W229" s="132">
        <f t="shared" si="163"/>
        <v>0</v>
      </c>
      <c r="X229" s="130"/>
      <c r="Y229" s="130"/>
      <c r="Z229" s="130"/>
      <c r="AA229" s="130"/>
      <c r="AB229" s="2"/>
      <c r="AC229" s="2"/>
      <c r="AD229" s="2"/>
      <c r="AE229" s="2"/>
      <c r="AF229" s="2"/>
      <c r="AG229" s="2"/>
      <c r="AH229" s="2"/>
      <c r="AI229" s="5"/>
      <c r="AJ229" s="2"/>
      <c r="AK229" s="2"/>
      <c r="AL229" s="2"/>
      <c r="AM229" s="2"/>
      <c r="AN229" s="2"/>
      <c r="AO229" s="2"/>
      <c r="AP229" s="5"/>
      <c r="AQ229" s="5"/>
    </row>
    <row r="230">
      <c r="A230" s="2"/>
      <c r="B230" s="5"/>
      <c r="C230" s="2"/>
      <c r="D230" s="2"/>
      <c r="E230" s="2"/>
      <c r="F230" s="2"/>
      <c r="G230" s="2"/>
      <c r="H230" s="133">
        <v>120.0</v>
      </c>
      <c r="I230" s="129"/>
      <c r="J230" s="132"/>
      <c r="K230" s="132"/>
      <c r="L230" s="132"/>
      <c r="M230" s="132">
        <f t="shared" ref="M230:X230" si="164">if(and(J$225&gt;$H$229,J$225&lt;=$H$230),K$201,0)</f>
        <v>0</v>
      </c>
      <c r="N230" s="132">
        <f t="shared" si="164"/>
        <v>0</v>
      </c>
      <c r="O230" s="132">
        <f t="shared" si="164"/>
        <v>0</v>
      </c>
      <c r="P230" s="132">
        <f t="shared" si="164"/>
        <v>0</v>
      </c>
      <c r="Q230" s="132">
        <f t="shared" si="164"/>
        <v>0</v>
      </c>
      <c r="R230" s="132">
        <f t="shared" si="164"/>
        <v>0</v>
      </c>
      <c r="S230" s="132">
        <f t="shared" si="164"/>
        <v>0</v>
      </c>
      <c r="T230" s="132">
        <f t="shared" si="164"/>
        <v>0</v>
      </c>
      <c r="U230" s="132">
        <f t="shared" si="164"/>
        <v>0</v>
      </c>
      <c r="V230" s="132">
        <f t="shared" si="164"/>
        <v>0</v>
      </c>
      <c r="W230" s="132">
        <f t="shared" si="164"/>
        <v>0</v>
      </c>
      <c r="X230" s="132">
        <f t="shared" si="164"/>
        <v>0</v>
      </c>
      <c r="Y230" s="130"/>
      <c r="Z230" s="130"/>
      <c r="AA230" s="130"/>
      <c r="AB230" s="2"/>
      <c r="AC230" s="2"/>
      <c r="AD230" s="2"/>
      <c r="AE230" s="2"/>
      <c r="AF230" s="2"/>
      <c r="AG230" s="2"/>
      <c r="AH230" s="2"/>
      <c r="AI230" s="5"/>
      <c r="AJ230" s="2"/>
      <c r="AK230" s="2"/>
      <c r="AL230" s="2"/>
      <c r="AM230" s="2"/>
      <c r="AN230" s="2"/>
      <c r="AO230" s="2"/>
      <c r="AP230" s="5"/>
      <c r="AQ230" s="5"/>
    </row>
    <row r="231">
      <c r="A231" s="2"/>
      <c r="B231" s="5"/>
      <c r="C231" s="2"/>
      <c r="D231" s="2"/>
      <c r="E231" s="2"/>
      <c r="F231" s="2"/>
      <c r="G231" s="2"/>
      <c r="H231" s="133">
        <v>150.0</v>
      </c>
      <c r="I231" s="129"/>
      <c r="J231" s="132"/>
      <c r="K231" s="132"/>
      <c r="L231" s="132"/>
      <c r="M231" s="132"/>
      <c r="N231" s="132">
        <f t="shared" ref="N231:Y231" si="165">if(and(J$225&gt;$H$230,J$225&lt;=$H$231),K$201,0)</f>
        <v>0</v>
      </c>
      <c r="O231" s="132">
        <f t="shared" si="165"/>
        <v>0</v>
      </c>
      <c r="P231" s="132">
        <f t="shared" si="165"/>
        <v>0</v>
      </c>
      <c r="Q231" s="132">
        <f t="shared" si="165"/>
        <v>0</v>
      </c>
      <c r="R231" s="132">
        <f t="shared" si="165"/>
        <v>0</v>
      </c>
      <c r="S231" s="132">
        <f t="shared" si="165"/>
        <v>0</v>
      </c>
      <c r="T231" s="132">
        <f t="shared" si="165"/>
        <v>0</v>
      </c>
      <c r="U231" s="132">
        <f t="shared" si="165"/>
        <v>0</v>
      </c>
      <c r="V231" s="132">
        <f t="shared" si="165"/>
        <v>0</v>
      </c>
      <c r="W231" s="132">
        <f t="shared" si="165"/>
        <v>0</v>
      </c>
      <c r="X231" s="132">
        <f t="shared" si="165"/>
        <v>0</v>
      </c>
      <c r="Y231" s="132">
        <f t="shared" si="165"/>
        <v>0</v>
      </c>
      <c r="Z231" s="130"/>
      <c r="AA231" s="130"/>
      <c r="AB231" s="2"/>
      <c r="AC231" s="2"/>
      <c r="AD231" s="2"/>
      <c r="AE231" s="2"/>
      <c r="AF231" s="2"/>
      <c r="AG231" s="2"/>
      <c r="AH231" s="2"/>
      <c r="AI231" s="5"/>
      <c r="AJ231" s="2"/>
      <c r="AK231" s="2"/>
      <c r="AL231" s="2"/>
      <c r="AM231" s="2"/>
      <c r="AN231" s="2"/>
      <c r="AO231" s="2"/>
      <c r="AP231" s="5"/>
      <c r="AQ231" s="5"/>
    </row>
    <row r="232">
      <c r="A232" s="2"/>
      <c r="B232" s="5"/>
      <c r="C232" s="2"/>
      <c r="D232" s="2"/>
      <c r="E232" s="2"/>
      <c r="F232" s="2"/>
      <c r="G232" s="2"/>
      <c r="H232" s="133">
        <v>180.0</v>
      </c>
      <c r="I232" s="129"/>
      <c r="J232" s="132"/>
      <c r="K232" s="132"/>
      <c r="L232" s="132"/>
      <c r="M232" s="132"/>
      <c r="N232" s="132"/>
      <c r="O232" s="135">
        <f t="shared" ref="O232:Z232" si="166">if(and(J$225&gt;$H$231,J$225&lt;=$H$232),K$201,0)</f>
        <v>92034.765</v>
      </c>
      <c r="P232" s="132">
        <f t="shared" si="166"/>
        <v>0</v>
      </c>
      <c r="Q232" s="135">
        <f t="shared" si="166"/>
        <v>80635.905</v>
      </c>
      <c r="R232" s="135">
        <f t="shared" si="166"/>
        <v>48392.145</v>
      </c>
      <c r="S232" s="132">
        <f t="shared" si="166"/>
        <v>0</v>
      </c>
      <c r="T232" s="135">
        <f t="shared" si="166"/>
        <v>86078.835</v>
      </c>
      <c r="U232" s="135">
        <f t="shared" si="166"/>
        <v>25396.065</v>
      </c>
      <c r="V232" s="132">
        <f t="shared" si="166"/>
        <v>0</v>
      </c>
      <c r="W232" s="135">
        <f t="shared" si="166"/>
        <v>67144.86</v>
      </c>
      <c r="X232" s="135">
        <f t="shared" si="166"/>
        <v>25293.465</v>
      </c>
      <c r="Y232" s="132">
        <f t="shared" si="166"/>
        <v>0</v>
      </c>
      <c r="Z232" s="135">
        <f t="shared" si="166"/>
        <v>11434.77</v>
      </c>
      <c r="AA232" s="132"/>
      <c r="AB232" s="2"/>
      <c r="AC232" s="2"/>
      <c r="AD232" s="2"/>
      <c r="AE232" s="2"/>
      <c r="AF232" s="2"/>
      <c r="AG232" s="2"/>
      <c r="AH232" s="2"/>
      <c r="AI232" s="5"/>
      <c r="AJ232" s="2"/>
      <c r="AK232" s="2"/>
      <c r="AL232" s="2"/>
      <c r="AM232" s="2"/>
      <c r="AN232" s="2"/>
      <c r="AO232" s="2"/>
      <c r="AP232" s="5"/>
      <c r="AQ232" s="5"/>
    </row>
    <row r="233">
      <c r="A233" s="2"/>
      <c r="B233" s="5"/>
      <c r="C233" s="2"/>
      <c r="D233" s="2"/>
      <c r="E233" s="2"/>
      <c r="F233" s="2"/>
      <c r="G233" s="2"/>
      <c r="H233" s="133">
        <v>210.0</v>
      </c>
      <c r="I233" s="128"/>
      <c r="J233" s="132"/>
      <c r="K233" s="132"/>
      <c r="L233" s="132"/>
      <c r="M233" s="132"/>
      <c r="N233" s="132"/>
      <c r="O233" s="132"/>
      <c r="P233" s="132">
        <f t="shared" ref="P233:AA233" si="167">if(and(J$225&gt;$H$232,J$225&lt;=$H$233),K$201,0)</f>
        <v>0</v>
      </c>
      <c r="Q233" s="135">
        <f t="shared" si="167"/>
        <v>33315.93</v>
      </c>
      <c r="R233" s="132">
        <f t="shared" si="167"/>
        <v>0</v>
      </c>
      <c r="S233" s="132">
        <f t="shared" si="167"/>
        <v>0</v>
      </c>
      <c r="T233" s="135">
        <f t="shared" si="167"/>
        <v>67692.915</v>
      </c>
      <c r="U233" s="132">
        <f t="shared" si="167"/>
        <v>0</v>
      </c>
      <c r="V233" s="132">
        <f t="shared" si="167"/>
        <v>0</v>
      </c>
      <c r="W233" s="135">
        <f t="shared" si="167"/>
        <v>24518.835</v>
      </c>
      <c r="X233" s="132">
        <f t="shared" si="167"/>
        <v>0</v>
      </c>
      <c r="Y233" s="132">
        <f t="shared" si="167"/>
        <v>0</v>
      </c>
      <c r="Z233" s="135">
        <f t="shared" si="167"/>
        <v>30808.215</v>
      </c>
      <c r="AA233" s="132">
        <f t="shared" si="167"/>
        <v>0</v>
      </c>
      <c r="AB233" s="2"/>
      <c r="AC233" s="2"/>
      <c r="AD233" s="2"/>
      <c r="AE233" s="2"/>
      <c r="AF233" s="2"/>
      <c r="AG233" s="2"/>
      <c r="AH233" s="2"/>
      <c r="AI233" s="5"/>
      <c r="AJ233" s="2"/>
      <c r="AK233" s="2"/>
      <c r="AL233" s="2"/>
      <c r="AM233" s="2"/>
      <c r="AN233" s="2"/>
      <c r="AO233" s="2"/>
      <c r="AP233" s="5"/>
      <c r="AQ233" s="5"/>
    </row>
    <row r="234">
      <c r="A234" s="2"/>
      <c r="B234" s="5"/>
      <c r="C234" s="2"/>
      <c r="D234" s="2"/>
      <c r="E234" s="2"/>
      <c r="F234" s="2"/>
      <c r="G234" s="2"/>
      <c r="H234" s="133">
        <v>240.0</v>
      </c>
      <c r="I234" s="128"/>
      <c r="J234" s="132"/>
      <c r="K234" s="132"/>
      <c r="L234" s="132"/>
      <c r="M234" s="132"/>
      <c r="N234" s="132"/>
      <c r="O234" s="132"/>
      <c r="P234" s="132"/>
      <c r="Q234" s="132">
        <f t="shared" ref="Q234:AB234" si="168">if(and(J$225&gt;$H$233,J$225&lt;=$H$234),K$201,0)</f>
        <v>0</v>
      </c>
      <c r="R234" s="132">
        <f t="shared" si="168"/>
        <v>0</v>
      </c>
      <c r="S234" s="132">
        <f t="shared" si="168"/>
        <v>0</v>
      </c>
      <c r="T234" s="132">
        <f t="shared" si="168"/>
        <v>0</v>
      </c>
      <c r="U234" s="132">
        <f t="shared" si="168"/>
        <v>0</v>
      </c>
      <c r="V234" s="132">
        <f t="shared" si="168"/>
        <v>0</v>
      </c>
      <c r="W234" s="132">
        <f t="shared" si="168"/>
        <v>0</v>
      </c>
      <c r="X234" s="132">
        <f t="shared" si="168"/>
        <v>0</v>
      </c>
      <c r="Y234" s="132">
        <f t="shared" si="168"/>
        <v>0</v>
      </c>
      <c r="Z234" s="132">
        <f t="shared" si="168"/>
        <v>0</v>
      </c>
      <c r="AA234" s="132">
        <f t="shared" si="168"/>
        <v>0</v>
      </c>
      <c r="AB234" s="132">
        <f t="shared" si="168"/>
        <v>0</v>
      </c>
      <c r="AC234" s="2"/>
      <c r="AD234" s="2"/>
      <c r="AE234" s="2"/>
      <c r="AF234" s="2"/>
      <c r="AG234" s="2"/>
      <c r="AH234" s="2"/>
      <c r="AI234" s="5"/>
      <c r="AJ234" s="2"/>
      <c r="AK234" s="2"/>
      <c r="AL234" s="2"/>
      <c r="AM234" s="2"/>
      <c r="AN234" s="2"/>
      <c r="AO234" s="2"/>
      <c r="AP234" s="5"/>
      <c r="AQ234" s="5"/>
    </row>
    <row r="235">
      <c r="A235" s="2"/>
      <c r="B235" s="5"/>
      <c r="C235" s="2"/>
      <c r="D235" s="2"/>
      <c r="E235" s="2"/>
      <c r="F235" s="2"/>
      <c r="G235" s="2"/>
      <c r="H235" s="133">
        <v>270.0</v>
      </c>
      <c r="I235" s="128"/>
      <c r="J235" s="132"/>
      <c r="K235" s="132"/>
      <c r="L235" s="132"/>
      <c r="M235" s="132"/>
      <c r="N235" s="132"/>
      <c r="O235" s="132"/>
      <c r="P235" s="132"/>
      <c r="Q235" s="132"/>
      <c r="R235" s="132">
        <f t="shared" ref="R235:AC235" si="169">if(and(J$225&gt;$H$234,J$225&lt;=$H$235),K$201,0)</f>
        <v>0</v>
      </c>
      <c r="S235" s="132">
        <f t="shared" si="169"/>
        <v>0</v>
      </c>
      <c r="T235" s="132">
        <f t="shared" si="169"/>
        <v>0</v>
      </c>
      <c r="U235" s="132">
        <f t="shared" si="169"/>
        <v>0</v>
      </c>
      <c r="V235" s="132">
        <f t="shared" si="169"/>
        <v>0</v>
      </c>
      <c r="W235" s="132">
        <f t="shared" si="169"/>
        <v>0</v>
      </c>
      <c r="X235" s="132">
        <f t="shared" si="169"/>
        <v>0</v>
      </c>
      <c r="Y235" s="132">
        <f t="shared" si="169"/>
        <v>0</v>
      </c>
      <c r="Z235" s="132">
        <f t="shared" si="169"/>
        <v>0</v>
      </c>
      <c r="AA235" s="132">
        <f t="shared" si="169"/>
        <v>0</v>
      </c>
      <c r="AB235" s="132">
        <f t="shared" si="169"/>
        <v>0</v>
      </c>
      <c r="AC235" s="132">
        <f t="shared" si="169"/>
        <v>0</v>
      </c>
      <c r="AD235" s="2"/>
      <c r="AE235" s="2"/>
      <c r="AF235" s="2"/>
      <c r="AG235" s="2"/>
      <c r="AH235" s="2"/>
      <c r="AI235" s="5"/>
      <c r="AJ235" s="2"/>
      <c r="AK235" s="2"/>
      <c r="AL235" s="2"/>
      <c r="AM235" s="2"/>
      <c r="AN235" s="2"/>
      <c r="AO235" s="2"/>
      <c r="AP235" s="5"/>
      <c r="AQ235" s="5"/>
    </row>
    <row r="236">
      <c r="A236" s="2"/>
      <c r="B236" s="5"/>
      <c r="C236" s="2"/>
      <c r="D236" s="2"/>
      <c r="E236" s="2"/>
      <c r="F236" s="2"/>
      <c r="G236" s="2"/>
      <c r="H236" s="133">
        <v>300.0</v>
      </c>
      <c r="I236" s="128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>
        <f t="shared" ref="S236:AD236" si="170">if(and(J$225&gt;$H$235,J$225&lt;=$H$236),K$201,0)</f>
        <v>0</v>
      </c>
      <c r="T236" s="132">
        <f t="shared" si="170"/>
        <v>0</v>
      </c>
      <c r="U236" s="132">
        <f t="shared" si="170"/>
        <v>0</v>
      </c>
      <c r="V236" s="132">
        <f t="shared" si="170"/>
        <v>0</v>
      </c>
      <c r="W236" s="132">
        <f t="shared" si="170"/>
        <v>0</v>
      </c>
      <c r="X236" s="132">
        <f t="shared" si="170"/>
        <v>0</v>
      </c>
      <c r="Y236" s="132">
        <f t="shared" si="170"/>
        <v>0</v>
      </c>
      <c r="Z236" s="132">
        <f t="shared" si="170"/>
        <v>0</v>
      </c>
      <c r="AA236" s="132">
        <f t="shared" si="170"/>
        <v>0</v>
      </c>
      <c r="AB236" s="132">
        <f t="shared" si="170"/>
        <v>0</v>
      </c>
      <c r="AC236" s="132">
        <f t="shared" si="170"/>
        <v>0</v>
      </c>
      <c r="AD236" s="132">
        <f t="shared" si="170"/>
        <v>0</v>
      </c>
      <c r="AE236" s="2"/>
      <c r="AF236" s="2"/>
      <c r="AG236" s="2"/>
      <c r="AH236" s="2"/>
      <c r="AI236" s="5"/>
      <c r="AJ236" s="2"/>
      <c r="AK236" s="2"/>
      <c r="AL236" s="2"/>
      <c r="AM236" s="2"/>
      <c r="AN236" s="2"/>
      <c r="AO236" s="2"/>
      <c r="AP236" s="5"/>
      <c r="AQ236" s="5"/>
    </row>
    <row r="237">
      <c r="A237" s="2"/>
      <c r="B237" s="5"/>
      <c r="C237" s="2"/>
      <c r="D237" s="2"/>
      <c r="E237" s="2"/>
      <c r="F237" s="2"/>
      <c r="G237" s="2"/>
      <c r="H237" s="133">
        <v>330.0</v>
      </c>
      <c r="I237" s="128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>
        <f t="shared" ref="T237:AE237" si="171">if(and(J$225&gt;$H$236,J$225&lt;=$H$237),K$201,0)</f>
        <v>0</v>
      </c>
      <c r="U237" s="132">
        <f t="shared" si="171"/>
        <v>0</v>
      </c>
      <c r="V237" s="132">
        <f t="shared" si="171"/>
        <v>0</v>
      </c>
      <c r="W237" s="132">
        <f t="shared" si="171"/>
        <v>0</v>
      </c>
      <c r="X237" s="132">
        <f t="shared" si="171"/>
        <v>0</v>
      </c>
      <c r="Y237" s="132">
        <f t="shared" si="171"/>
        <v>0</v>
      </c>
      <c r="Z237" s="132">
        <f t="shared" si="171"/>
        <v>0</v>
      </c>
      <c r="AA237" s="132">
        <f t="shared" si="171"/>
        <v>0</v>
      </c>
      <c r="AB237" s="132">
        <f t="shared" si="171"/>
        <v>0</v>
      </c>
      <c r="AC237" s="132">
        <f t="shared" si="171"/>
        <v>0</v>
      </c>
      <c r="AD237" s="132">
        <f t="shared" si="171"/>
        <v>0</v>
      </c>
      <c r="AE237" s="132">
        <f t="shared" si="171"/>
        <v>0</v>
      </c>
      <c r="AF237" s="2"/>
      <c r="AG237" s="2"/>
      <c r="AH237" s="2"/>
      <c r="AI237" s="5"/>
      <c r="AJ237" s="2"/>
      <c r="AK237" s="2"/>
      <c r="AL237" s="2"/>
      <c r="AM237" s="2"/>
      <c r="AN237" s="2"/>
      <c r="AO237" s="2"/>
      <c r="AP237" s="5"/>
      <c r="AQ237" s="5"/>
    </row>
    <row r="238">
      <c r="A238" s="2"/>
      <c r="B238" s="5"/>
      <c r="C238" s="2"/>
      <c r="D238" s="2"/>
      <c r="E238" s="2"/>
      <c r="F238" s="2"/>
      <c r="G238" s="2"/>
      <c r="H238" s="133">
        <v>360.0</v>
      </c>
      <c r="I238" s="128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>
        <f t="shared" ref="U238:AF238" si="172">if(and(J$225&gt;$H$237,J$225&lt;=$H$238),K$201,0)</f>
        <v>0</v>
      </c>
      <c r="V238" s="132">
        <f t="shared" si="172"/>
        <v>0</v>
      </c>
      <c r="W238" s="132">
        <f t="shared" si="172"/>
        <v>0</v>
      </c>
      <c r="X238" s="132">
        <f t="shared" si="172"/>
        <v>0</v>
      </c>
      <c r="Y238" s="132">
        <f t="shared" si="172"/>
        <v>0</v>
      </c>
      <c r="Z238" s="132">
        <f t="shared" si="172"/>
        <v>0</v>
      </c>
      <c r="AA238" s="132">
        <f t="shared" si="172"/>
        <v>0</v>
      </c>
      <c r="AB238" s="132">
        <f t="shared" si="172"/>
        <v>0</v>
      </c>
      <c r="AC238" s="132">
        <f t="shared" si="172"/>
        <v>0</v>
      </c>
      <c r="AD238" s="132">
        <f t="shared" si="172"/>
        <v>0</v>
      </c>
      <c r="AE238" s="132">
        <f t="shared" si="172"/>
        <v>0</v>
      </c>
      <c r="AF238" s="132">
        <f t="shared" si="172"/>
        <v>0</v>
      </c>
      <c r="AG238" s="2"/>
      <c r="AH238" s="2"/>
      <c r="AI238" s="5"/>
      <c r="AJ238" s="2"/>
      <c r="AK238" s="2"/>
      <c r="AL238" s="2"/>
      <c r="AM238" s="2"/>
      <c r="AN238" s="2"/>
      <c r="AO238" s="2"/>
      <c r="AP238" s="5"/>
      <c r="AQ238" s="5"/>
    </row>
    <row r="239">
      <c r="A239" s="2"/>
      <c r="B239" s="5"/>
      <c r="C239" s="2"/>
      <c r="D239" s="2"/>
      <c r="E239" s="2"/>
      <c r="F239" s="2"/>
      <c r="G239" s="2"/>
      <c r="H239" s="128"/>
      <c r="I239" s="128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0"/>
      <c r="W239" s="130"/>
      <c r="X239" s="130"/>
      <c r="Y239" s="130"/>
      <c r="Z239" s="130"/>
      <c r="AA239" s="130"/>
      <c r="AB239" s="2"/>
      <c r="AC239" s="2"/>
      <c r="AD239" s="2"/>
      <c r="AE239" s="2"/>
      <c r="AF239" s="2"/>
      <c r="AG239" s="2"/>
      <c r="AH239" s="2"/>
      <c r="AI239" s="5"/>
      <c r="AJ239" s="2"/>
      <c r="AK239" s="2"/>
      <c r="AL239" s="2"/>
      <c r="AM239" s="2"/>
      <c r="AN239" s="2"/>
      <c r="AO239" s="2"/>
      <c r="AP239" s="5"/>
      <c r="AQ239" s="5"/>
    </row>
    <row r="240">
      <c r="A240" s="2"/>
      <c r="B240" s="5"/>
      <c r="C240" s="2"/>
      <c r="D240" s="2"/>
      <c r="E240" s="2"/>
      <c r="F240" s="2"/>
      <c r="G240" s="2"/>
      <c r="H240" s="128"/>
      <c r="I240" s="128"/>
      <c r="J240" s="135">
        <f t="shared" ref="J240:AF240" si="173">sum(J227:J238)</f>
        <v>0</v>
      </c>
      <c r="K240" s="135">
        <f t="shared" si="173"/>
        <v>0</v>
      </c>
      <c r="L240" s="135">
        <f t="shared" si="173"/>
        <v>0</v>
      </c>
      <c r="M240" s="135">
        <f t="shared" si="173"/>
        <v>0</v>
      </c>
      <c r="N240" s="135">
        <f t="shared" si="173"/>
        <v>0</v>
      </c>
      <c r="O240" s="135">
        <f t="shared" si="173"/>
        <v>92034.765</v>
      </c>
      <c r="P240" s="135">
        <f t="shared" si="173"/>
        <v>0</v>
      </c>
      <c r="Q240" s="135">
        <f t="shared" si="173"/>
        <v>113951.835</v>
      </c>
      <c r="R240" s="135">
        <f t="shared" si="173"/>
        <v>48392.145</v>
      </c>
      <c r="S240" s="135">
        <f t="shared" si="173"/>
        <v>0</v>
      </c>
      <c r="T240" s="135">
        <f t="shared" si="173"/>
        <v>153771.75</v>
      </c>
      <c r="U240" s="135">
        <f t="shared" si="173"/>
        <v>25396.065</v>
      </c>
      <c r="V240" s="135">
        <f t="shared" si="173"/>
        <v>0</v>
      </c>
      <c r="W240" s="135">
        <f t="shared" si="173"/>
        <v>91663.695</v>
      </c>
      <c r="X240" s="135">
        <f t="shared" si="173"/>
        <v>25293.465</v>
      </c>
      <c r="Y240" s="135">
        <f t="shared" si="173"/>
        <v>0</v>
      </c>
      <c r="Z240" s="135">
        <f t="shared" si="173"/>
        <v>42242.985</v>
      </c>
      <c r="AA240" s="135">
        <f t="shared" si="173"/>
        <v>0</v>
      </c>
      <c r="AB240" s="135">
        <f t="shared" si="173"/>
        <v>0</v>
      </c>
      <c r="AC240" s="135">
        <f t="shared" si="173"/>
        <v>0</v>
      </c>
      <c r="AD240" s="135">
        <f t="shared" si="173"/>
        <v>0</v>
      </c>
      <c r="AE240" s="135">
        <f t="shared" si="173"/>
        <v>0</v>
      </c>
      <c r="AF240" s="135">
        <f t="shared" si="173"/>
        <v>0</v>
      </c>
      <c r="AG240" s="2"/>
      <c r="AH240" s="2"/>
      <c r="AI240" s="5"/>
      <c r="AJ240" s="2"/>
      <c r="AK240" s="2"/>
      <c r="AL240" s="2"/>
      <c r="AM240" s="2"/>
      <c r="AN240" s="2"/>
      <c r="AO240" s="2"/>
      <c r="AP240" s="5"/>
      <c r="AQ240" s="5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5"/>
      <c r="AJ241" s="2"/>
      <c r="AK241" s="2"/>
      <c r="AL241" s="2"/>
      <c r="AM241" s="2"/>
      <c r="AN241" s="2"/>
      <c r="AO241" s="2"/>
      <c r="AP241" s="5"/>
      <c r="AQ241" s="5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5"/>
      <c r="AJ242" s="2"/>
      <c r="AK242" s="2"/>
      <c r="AL242" s="2"/>
      <c r="AM242" s="2"/>
      <c r="AN242" s="2"/>
      <c r="AO242" s="2"/>
      <c r="AP242" s="5"/>
      <c r="AQ242" s="5"/>
    </row>
    <row r="243">
      <c r="A243" s="2"/>
      <c r="B243" s="5"/>
      <c r="C243" s="2"/>
      <c r="D243" s="2"/>
      <c r="E243" s="2"/>
      <c r="F243" s="2"/>
      <c r="G243" s="2"/>
      <c r="H243" s="124" t="s">
        <v>111</v>
      </c>
      <c r="I243" s="125"/>
      <c r="J243" s="126">
        <f t="shared" ref="J243:U243" si="174">J225+30</f>
        <v>209</v>
      </c>
      <c r="K243" s="126">
        <f t="shared" si="174"/>
        <v>214</v>
      </c>
      <c r="L243" s="126">
        <f t="shared" si="174"/>
        <v>204</v>
      </c>
      <c r="M243" s="126">
        <f t="shared" si="174"/>
        <v>204</v>
      </c>
      <c r="N243" s="126">
        <f t="shared" si="174"/>
        <v>214</v>
      </c>
      <c r="O243" s="126">
        <f t="shared" si="174"/>
        <v>209</v>
      </c>
      <c r="P243" s="126">
        <f t="shared" si="174"/>
        <v>204</v>
      </c>
      <c r="Q243" s="126">
        <f t="shared" si="174"/>
        <v>214</v>
      </c>
      <c r="R243" s="126">
        <f t="shared" si="174"/>
        <v>209</v>
      </c>
      <c r="S243" s="126">
        <f t="shared" si="174"/>
        <v>204</v>
      </c>
      <c r="T243" s="126">
        <f t="shared" si="174"/>
        <v>214</v>
      </c>
      <c r="U243" s="126">
        <f t="shared" si="174"/>
        <v>204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5"/>
      <c r="AJ243" s="2"/>
      <c r="AK243" s="2"/>
      <c r="AL243" s="2"/>
      <c r="AM243" s="2"/>
      <c r="AN243" s="2"/>
      <c r="AO243" s="2"/>
      <c r="AP243" s="5"/>
      <c r="AQ243" s="5"/>
    </row>
    <row r="244">
      <c r="A244" s="2"/>
      <c r="B244" s="5"/>
      <c r="C244" s="2"/>
      <c r="D244" s="3" t="s">
        <v>115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5"/>
      <c r="AJ244" s="2"/>
      <c r="AK244" s="2"/>
      <c r="AL244" s="2"/>
      <c r="AM244" s="2"/>
      <c r="AN244" s="2"/>
      <c r="AO244" s="2"/>
      <c r="AP244" s="5"/>
      <c r="AQ244" s="5"/>
    </row>
    <row r="245">
      <c r="A245" s="2"/>
      <c r="B245" s="5"/>
      <c r="C245" s="2"/>
      <c r="D245" s="3" t="s">
        <v>113</v>
      </c>
      <c r="H245" s="136">
        <v>30.0</v>
      </c>
      <c r="I245" s="128"/>
      <c r="J245" s="137">
        <f t="shared" ref="J245:U245" si="175">if(J$243&lt;=$H$245,L$202,0)</f>
        <v>0</v>
      </c>
      <c r="K245" s="137">
        <f t="shared" si="175"/>
        <v>0</v>
      </c>
      <c r="L245" s="137">
        <f t="shared" si="175"/>
        <v>0</v>
      </c>
      <c r="M245" s="137">
        <f t="shared" si="175"/>
        <v>0</v>
      </c>
      <c r="N245" s="137">
        <f t="shared" si="175"/>
        <v>0</v>
      </c>
      <c r="O245" s="137">
        <f t="shared" si="175"/>
        <v>0</v>
      </c>
      <c r="P245" s="137">
        <f t="shared" si="175"/>
        <v>0</v>
      </c>
      <c r="Q245" s="137">
        <f t="shared" si="175"/>
        <v>0</v>
      </c>
      <c r="R245" s="137">
        <f t="shared" si="175"/>
        <v>0</v>
      </c>
      <c r="S245" s="137">
        <f t="shared" si="175"/>
        <v>0</v>
      </c>
      <c r="T245" s="137">
        <f t="shared" si="175"/>
        <v>0</v>
      </c>
      <c r="U245" s="137">
        <f t="shared" si="175"/>
        <v>0</v>
      </c>
      <c r="V245" s="130"/>
      <c r="W245" s="130"/>
      <c r="X245" s="130"/>
      <c r="Y245" s="130"/>
      <c r="Z245" s="130"/>
      <c r="AA245" s="130"/>
      <c r="AB245" s="2"/>
      <c r="AC245" s="2"/>
      <c r="AD245" s="2"/>
      <c r="AE245" s="2"/>
      <c r="AF245" s="2"/>
      <c r="AG245" s="2"/>
      <c r="AH245" s="2"/>
      <c r="AI245" s="5"/>
      <c r="AJ245" s="2"/>
      <c r="AK245" s="2"/>
      <c r="AL245" s="2"/>
      <c r="AM245" s="2"/>
      <c r="AN245" s="2"/>
      <c r="AO245" s="2"/>
      <c r="AP245" s="5"/>
      <c r="AQ245" s="5"/>
    </row>
    <row r="246">
      <c r="A246" s="2"/>
      <c r="B246" s="5"/>
      <c r="C246" s="2"/>
      <c r="D246" s="2"/>
      <c r="E246" s="2"/>
      <c r="F246" s="2"/>
      <c r="G246" s="2"/>
      <c r="H246" s="136">
        <v>60.0</v>
      </c>
      <c r="I246" s="128"/>
      <c r="J246" s="132"/>
      <c r="K246" s="137">
        <f t="shared" ref="K246:V246" si="176">if(and(J243&gt;$H$245,J243&lt;=$H$246),L$202,0)</f>
        <v>0</v>
      </c>
      <c r="L246" s="137">
        <f t="shared" si="176"/>
        <v>0</v>
      </c>
      <c r="M246" s="137">
        <f t="shared" si="176"/>
        <v>0</v>
      </c>
      <c r="N246" s="137">
        <f t="shared" si="176"/>
        <v>0</v>
      </c>
      <c r="O246" s="137">
        <f t="shared" si="176"/>
        <v>0</v>
      </c>
      <c r="P246" s="137">
        <f t="shared" si="176"/>
        <v>0</v>
      </c>
      <c r="Q246" s="137">
        <f t="shared" si="176"/>
        <v>0</v>
      </c>
      <c r="R246" s="137">
        <f t="shared" si="176"/>
        <v>0</v>
      </c>
      <c r="S246" s="137">
        <f t="shared" si="176"/>
        <v>0</v>
      </c>
      <c r="T246" s="137">
        <f t="shared" si="176"/>
        <v>0</v>
      </c>
      <c r="U246" s="137">
        <f t="shared" si="176"/>
        <v>0</v>
      </c>
      <c r="V246" s="137">
        <f t="shared" si="176"/>
        <v>0</v>
      </c>
      <c r="W246" s="130"/>
      <c r="X246" s="130"/>
      <c r="Y246" s="130"/>
      <c r="Z246" s="130"/>
      <c r="AA246" s="130"/>
      <c r="AB246" s="2"/>
      <c r="AC246" s="2"/>
      <c r="AD246" s="2"/>
      <c r="AE246" s="2"/>
      <c r="AF246" s="2"/>
      <c r="AG246" s="2"/>
      <c r="AH246" s="2"/>
      <c r="AI246" s="5"/>
      <c r="AJ246" s="2"/>
      <c r="AK246" s="2"/>
      <c r="AL246" s="2"/>
      <c r="AM246" s="2"/>
      <c r="AN246" s="2"/>
      <c r="AO246" s="2"/>
      <c r="AP246" s="5"/>
      <c r="AQ246" s="5"/>
    </row>
    <row r="247">
      <c r="A247" s="2"/>
      <c r="B247" s="5"/>
      <c r="C247" s="2"/>
      <c r="D247" s="2"/>
      <c r="E247" s="2"/>
      <c r="F247" s="2"/>
      <c r="G247" s="2"/>
      <c r="H247" s="136">
        <v>90.0</v>
      </c>
      <c r="I247" s="129"/>
      <c r="J247" s="132"/>
      <c r="K247" s="137"/>
      <c r="L247" s="137">
        <f t="shared" ref="L247:W247" si="177">if(and(J$243&gt;$H$246,J$243&lt;=$H$247),L$202,0)</f>
        <v>0</v>
      </c>
      <c r="M247" s="137">
        <f t="shared" si="177"/>
        <v>0</v>
      </c>
      <c r="N247" s="137">
        <f t="shared" si="177"/>
        <v>0</v>
      </c>
      <c r="O247" s="137">
        <f t="shared" si="177"/>
        <v>0</v>
      </c>
      <c r="P247" s="137">
        <f t="shared" si="177"/>
        <v>0</v>
      </c>
      <c r="Q247" s="137">
        <f t="shared" si="177"/>
        <v>0</v>
      </c>
      <c r="R247" s="137">
        <f t="shared" si="177"/>
        <v>0</v>
      </c>
      <c r="S247" s="137">
        <f t="shared" si="177"/>
        <v>0</v>
      </c>
      <c r="T247" s="137">
        <f t="shared" si="177"/>
        <v>0</v>
      </c>
      <c r="U247" s="137">
        <f t="shared" si="177"/>
        <v>0</v>
      </c>
      <c r="V247" s="137">
        <f t="shared" si="177"/>
        <v>0</v>
      </c>
      <c r="W247" s="137">
        <f t="shared" si="177"/>
        <v>0</v>
      </c>
      <c r="X247" s="130"/>
      <c r="Y247" s="130"/>
      <c r="Z247" s="130"/>
      <c r="AA247" s="130"/>
      <c r="AB247" s="2"/>
      <c r="AC247" s="2"/>
      <c r="AD247" s="2"/>
      <c r="AE247" s="2"/>
      <c r="AF247" s="2"/>
      <c r="AG247" s="2"/>
      <c r="AH247" s="2"/>
      <c r="AI247" s="5"/>
      <c r="AJ247" s="2"/>
      <c r="AK247" s="2"/>
      <c r="AL247" s="2"/>
      <c r="AM247" s="2"/>
      <c r="AN247" s="2"/>
      <c r="AO247" s="2"/>
      <c r="AP247" s="5"/>
      <c r="AQ247" s="5"/>
    </row>
    <row r="248">
      <c r="A248" s="2"/>
      <c r="B248" s="5"/>
      <c r="C248" s="2"/>
      <c r="D248" s="2"/>
      <c r="E248" s="2"/>
      <c r="F248" s="2"/>
      <c r="G248" s="2"/>
      <c r="H248" s="136">
        <v>120.0</v>
      </c>
      <c r="I248" s="129"/>
      <c r="J248" s="132"/>
      <c r="K248" s="137"/>
      <c r="L248" s="137"/>
      <c r="M248" s="137">
        <f t="shared" ref="M248:X248" si="178">if(and(J$243&gt;$H$247,J$243&lt;=$H$248),L$202,0)</f>
        <v>0</v>
      </c>
      <c r="N248" s="137">
        <f t="shared" si="178"/>
        <v>0</v>
      </c>
      <c r="O248" s="137">
        <f t="shared" si="178"/>
        <v>0</v>
      </c>
      <c r="P248" s="137">
        <f t="shared" si="178"/>
        <v>0</v>
      </c>
      <c r="Q248" s="137">
        <f t="shared" si="178"/>
        <v>0</v>
      </c>
      <c r="R248" s="137">
        <f t="shared" si="178"/>
        <v>0</v>
      </c>
      <c r="S248" s="137">
        <f t="shared" si="178"/>
        <v>0</v>
      </c>
      <c r="T248" s="137">
        <f t="shared" si="178"/>
        <v>0</v>
      </c>
      <c r="U248" s="137">
        <f t="shared" si="178"/>
        <v>0</v>
      </c>
      <c r="V248" s="137">
        <f t="shared" si="178"/>
        <v>0</v>
      </c>
      <c r="W248" s="137">
        <f t="shared" si="178"/>
        <v>0</v>
      </c>
      <c r="X248" s="137">
        <f t="shared" si="178"/>
        <v>0</v>
      </c>
      <c r="Y248" s="130"/>
      <c r="Z248" s="130"/>
      <c r="AA248" s="130"/>
      <c r="AB248" s="2"/>
      <c r="AC248" s="2"/>
      <c r="AD248" s="2"/>
      <c r="AE248" s="2"/>
      <c r="AF248" s="2"/>
      <c r="AG248" s="2"/>
      <c r="AH248" s="2"/>
      <c r="AI248" s="5"/>
      <c r="AJ248" s="2"/>
      <c r="AK248" s="2"/>
      <c r="AL248" s="2"/>
      <c r="AM248" s="2"/>
      <c r="AN248" s="2"/>
      <c r="AO248" s="2"/>
      <c r="AP248" s="5"/>
      <c r="AQ248" s="5"/>
    </row>
    <row r="249">
      <c r="A249" s="2"/>
      <c r="B249" s="5"/>
      <c r="C249" s="2"/>
      <c r="D249" s="2"/>
      <c r="E249" s="2"/>
      <c r="F249" s="2"/>
      <c r="G249" s="2"/>
      <c r="H249" s="136">
        <v>150.0</v>
      </c>
      <c r="I249" s="129"/>
      <c r="J249" s="132"/>
      <c r="K249" s="137"/>
      <c r="L249" s="137"/>
      <c r="M249" s="137"/>
      <c r="N249" s="137">
        <f t="shared" ref="N249:Y249" si="179">if(and(J$243&gt;$H$248,J$243&lt;=$H$249),L$202,0)</f>
        <v>0</v>
      </c>
      <c r="O249" s="137">
        <f t="shared" si="179"/>
        <v>0</v>
      </c>
      <c r="P249" s="137">
        <f t="shared" si="179"/>
        <v>0</v>
      </c>
      <c r="Q249" s="137">
        <f t="shared" si="179"/>
        <v>0</v>
      </c>
      <c r="R249" s="137">
        <f t="shared" si="179"/>
        <v>0</v>
      </c>
      <c r="S249" s="137">
        <f t="shared" si="179"/>
        <v>0</v>
      </c>
      <c r="T249" s="137">
        <f t="shared" si="179"/>
        <v>0</v>
      </c>
      <c r="U249" s="137">
        <f t="shared" si="179"/>
        <v>0</v>
      </c>
      <c r="V249" s="137">
        <f t="shared" si="179"/>
        <v>0</v>
      </c>
      <c r="W249" s="137">
        <f t="shared" si="179"/>
        <v>0</v>
      </c>
      <c r="X249" s="137">
        <f t="shared" si="179"/>
        <v>0</v>
      </c>
      <c r="Y249" s="137">
        <f t="shared" si="179"/>
        <v>0</v>
      </c>
      <c r="Z249" s="130"/>
      <c r="AA249" s="130"/>
      <c r="AB249" s="2"/>
      <c r="AC249" s="2"/>
      <c r="AD249" s="2"/>
      <c r="AE249" s="2"/>
      <c r="AF249" s="2"/>
      <c r="AG249" s="2"/>
      <c r="AH249" s="2"/>
      <c r="AI249" s="5"/>
      <c r="AJ249" s="2"/>
      <c r="AK249" s="2"/>
      <c r="AL249" s="2"/>
      <c r="AM249" s="2"/>
      <c r="AN249" s="2"/>
      <c r="AO249" s="2"/>
      <c r="AP249" s="5"/>
      <c r="AQ249" s="5"/>
    </row>
    <row r="250">
      <c r="A250" s="2"/>
      <c r="B250" s="5"/>
      <c r="C250" s="2"/>
      <c r="D250" s="2"/>
      <c r="E250" s="2"/>
      <c r="F250" s="2"/>
      <c r="G250" s="2"/>
      <c r="H250" s="136">
        <v>180.0</v>
      </c>
      <c r="I250" s="129"/>
      <c r="J250" s="132"/>
      <c r="K250" s="137"/>
      <c r="L250" s="137"/>
      <c r="M250" s="137"/>
      <c r="N250" s="137"/>
      <c r="O250" s="137">
        <f t="shared" ref="O250:Z250" si="180">if(and(J$243&gt;$H$249,J$243&lt;=$H$250),L$202,0)</f>
        <v>0</v>
      </c>
      <c r="P250" s="137">
        <f t="shared" si="180"/>
        <v>0</v>
      </c>
      <c r="Q250" s="137">
        <f t="shared" si="180"/>
        <v>0</v>
      </c>
      <c r="R250" s="137">
        <f t="shared" si="180"/>
        <v>0</v>
      </c>
      <c r="S250" s="137">
        <f t="shared" si="180"/>
        <v>0</v>
      </c>
      <c r="T250" s="137">
        <f t="shared" si="180"/>
        <v>0</v>
      </c>
      <c r="U250" s="137">
        <f t="shared" si="180"/>
        <v>0</v>
      </c>
      <c r="V250" s="137">
        <f t="shared" si="180"/>
        <v>0</v>
      </c>
      <c r="W250" s="137">
        <f t="shared" si="180"/>
        <v>0</v>
      </c>
      <c r="X250" s="137">
        <f t="shared" si="180"/>
        <v>0</v>
      </c>
      <c r="Y250" s="137">
        <f t="shared" si="180"/>
        <v>0</v>
      </c>
      <c r="Z250" s="137">
        <f t="shared" si="180"/>
        <v>0</v>
      </c>
      <c r="AA250" s="132"/>
      <c r="AB250" s="2"/>
      <c r="AC250" s="2"/>
      <c r="AD250" s="2"/>
      <c r="AE250" s="2"/>
      <c r="AF250" s="2"/>
      <c r="AG250" s="2"/>
      <c r="AH250" s="2"/>
      <c r="AI250" s="5"/>
      <c r="AJ250" s="2"/>
      <c r="AK250" s="2"/>
      <c r="AL250" s="2"/>
      <c r="AM250" s="2"/>
      <c r="AN250" s="2"/>
      <c r="AO250" s="2"/>
      <c r="AP250" s="5"/>
      <c r="AQ250" s="5"/>
    </row>
    <row r="251">
      <c r="A251" s="2"/>
      <c r="B251" s="5"/>
      <c r="C251" s="2"/>
      <c r="D251" s="2"/>
      <c r="E251" s="2"/>
      <c r="F251" s="2"/>
      <c r="G251" s="2"/>
      <c r="H251" s="136">
        <v>210.0</v>
      </c>
      <c r="I251" s="128"/>
      <c r="J251" s="132"/>
      <c r="K251" s="137"/>
      <c r="L251" s="137"/>
      <c r="M251" s="137"/>
      <c r="N251" s="137"/>
      <c r="O251" s="137"/>
      <c r="P251" s="138">
        <f t="shared" ref="P251:AA251" si="181">if(and(J$243&gt;$H$250,J$243&lt;=$H$251),L$202,0)</f>
        <v>86677.416</v>
      </c>
      <c r="Q251" s="137">
        <f t="shared" si="181"/>
        <v>0</v>
      </c>
      <c r="R251" s="138">
        <f t="shared" si="181"/>
        <v>72373.392</v>
      </c>
      <c r="S251" s="138">
        <f t="shared" si="181"/>
        <v>49739.76</v>
      </c>
      <c r="T251" s="137">
        <f t="shared" si="181"/>
        <v>0</v>
      </c>
      <c r="U251" s="138">
        <f t="shared" si="181"/>
        <v>79335.144</v>
      </c>
      <c r="V251" s="138">
        <f t="shared" si="181"/>
        <v>23973.768</v>
      </c>
      <c r="W251" s="137">
        <f t="shared" si="181"/>
        <v>0</v>
      </c>
      <c r="X251" s="138">
        <f t="shared" si="181"/>
        <v>61275.816</v>
      </c>
      <c r="Y251" s="138">
        <f t="shared" si="181"/>
        <v>18823.896</v>
      </c>
      <c r="Z251" s="137">
        <f t="shared" si="181"/>
        <v>0</v>
      </c>
      <c r="AA251" s="138">
        <f t="shared" si="181"/>
        <v>10707.984</v>
      </c>
      <c r="AB251" s="2"/>
      <c r="AC251" s="2"/>
      <c r="AD251" s="2"/>
      <c r="AE251" s="2"/>
      <c r="AF251" s="2"/>
      <c r="AG251" s="2"/>
      <c r="AH251" s="2"/>
      <c r="AI251" s="5"/>
      <c r="AJ251" s="2"/>
      <c r="AK251" s="2"/>
      <c r="AL251" s="2"/>
      <c r="AM251" s="2"/>
      <c r="AN251" s="2"/>
      <c r="AO251" s="2"/>
      <c r="AP251" s="5"/>
      <c r="AQ251" s="5"/>
    </row>
    <row r="252">
      <c r="A252" s="2"/>
      <c r="B252" s="5"/>
      <c r="C252" s="2"/>
      <c r="D252" s="2"/>
      <c r="E252" s="2"/>
      <c r="F252" s="2"/>
      <c r="G252" s="2"/>
      <c r="H252" s="136">
        <v>240.0</v>
      </c>
      <c r="I252" s="128"/>
      <c r="J252" s="132"/>
      <c r="K252" s="137"/>
      <c r="L252" s="137"/>
      <c r="M252" s="137"/>
      <c r="N252" s="137"/>
      <c r="O252" s="137"/>
      <c r="P252" s="137"/>
      <c r="Q252" s="137">
        <f t="shared" ref="Q252:AB252" si="182">if(and(J$243&gt;$H$251,J$243&lt;=$H$252),L$202,0)</f>
        <v>0</v>
      </c>
      <c r="R252" s="138">
        <f t="shared" si="182"/>
        <v>31053.96</v>
      </c>
      <c r="S252" s="137">
        <f t="shared" si="182"/>
        <v>0</v>
      </c>
      <c r="T252" s="137">
        <f t="shared" si="182"/>
        <v>0</v>
      </c>
      <c r="U252" s="138">
        <f t="shared" si="182"/>
        <v>59948.28</v>
      </c>
      <c r="V252" s="137">
        <f t="shared" si="182"/>
        <v>0</v>
      </c>
      <c r="W252" s="137">
        <f t="shared" si="182"/>
        <v>0</v>
      </c>
      <c r="X252" s="138">
        <f t="shared" si="182"/>
        <v>21712.824</v>
      </c>
      <c r="Y252" s="137">
        <f t="shared" si="182"/>
        <v>0</v>
      </c>
      <c r="Z252" s="137">
        <f t="shared" si="182"/>
        <v>0</v>
      </c>
      <c r="AA252" s="138">
        <f t="shared" si="182"/>
        <v>30121.56</v>
      </c>
      <c r="AB252" s="137">
        <f t="shared" si="182"/>
        <v>0</v>
      </c>
      <c r="AC252" s="2"/>
      <c r="AD252" s="2"/>
      <c r="AE252" s="2"/>
      <c r="AF252" s="2"/>
      <c r="AG252" s="2"/>
      <c r="AH252" s="2"/>
      <c r="AI252" s="5"/>
      <c r="AJ252" s="2"/>
      <c r="AK252" s="2"/>
      <c r="AL252" s="2"/>
      <c r="AM252" s="2"/>
      <c r="AN252" s="2"/>
      <c r="AO252" s="2"/>
      <c r="AP252" s="5"/>
      <c r="AQ252" s="5"/>
    </row>
    <row r="253">
      <c r="A253" s="2"/>
      <c r="B253" s="5"/>
      <c r="C253" s="2"/>
      <c r="D253" s="2"/>
      <c r="E253" s="2"/>
      <c r="F253" s="2"/>
      <c r="G253" s="2"/>
      <c r="H253" s="136">
        <v>270.0</v>
      </c>
      <c r="I253" s="128"/>
      <c r="J253" s="132"/>
      <c r="K253" s="137"/>
      <c r="L253" s="137"/>
      <c r="M253" s="137"/>
      <c r="N253" s="137"/>
      <c r="O253" s="137"/>
      <c r="P253" s="137"/>
      <c r="Q253" s="137"/>
      <c r="R253" s="137">
        <f t="shared" ref="R253:AC253" si="183">if(and(J$243&gt;$H$252,J$243&lt;=$H$253),L$202,0)</f>
        <v>0</v>
      </c>
      <c r="S253" s="137">
        <f t="shared" si="183"/>
        <v>0</v>
      </c>
      <c r="T253" s="137">
        <f t="shared" si="183"/>
        <v>0</v>
      </c>
      <c r="U253" s="137">
        <f t="shared" si="183"/>
        <v>0</v>
      </c>
      <c r="V253" s="137">
        <f t="shared" si="183"/>
        <v>0</v>
      </c>
      <c r="W253" s="137">
        <f t="shared" si="183"/>
        <v>0</v>
      </c>
      <c r="X253" s="137">
        <f t="shared" si="183"/>
        <v>0</v>
      </c>
      <c r="Y253" s="137">
        <f t="shared" si="183"/>
        <v>0</v>
      </c>
      <c r="Z253" s="137">
        <f t="shared" si="183"/>
        <v>0</v>
      </c>
      <c r="AA253" s="137">
        <f t="shared" si="183"/>
        <v>0</v>
      </c>
      <c r="AB253" s="137">
        <f t="shared" si="183"/>
        <v>0</v>
      </c>
      <c r="AC253" s="137">
        <f t="shared" si="183"/>
        <v>0</v>
      </c>
      <c r="AD253" s="2"/>
      <c r="AE253" s="2"/>
      <c r="AF253" s="2"/>
      <c r="AG253" s="2"/>
      <c r="AH253" s="2"/>
      <c r="AI253" s="5"/>
      <c r="AJ253" s="2"/>
      <c r="AK253" s="2"/>
      <c r="AL253" s="2"/>
      <c r="AM253" s="2"/>
      <c r="AN253" s="2"/>
      <c r="AO253" s="2"/>
      <c r="AP253" s="5"/>
      <c r="AQ253" s="5"/>
    </row>
    <row r="254">
      <c r="A254" s="2"/>
      <c r="B254" s="5"/>
      <c r="C254" s="2"/>
      <c r="D254" s="2"/>
      <c r="E254" s="2"/>
      <c r="F254" s="2"/>
      <c r="G254" s="2"/>
      <c r="H254" s="136">
        <v>300.0</v>
      </c>
      <c r="I254" s="128"/>
      <c r="J254" s="132"/>
      <c r="K254" s="137"/>
      <c r="L254" s="137"/>
      <c r="M254" s="137"/>
      <c r="N254" s="137"/>
      <c r="O254" s="137"/>
      <c r="P254" s="137"/>
      <c r="Q254" s="137"/>
      <c r="R254" s="137"/>
      <c r="S254" s="137">
        <f t="shared" ref="S254:AD254" si="184">if(and(J$243&gt;$H$253,J$243&lt;=$H$254),L$202,0)</f>
        <v>0</v>
      </c>
      <c r="T254" s="137">
        <f t="shared" si="184"/>
        <v>0</v>
      </c>
      <c r="U254" s="137">
        <f t="shared" si="184"/>
        <v>0</v>
      </c>
      <c r="V254" s="137">
        <f t="shared" si="184"/>
        <v>0</v>
      </c>
      <c r="W254" s="137">
        <f t="shared" si="184"/>
        <v>0</v>
      </c>
      <c r="X254" s="137">
        <f t="shared" si="184"/>
        <v>0</v>
      </c>
      <c r="Y254" s="137">
        <f t="shared" si="184"/>
        <v>0</v>
      </c>
      <c r="Z254" s="137">
        <f t="shared" si="184"/>
        <v>0</v>
      </c>
      <c r="AA254" s="137">
        <f t="shared" si="184"/>
        <v>0</v>
      </c>
      <c r="AB254" s="137">
        <f t="shared" si="184"/>
        <v>0</v>
      </c>
      <c r="AC254" s="137">
        <f t="shared" si="184"/>
        <v>0</v>
      </c>
      <c r="AD254" s="137">
        <f t="shared" si="184"/>
        <v>0</v>
      </c>
      <c r="AE254" s="2"/>
      <c r="AF254" s="2"/>
      <c r="AG254" s="2"/>
      <c r="AH254" s="2"/>
      <c r="AI254" s="5"/>
      <c r="AJ254" s="2"/>
      <c r="AK254" s="2"/>
      <c r="AL254" s="2"/>
      <c r="AM254" s="2"/>
      <c r="AN254" s="2"/>
      <c r="AO254" s="2"/>
      <c r="AP254" s="5"/>
      <c r="AQ254" s="5"/>
    </row>
    <row r="255">
      <c r="A255" s="2"/>
      <c r="B255" s="5"/>
      <c r="C255" s="2"/>
      <c r="D255" s="2"/>
      <c r="E255" s="2"/>
      <c r="F255" s="2"/>
      <c r="G255" s="2"/>
      <c r="H255" s="136">
        <v>330.0</v>
      </c>
      <c r="I255" s="128"/>
      <c r="J255" s="132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>
        <f t="shared" ref="T255:AE255" si="185">if(and(J$243&gt;$H$254,J$243&lt;=$H$255),L$202,0)</f>
        <v>0</v>
      </c>
      <c r="U255" s="137">
        <f t="shared" si="185"/>
        <v>0</v>
      </c>
      <c r="V255" s="137">
        <f t="shared" si="185"/>
        <v>0</v>
      </c>
      <c r="W255" s="137">
        <f t="shared" si="185"/>
        <v>0</v>
      </c>
      <c r="X255" s="137">
        <f t="shared" si="185"/>
        <v>0</v>
      </c>
      <c r="Y255" s="137">
        <f t="shared" si="185"/>
        <v>0</v>
      </c>
      <c r="Z255" s="137">
        <f t="shared" si="185"/>
        <v>0</v>
      </c>
      <c r="AA255" s="137">
        <f t="shared" si="185"/>
        <v>0</v>
      </c>
      <c r="AB255" s="137">
        <f t="shared" si="185"/>
        <v>0</v>
      </c>
      <c r="AC255" s="137">
        <f t="shared" si="185"/>
        <v>0</v>
      </c>
      <c r="AD255" s="137">
        <f t="shared" si="185"/>
        <v>0</v>
      </c>
      <c r="AE255" s="137">
        <f t="shared" si="185"/>
        <v>0</v>
      </c>
      <c r="AF255" s="2"/>
      <c r="AG255" s="2"/>
      <c r="AH255" s="2"/>
      <c r="AI255" s="5"/>
      <c r="AJ255" s="2"/>
      <c r="AK255" s="2"/>
      <c r="AL255" s="2"/>
      <c r="AM255" s="2"/>
      <c r="AN255" s="2"/>
      <c r="AO255" s="2"/>
      <c r="AP255" s="5"/>
      <c r="AQ255" s="5"/>
    </row>
    <row r="256">
      <c r="A256" s="2"/>
      <c r="B256" s="5"/>
      <c r="C256" s="2"/>
      <c r="D256" s="2"/>
      <c r="E256" s="2"/>
      <c r="F256" s="2"/>
      <c r="G256" s="2"/>
      <c r="H256" s="136">
        <v>360.0</v>
      </c>
      <c r="I256" s="128"/>
      <c r="J256" s="132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>
        <f t="shared" ref="U256:AF256" si="186">if(and(J$243&gt;$H$255,J$243&lt;=$H$256),L$202,0)</f>
        <v>0</v>
      </c>
      <c r="V256" s="137">
        <f t="shared" si="186"/>
        <v>0</v>
      </c>
      <c r="W256" s="137">
        <f t="shared" si="186"/>
        <v>0</v>
      </c>
      <c r="X256" s="137">
        <f t="shared" si="186"/>
        <v>0</v>
      </c>
      <c r="Y256" s="137">
        <f t="shared" si="186"/>
        <v>0</v>
      </c>
      <c r="Z256" s="137">
        <f t="shared" si="186"/>
        <v>0</v>
      </c>
      <c r="AA256" s="137">
        <f t="shared" si="186"/>
        <v>0</v>
      </c>
      <c r="AB256" s="137">
        <f t="shared" si="186"/>
        <v>0</v>
      </c>
      <c r="AC256" s="137">
        <f t="shared" si="186"/>
        <v>0</v>
      </c>
      <c r="AD256" s="137">
        <f t="shared" si="186"/>
        <v>0</v>
      </c>
      <c r="AE256" s="137">
        <f t="shared" si="186"/>
        <v>0</v>
      </c>
      <c r="AF256" s="137">
        <f t="shared" si="186"/>
        <v>0</v>
      </c>
      <c r="AG256" s="2"/>
      <c r="AH256" s="2"/>
      <c r="AI256" s="5"/>
      <c r="AJ256" s="2"/>
      <c r="AK256" s="2"/>
      <c r="AL256" s="2"/>
      <c r="AM256" s="2"/>
      <c r="AN256" s="2"/>
      <c r="AO256" s="2"/>
      <c r="AP256" s="5"/>
      <c r="AQ256" s="5"/>
    </row>
    <row r="257">
      <c r="A257" s="2"/>
      <c r="B257" s="5"/>
      <c r="C257" s="2"/>
      <c r="D257" s="2"/>
      <c r="E257" s="2"/>
      <c r="F257" s="2"/>
      <c r="G257" s="2"/>
      <c r="H257" s="128"/>
      <c r="I257" s="128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0"/>
      <c r="W257" s="130"/>
      <c r="X257" s="130"/>
      <c r="Y257" s="130"/>
      <c r="Z257" s="130"/>
      <c r="AA257" s="130"/>
      <c r="AB257" s="2"/>
      <c r="AC257" s="2"/>
      <c r="AD257" s="2"/>
      <c r="AE257" s="2"/>
      <c r="AF257" s="2"/>
      <c r="AG257" s="2"/>
      <c r="AH257" s="2"/>
      <c r="AI257" s="5"/>
      <c r="AJ257" s="2"/>
      <c r="AK257" s="2"/>
      <c r="AL257" s="2"/>
      <c r="AM257" s="2"/>
      <c r="AN257" s="2"/>
      <c r="AO257" s="2"/>
      <c r="AP257" s="5"/>
      <c r="AQ257" s="5"/>
    </row>
    <row r="258">
      <c r="A258" s="2"/>
      <c r="B258" s="5"/>
      <c r="C258" s="2"/>
      <c r="D258" s="2"/>
      <c r="E258" s="2"/>
      <c r="F258" s="2"/>
      <c r="G258" s="2"/>
      <c r="H258" s="139"/>
      <c r="I258" s="139"/>
      <c r="J258" s="138">
        <f t="shared" ref="J258:AF258" si="187">sum(J245:J256)</f>
        <v>0</v>
      </c>
      <c r="K258" s="138">
        <f t="shared" si="187"/>
        <v>0</v>
      </c>
      <c r="L258" s="138">
        <f t="shared" si="187"/>
        <v>0</v>
      </c>
      <c r="M258" s="138">
        <f t="shared" si="187"/>
        <v>0</v>
      </c>
      <c r="N258" s="138">
        <f t="shared" si="187"/>
        <v>0</v>
      </c>
      <c r="O258" s="138">
        <f t="shared" si="187"/>
        <v>0</v>
      </c>
      <c r="P258" s="138">
        <f t="shared" si="187"/>
        <v>86677.416</v>
      </c>
      <c r="Q258" s="138">
        <f t="shared" si="187"/>
        <v>0</v>
      </c>
      <c r="R258" s="138">
        <f t="shared" si="187"/>
        <v>103427.352</v>
      </c>
      <c r="S258" s="138">
        <f t="shared" si="187"/>
        <v>49739.76</v>
      </c>
      <c r="T258" s="138">
        <f t="shared" si="187"/>
        <v>0</v>
      </c>
      <c r="U258" s="138">
        <f t="shared" si="187"/>
        <v>139283.424</v>
      </c>
      <c r="V258" s="138">
        <f t="shared" si="187"/>
        <v>23973.768</v>
      </c>
      <c r="W258" s="138">
        <f t="shared" si="187"/>
        <v>0</v>
      </c>
      <c r="X258" s="138">
        <f t="shared" si="187"/>
        <v>82988.64</v>
      </c>
      <c r="Y258" s="138">
        <f t="shared" si="187"/>
        <v>18823.896</v>
      </c>
      <c r="Z258" s="138">
        <f t="shared" si="187"/>
        <v>0</v>
      </c>
      <c r="AA258" s="138">
        <f t="shared" si="187"/>
        <v>40829.544</v>
      </c>
      <c r="AB258" s="138">
        <f t="shared" si="187"/>
        <v>0</v>
      </c>
      <c r="AC258" s="138">
        <f t="shared" si="187"/>
        <v>0</v>
      </c>
      <c r="AD258" s="138">
        <f t="shared" si="187"/>
        <v>0</v>
      </c>
      <c r="AE258" s="138">
        <f t="shared" si="187"/>
        <v>0</v>
      </c>
      <c r="AF258" s="138">
        <f t="shared" si="187"/>
        <v>0</v>
      </c>
      <c r="AG258" s="2"/>
      <c r="AH258" s="2"/>
      <c r="AI258" s="5"/>
      <c r="AJ258" s="2"/>
      <c r="AK258" s="2"/>
      <c r="AL258" s="2"/>
      <c r="AM258" s="2"/>
      <c r="AN258" s="2"/>
      <c r="AO258" s="2"/>
      <c r="AP258" s="5"/>
      <c r="AQ258" s="5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5"/>
      <c r="AJ259" s="2"/>
      <c r="AK259" s="2"/>
      <c r="AL259" s="2"/>
      <c r="AM259" s="2"/>
      <c r="AN259" s="2"/>
      <c r="AO259" s="2"/>
      <c r="AP259" s="5"/>
      <c r="AQ259" s="5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5"/>
      <c r="AJ260" s="2"/>
      <c r="AK260" s="2"/>
      <c r="AL260" s="2"/>
      <c r="AM260" s="2"/>
      <c r="AN260" s="2"/>
      <c r="AO260" s="5"/>
      <c r="AP260" s="5"/>
      <c r="AQ260" s="5"/>
    </row>
    <row r="261">
      <c r="A261" s="2"/>
      <c r="B261" s="5"/>
      <c r="C261" s="2"/>
      <c r="D261" s="2"/>
      <c r="E261" s="2"/>
      <c r="F261" s="2"/>
      <c r="G261" s="2"/>
      <c r="H261" s="124" t="s">
        <v>111</v>
      </c>
      <c r="I261" s="125"/>
      <c r="J261" s="126">
        <f t="shared" ref="J261:U261" si="188">J243+30</f>
        <v>239</v>
      </c>
      <c r="K261" s="126">
        <f t="shared" si="188"/>
        <v>244</v>
      </c>
      <c r="L261" s="126">
        <f t="shared" si="188"/>
        <v>234</v>
      </c>
      <c r="M261" s="126">
        <f t="shared" si="188"/>
        <v>234</v>
      </c>
      <c r="N261" s="126">
        <f t="shared" si="188"/>
        <v>244</v>
      </c>
      <c r="O261" s="126">
        <f t="shared" si="188"/>
        <v>239</v>
      </c>
      <c r="P261" s="126">
        <f t="shared" si="188"/>
        <v>234</v>
      </c>
      <c r="Q261" s="126">
        <f t="shared" si="188"/>
        <v>244</v>
      </c>
      <c r="R261" s="126">
        <f t="shared" si="188"/>
        <v>239</v>
      </c>
      <c r="S261" s="126">
        <f t="shared" si="188"/>
        <v>234</v>
      </c>
      <c r="T261" s="126">
        <f t="shared" si="188"/>
        <v>244</v>
      </c>
      <c r="U261" s="126">
        <f t="shared" si="188"/>
        <v>234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5"/>
      <c r="AJ261" s="2"/>
      <c r="AK261" s="2"/>
      <c r="AL261" s="2"/>
      <c r="AM261" s="2"/>
      <c r="AN261" s="2"/>
      <c r="AO261" s="5"/>
      <c r="AP261" s="5"/>
      <c r="AQ261" s="5"/>
    </row>
    <row r="262">
      <c r="A262" s="2"/>
      <c r="B262" s="5"/>
      <c r="C262" s="2"/>
      <c r="D262" s="3" t="s">
        <v>116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5"/>
      <c r="AJ262" s="2"/>
      <c r="AK262" s="2"/>
      <c r="AL262" s="2"/>
      <c r="AM262" s="2"/>
      <c r="AN262" s="2"/>
      <c r="AO262" s="5"/>
      <c r="AP262" s="5"/>
      <c r="AQ262" s="5"/>
    </row>
    <row r="263">
      <c r="A263" s="2"/>
      <c r="B263" s="5"/>
      <c r="C263" s="2"/>
      <c r="D263" s="3" t="s">
        <v>113</v>
      </c>
      <c r="H263" s="136">
        <v>30.0</v>
      </c>
      <c r="I263" s="128"/>
      <c r="J263" s="137">
        <f t="shared" ref="J263:U263" si="189">if(J$261&lt;=$H$263,M$203,0)</f>
        <v>0</v>
      </c>
      <c r="K263" s="137">
        <f t="shared" si="189"/>
        <v>0</v>
      </c>
      <c r="L263" s="137">
        <f t="shared" si="189"/>
        <v>0</v>
      </c>
      <c r="M263" s="137">
        <f t="shared" si="189"/>
        <v>0</v>
      </c>
      <c r="N263" s="137">
        <f t="shared" si="189"/>
        <v>0</v>
      </c>
      <c r="O263" s="137">
        <f t="shared" si="189"/>
        <v>0</v>
      </c>
      <c r="P263" s="137">
        <f t="shared" si="189"/>
        <v>0</v>
      </c>
      <c r="Q263" s="137">
        <f t="shared" si="189"/>
        <v>0</v>
      </c>
      <c r="R263" s="137">
        <f t="shared" si="189"/>
        <v>0</v>
      </c>
      <c r="S263" s="137">
        <f t="shared" si="189"/>
        <v>0</v>
      </c>
      <c r="T263" s="137">
        <f t="shared" si="189"/>
        <v>0</v>
      </c>
      <c r="U263" s="137">
        <f t="shared" si="189"/>
        <v>0</v>
      </c>
      <c r="V263" s="130"/>
      <c r="W263" s="130"/>
      <c r="X263" s="130"/>
      <c r="Y263" s="130"/>
      <c r="Z263" s="130"/>
      <c r="AA263" s="130"/>
      <c r="AB263" s="2"/>
      <c r="AC263" s="2"/>
      <c r="AD263" s="2"/>
      <c r="AE263" s="2"/>
      <c r="AF263" s="2"/>
      <c r="AG263" s="2"/>
      <c r="AH263" s="2"/>
      <c r="AI263" s="5"/>
      <c r="AJ263" s="2"/>
      <c r="AK263" s="2"/>
      <c r="AL263" s="2"/>
      <c r="AM263" s="2"/>
      <c r="AN263" s="2"/>
      <c r="AO263" s="5"/>
      <c r="AP263" s="5"/>
      <c r="AQ263" s="5"/>
    </row>
    <row r="264">
      <c r="A264" s="2"/>
      <c r="B264" s="5"/>
      <c r="C264" s="2"/>
      <c r="D264" s="2"/>
      <c r="E264" s="2"/>
      <c r="F264" s="2"/>
      <c r="G264" s="2"/>
      <c r="H264" s="136">
        <v>60.0</v>
      </c>
      <c r="I264" s="128"/>
      <c r="J264" s="132"/>
      <c r="K264" s="137">
        <f t="shared" ref="K264:V264" si="190">if(and(J$261&gt;$H$263,J$261&lt;=$H$264),M$203,0)</f>
        <v>0</v>
      </c>
      <c r="L264" s="137">
        <f t="shared" si="190"/>
        <v>0</v>
      </c>
      <c r="M264" s="137">
        <f t="shared" si="190"/>
        <v>0</v>
      </c>
      <c r="N264" s="137">
        <f t="shared" si="190"/>
        <v>0</v>
      </c>
      <c r="O264" s="137">
        <f t="shared" si="190"/>
        <v>0</v>
      </c>
      <c r="P264" s="137">
        <f t="shared" si="190"/>
        <v>0</v>
      </c>
      <c r="Q264" s="137">
        <f t="shared" si="190"/>
        <v>0</v>
      </c>
      <c r="R264" s="137">
        <f t="shared" si="190"/>
        <v>0</v>
      </c>
      <c r="S264" s="137">
        <f t="shared" si="190"/>
        <v>0</v>
      </c>
      <c r="T264" s="137">
        <f t="shared" si="190"/>
        <v>0</v>
      </c>
      <c r="U264" s="137">
        <f t="shared" si="190"/>
        <v>0</v>
      </c>
      <c r="V264" s="137">
        <f t="shared" si="190"/>
        <v>0</v>
      </c>
      <c r="W264" s="130"/>
      <c r="X264" s="130"/>
      <c r="Y264" s="130"/>
      <c r="Z264" s="130"/>
      <c r="AA264" s="130"/>
      <c r="AB264" s="2"/>
      <c r="AC264" s="2"/>
      <c r="AD264" s="2"/>
      <c r="AE264" s="2"/>
      <c r="AF264" s="2"/>
      <c r="AG264" s="2"/>
      <c r="AH264" s="2"/>
      <c r="AI264" s="5"/>
      <c r="AJ264" s="2"/>
      <c r="AK264" s="2"/>
      <c r="AL264" s="2"/>
      <c r="AM264" s="2"/>
      <c r="AN264" s="2"/>
      <c r="AO264" s="5"/>
      <c r="AP264" s="5"/>
      <c r="AQ264" s="5"/>
    </row>
    <row r="265">
      <c r="A265" s="2"/>
      <c r="B265" s="5"/>
      <c r="C265" s="2"/>
      <c r="D265" s="2"/>
      <c r="E265" s="2"/>
      <c r="F265" s="2"/>
      <c r="G265" s="2"/>
      <c r="H265" s="136">
        <v>90.0</v>
      </c>
      <c r="I265" s="129"/>
      <c r="J265" s="132"/>
      <c r="K265" s="137"/>
      <c r="L265" s="137">
        <f t="shared" ref="L265:W265" si="191">if(and(J$261&gt;$H$264,J$261&lt;=$H$265),M$203,0)</f>
        <v>0</v>
      </c>
      <c r="M265" s="137">
        <f t="shared" si="191"/>
        <v>0</v>
      </c>
      <c r="N265" s="137">
        <f t="shared" si="191"/>
        <v>0</v>
      </c>
      <c r="O265" s="137">
        <f t="shared" si="191"/>
        <v>0</v>
      </c>
      <c r="P265" s="137">
        <f t="shared" si="191"/>
        <v>0</v>
      </c>
      <c r="Q265" s="137">
        <f t="shared" si="191"/>
        <v>0</v>
      </c>
      <c r="R265" s="137">
        <f t="shared" si="191"/>
        <v>0</v>
      </c>
      <c r="S265" s="137">
        <f t="shared" si="191"/>
        <v>0</v>
      </c>
      <c r="T265" s="137">
        <f t="shared" si="191"/>
        <v>0</v>
      </c>
      <c r="U265" s="137">
        <f t="shared" si="191"/>
        <v>0</v>
      </c>
      <c r="V265" s="137">
        <f t="shared" si="191"/>
        <v>0</v>
      </c>
      <c r="W265" s="137">
        <f t="shared" si="191"/>
        <v>0</v>
      </c>
      <c r="X265" s="130"/>
      <c r="Y265" s="130"/>
      <c r="Z265" s="130"/>
      <c r="AA265" s="130"/>
      <c r="AB265" s="2"/>
      <c r="AC265" s="2"/>
      <c r="AD265" s="2"/>
      <c r="AE265" s="2"/>
      <c r="AF265" s="2"/>
      <c r="AG265" s="2"/>
      <c r="AH265" s="2"/>
      <c r="AI265" s="5"/>
      <c r="AJ265" s="2"/>
      <c r="AK265" s="2"/>
      <c r="AL265" s="2"/>
      <c r="AM265" s="2"/>
      <c r="AN265" s="2"/>
      <c r="AO265" s="5"/>
      <c r="AP265" s="5"/>
      <c r="AQ265" s="5"/>
    </row>
    <row r="266">
      <c r="A266" s="2"/>
      <c r="B266" s="5"/>
      <c r="C266" s="2"/>
      <c r="D266" s="2"/>
      <c r="E266" s="2"/>
      <c r="F266" s="2"/>
      <c r="G266" s="2"/>
      <c r="H266" s="136">
        <v>120.0</v>
      </c>
      <c r="I266" s="129"/>
      <c r="J266" s="132"/>
      <c r="K266" s="137"/>
      <c r="L266" s="137"/>
      <c r="M266" s="137">
        <f t="shared" ref="M266:X266" si="192">if(and(J$261&gt;$H$265,J$261&lt;=$H$266),M$203,0)</f>
        <v>0</v>
      </c>
      <c r="N266" s="137">
        <f t="shared" si="192"/>
        <v>0</v>
      </c>
      <c r="O266" s="137">
        <f t="shared" si="192"/>
        <v>0</v>
      </c>
      <c r="P266" s="137">
        <f t="shared" si="192"/>
        <v>0</v>
      </c>
      <c r="Q266" s="137">
        <f t="shared" si="192"/>
        <v>0</v>
      </c>
      <c r="R266" s="137">
        <f t="shared" si="192"/>
        <v>0</v>
      </c>
      <c r="S266" s="137">
        <f t="shared" si="192"/>
        <v>0</v>
      </c>
      <c r="T266" s="137">
        <f t="shared" si="192"/>
        <v>0</v>
      </c>
      <c r="U266" s="137">
        <f t="shared" si="192"/>
        <v>0</v>
      </c>
      <c r="V266" s="137">
        <f t="shared" si="192"/>
        <v>0</v>
      </c>
      <c r="W266" s="137">
        <f t="shared" si="192"/>
        <v>0</v>
      </c>
      <c r="X266" s="137">
        <f t="shared" si="192"/>
        <v>0</v>
      </c>
      <c r="Y266" s="130"/>
      <c r="Z266" s="130"/>
      <c r="AA266" s="130"/>
      <c r="AB266" s="2"/>
      <c r="AC266" s="2"/>
      <c r="AD266" s="2"/>
      <c r="AE266" s="2"/>
      <c r="AF266" s="2"/>
      <c r="AG266" s="2"/>
      <c r="AH266" s="2"/>
      <c r="AI266" s="5"/>
      <c r="AJ266" s="2"/>
      <c r="AK266" s="2"/>
      <c r="AL266" s="2"/>
      <c r="AM266" s="2"/>
      <c r="AN266" s="2"/>
      <c r="AO266" s="5"/>
      <c r="AP266" s="5"/>
      <c r="AQ266" s="5"/>
    </row>
    <row r="267">
      <c r="A267" s="2"/>
      <c r="B267" s="5"/>
      <c r="C267" s="2"/>
      <c r="D267" s="2"/>
      <c r="E267" s="2"/>
      <c r="F267" s="2"/>
      <c r="G267" s="2"/>
      <c r="H267" s="136">
        <v>150.0</v>
      </c>
      <c r="I267" s="129"/>
      <c r="J267" s="132"/>
      <c r="K267" s="137"/>
      <c r="L267" s="137"/>
      <c r="M267" s="137"/>
      <c r="N267" s="137">
        <f t="shared" ref="N267:Y267" si="193">if(and(J$261&gt;$H$266,J$261&lt;=$H$267),M$203,0)</f>
        <v>0</v>
      </c>
      <c r="O267" s="137">
        <f t="shared" si="193"/>
        <v>0</v>
      </c>
      <c r="P267" s="137">
        <f t="shared" si="193"/>
        <v>0</v>
      </c>
      <c r="Q267" s="137">
        <f t="shared" si="193"/>
        <v>0</v>
      </c>
      <c r="R267" s="137">
        <f t="shared" si="193"/>
        <v>0</v>
      </c>
      <c r="S267" s="137">
        <f t="shared" si="193"/>
        <v>0</v>
      </c>
      <c r="T267" s="137">
        <f t="shared" si="193"/>
        <v>0</v>
      </c>
      <c r="U267" s="137">
        <f t="shared" si="193"/>
        <v>0</v>
      </c>
      <c r="V267" s="137">
        <f t="shared" si="193"/>
        <v>0</v>
      </c>
      <c r="W267" s="137">
        <f t="shared" si="193"/>
        <v>0</v>
      </c>
      <c r="X267" s="137">
        <f t="shared" si="193"/>
        <v>0</v>
      </c>
      <c r="Y267" s="137">
        <f t="shared" si="193"/>
        <v>0</v>
      </c>
      <c r="Z267" s="130"/>
      <c r="AA267" s="130"/>
      <c r="AB267" s="2"/>
      <c r="AC267" s="2"/>
      <c r="AD267" s="2"/>
      <c r="AE267" s="2"/>
      <c r="AF267" s="2"/>
      <c r="AG267" s="2"/>
      <c r="AH267" s="2"/>
      <c r="AI267" s="5"/>
      <c r="AJ267" s="2"/>
      <c r="AK267" s="2"/>
      <c r="AL267" s="2"/>
      <c r="AM267" s="2"/>
      <c r="AN267" s="2"/>
      <c r="AO267" s="5"/>
      <c r="AP267" s="5"/>
      <c r="AQ267" s="5"/>
    </row>
    <row r="268">
      <c r="A268" s="2"/>
      <c r="B268" s="5"/>
      <c r="C268" s="2"/>
      <c r="D268" s="2"/>
      <c r="E268" s="2"/>
      <c r="F268" s="2"/>
      <c r="G268" s="2"/>
      <c r="H268" s="136">
        <v>180.0</v>
      </c>
      <c r="I268" s="129"/>
      <c r="J268" s="132"/>
      <c r="K268" s="137"/>
      <c r="L268" s="137"/>
      <c r="M268" s="137"/>
      <c r="N268" s="137"/>
      <c r="O268" s="137">
        <f t="shared" ref="O268:Z268" si="194">if(and(J$261&gt;$H$267,J$261&lt;=$H$268),M$203,0)</f>
        <v>0</v>
      </c>
      <c r="P268" s="137">
        <f t="shared" si="194"/>
        <v>0</v>
      </c>
      <c r="Q268" s="137">
        <f t="shared" si="194"/>
        <v>0</v>
      </c>
      <c r="R268" s="137">
        <f t="shared" si="194"/>
        <v>0</v>
      </c>
      <c r="S268" s="137">
        <f t="shared" si="194"/>
        <v>0</v>
      </c>
      <c r="T268" s="137">
        <f t="shared" si="194"/>
        <v>0</v>
      </c>
      <c r="U268" s="137">
        <f t="shared" si="194"/>
        <v>0</v>
      </c>
      <c r="V268" s="137">
        <f t="shared" si="194"/>
        <v>0</v>
      </c>
      <c r="W268" s="137">
        <f t="shared" si="194"/>
        <v>0</v>
      </c>
      <c r="X268" s="137">
        <f t="shared" si="194"/>
        <v>0</v>
      </c>
      <c r="Y268" s="137">
        <f t="shared" si="194"/>
        <v>0</v>
      </c>
      <c r="Z268" s="137">
        <f t="shared" si="194"/>
        <v>0</v>
      </c>
      <c r="AA268" s="132"/>
      <c r="AB268" s="2"/>
      <c r="AC268" s="2"/>
      <c r="AD268" s="2"/>
      <c r="AE268" s="2"/>
      <c r="AF268" s="2"/>
      <c r="AG268" s="2"/>
      <c r="AH268" s="2"/>
      <c r="AI268" s="5"/>
      <c r="AJ268" s="2"/>
      <c r="AK268" s="2"/>
      <c r="AL268" s="2"/>
      <c r="AM268" s="2"/>
      <c r="AN268" s="2"/>
      <c r="AO268" s="5"/>
      <c r="AP268" s="5"/>
      <c r="AQ268" s="5"/>
    </row>
    <row r="269">
      <c r="A269" s="2"/>
      <c r="B269" s="5"/>
      <c r="C269" s="2"/>
      <c r="D269" s="2"/>
      <c r="E269" s="2"/>
      <c r="F269" s="2"/>
      <c r="G269" s="2"/>
      <c r="H269" s="136">
        <v>210.0</v>
      </c>
      <c r="I269" s="128"/>
      <c r="J269" s="132"/>
      <c r="K269" s="137"/>
      <c r="L269" s="137"/>
      <c r="M269" s="137"/>
      <c r="N269" s="137"/>
      <c r="O269" s="137"/>
      <c r="P269" s="137">
        <f t="shared" ref="P269:AA269" si="195">if(and(J$261&gt;$H$268,J$261&lt;=$H$269),M$203,0)</f>
        <v>0</v>
      </c>
      <c r="Q269" s="137">
        <f t="shared" si="195"/>
        <v>0</v>
      </c>
      <c r="R269" s="137">
        <f t="shared" si="195"/>
        <v>0</v>
      </c>
      <c r="S269" s="137">
        <f t="shared" si="195"/>
        <v>0</v>
      </c>
      <c r="T269" s="137">
        <f t="shared" si="195"/>
        <v>0</v>
      </c>
      <c r="U269" s="137">
        <f t="shared" si="195"/>
        <v>0</v>
      </c>
      <c r="V269" s="137">
        <f t="shared" si="195"/>
        <v>0</v>
      </c>
      <c r="W269" s="137">
        <f t="shared" si="195"/>
        <v>0</v>
      </c>
      <c r="X269" s="137">
        <f t="shared" si="195"/>
        <v>0</v>
      </c>
      <c r="Y269" s="137">
        <f t="shared" si="195"/>
        <v>0</v>
      </c>
      <c r="Z269" s="137">
        <f t="shared" si="195"/>
        <v>0</v>
      </c>
      <c r="AA269" s="137">
        <f t="shared" si="195"/>
        <v>0</v>
      </c>
      <c r="AB269" s="2"/>
      <c r="AC269" s="2"/>
      <c r="AD269" s="2"/>
      <c r="AE269" s="2"/>
      <c r="AF269" s="2"/>
      <c r="AG269" s="2"/>
      <c r="AH269" s="2"/>
      <c r="AI269" s="5"/>
      <c r="AJ269" s="2"/>
      <c r="AK269" s="2"/>
      <c r="AL269" s="2"/>
      <c r="AM269" s="2"/>
      <c r="AN269" s="2"/>
      <c r="AO269" s="5"/>
      <c r="AP269" s="5"/>
      <c r="AQ269" s="5"/>
    </row>
    <row r="270">
      <c r="A270" s="2"/>
      <c r="B270" s="5"/>
      <c r="C270" s="2"/>
      <c r="D270" s="2"/>
      <c r="E270" s="2"/>
      <c r="F270" s="2"/>
      <c r="G270" s="2"/>
      <c r="H270" s="136">
        <v>240.0</v>
      </c>
      <c r="I270" s="128"/>
      <c r="J270" s="132"/>
      <c r="K270" s="137"/>
      <c r="L270" s="137"/>
      <c r="M270" s="137"/>
      <c r="N270" s="137"/>
      <c r="O270" s="137"/>
      <c r="P270" s="137"/>
      <c r="Q270" s="138">
        <f t="shared" ref="Q270:AB270" si="196">if(and(J$261&gt;$H$269,J$261&lt;=$H$270),M$203,0)</f>
        <v>57407.646</v>
      </c>
      <c r="R270" s="137">
        <f t="shared" si="196"/>
        <v>0</v>
      </c>
      <c r="S270" s="138">
        <f t="shared" si="196"/>
        <v>51869.412</v>
      </c>
      <c r="T270" s="138">
        <f t="shared" si="196"/>
        <v>28350.732</v>
      </c>
      <c r="U270" s="137">
        <f t="shared" si="196"/>
        <v>0</v>
      </c>
      <c r="V270" s="138">
        <f t="shared" si="196"/>
        <v>54455.934</v>
      </c>
      <c r="W270" s="138">
        <f t="shared" si="196"/>
        <v>15816.39</v>
      </c>
      <c r="X270" s="137">
        <f t="shared" si="196"/>
        <v>0</v>
      </c>
      <c r="Y270" s="138">
        <f t="shared" si="196"/>
        <v>42745.878</v>
      </c>
      <c r="Z270" s="138">
        <f t="shared" si="196"/>
        <v>17978.226</v>
      </c>
      <c r="AA270" s="137">
        <f t="shared" si="196"/>
        <v>0</v>
      </c>
      <c r="AB270" s="138">
        <f t="shared" si="196"/>
        <v>7159.5</v>
      </c>
      <c r="AC270" s="2"/>
      <c r="AD270" s="2"/>
      <c r="AE270" s="2"/>
      <c r="AF270" s="2"/>
      <c r="AG270" s="2"/>
      <c r="AH270" s="2"/>
      <c r="AI270" s="5"/>
      <c r="AJ270" s="2"/>
      <c r="AK270" s="2"/>
      <c r="AL270" s="2"/>
      <c r="AM270" s="2"/>
      <c r="AN270" s="2"/>
      <c r="AO270" s="5"/>
      <c r="AP270" s="5"/>
      <c r="AQ270" s="5"/>
    </row>
    <row r="271">
      <c r="A271" s="2"/>
      <c r="B271" s="5"/>
      <c r="C271" s="2"/>
      <c r="D271" s="2"/>
      <c r="E271" s="2"/>
      <c r="F271" s="2"/>
      <c r="G271" s="2"/>
      <c r="H271" s="136">
        <v>270.0</v>
      </c>
      <c r="I271" s="128"/>
      <c r="J271" s="132"/>
      <c r="K271" s="137"/>
      <c r="L271" s="137"/>
      <c r="M271" s="137"/>
      <c r="N271" s="137"/>
      <c r="O271" s="137"/>
      <c r="P271" s="137"/>
      <c r="Q271" s="137"/>
      <c r="R271" s="137">
        <f t="shared" ref="R271:AC271" si="197">if(and(J$261&gt;$H$270,J$261&lt;=$H$271),M$203,0)</f>
        <v>0</v>
      </c>
      <c r="S271" s="138">
        <f t="shared" si="197"/>
        <v>20923.278</v>
      </c>
      <c r="T271" s="137">
        <f t="shared" si="197"/>
        <v>0</v>
      </c>
      <c r="U271" s="137">
        <f t="shared" si="197"/>
        <v>0</v>
      </c>
      <c r="V271" s="138">
        <f t="shared" si="197"/>
        <v>43899.834</v>
      </c>
      <c r="W271" s="137">
        <f t="shared" si="197"/>
        <v>0</v>
      </c>
      <c r="X271" s="137">
        <f t="shared" si="197"/>
        <v>0</v>
      </c>
      <c r="Y271" s="138">
        <f t="shared" si="197"/>
        <v>15901.194</v>
      </c>
      <c r="Z271" s="137">
        <f t="shared" si="197"/>
        <v>0</v>
      </c>
      <c r="AA271" s="137">
        <f t="shared" si="197"/>
        <v>0</v>
      </c>
      <c r="AB271" s="138">
        <f t="shared" si="197"/>
        <v>18729.474</v>
      </c>
      <c r="AC271" s="137">
        <f t="shared" si="197"/>
        <v>0</v>
      </c>
      <c r="AD271" s="2"/>
      <c r="AE271" s="2"/>
      <c r="AF271" s="2"/>
      <c r="AG271" s="2"/>
      <c r="AH271" s="2"/>
      <c r="AI271" s="5"/>
      <c r="AJ271" s="2"/>
      <c r="AK271" s="2"/>
      <c r="AL271" s="2"/>
      <c r="AM271" s="2"/>
      <c r="AN271" s="2"/>
      <c r="AO271" s="5"/>
      <c r="AP271" s="5"/>
      <c r="AQ271" s="5"/>
    </row>
    <row r="272">
      <c r="A272" s="2"/>
      <c r="B272" s="5"/>
      <c r="C272" s="2"/>
      <c r="D272" s="2"/>
      <c r="E272" s="2"/>
      <c r="F272" s="2"/>
      <c r="G272" s="2"/>
      <c r="H272" s="136">
        <v>300.0</v>
      </c>
      <c r="I272" s="128"/>
      <c r="J272" s="132"/>
      <c r="K272" s="137"/>
      <c r="L272" s="137"/>
      <c r="M272" s="137"/>
      <c r="N272" s="137"/>
      <c r="O272" s="137"/>
      <c r="P272" s="137"/>
      <c r="Q272" s="137"/>
      <c r="R272" s="137"/>
      <c r="S272" s="137">
        <f t="shared" ref="S272:AD272" si="198">if(and(J$261&gt;$H$271,J$261&lt;=$H$272),M$203,0)</f>
        <v>0</v>
      </c>
      <c r="T272" s="137">
        <f t="shared" si="198"/>
        <v>0</v>
      </c>
      <c r="U272" s="137">
        <f t="shared" si="198"/>
        <v>0</v>
      </c>
      <c r="V272" s="137">
        <f t="shared" si="198"/>
        <v>0</v>
      </c>
      <c r="W272" s="137">
        <f t="shared" si="198"/>
        <v>0</v>
      </c>
      <c r="X272" s="137">
        <f t="shared" si="198"/>
        <v>0</v>
      </c>
      <c r="Y272" s="137">
        <f t="shared" si="198"/>
        <v>0</v>
      </c>
      <c r="Z272" s="137">
        <f t="shared" si="198"/>
        <v>0</v>
      </c>
      <c r="AA272" s="137">
        <f t="shared" si="198"/>
        <v>0</v>
      </c>
      <c r="AB272" s="137">
        <f t="shared" si="198"/>
        <v>0</v>
      </c>
      <c r="AC272" s="137">
        <f t="shared" si="198"/>
        <v>0</v>
      </c>
      <c r="AD272" s="137">
        <f t="shared" si="198"/>
        <v>0</v>
      </c>
      <c r="AE272" s="2"/>
      <c r="AF272" s="2"/>
      <c r="AG272" s="2"/>
      <c r="AH272" s="2"/>
      <c r="AI272" s="5"/>
      <c r="AJ272" s="2"/>
      <c r="AK272" s="2"/>
      <c r="AL272" s="2"/>
      <c r="AM272" s="2"/>
      <c r="AN272" s="2"/>
      <c r="AO272" s="5"/>
      <c r="AP272" s="5"/>
      <c r="AQ272" s="5"/>
    </row>
    <row r="273">
      <c r="A273" s="2"/>
      <c r="B273" s="5"/>
      <c r="C273" s="2"/>
      <c r="D273" s="2"/>
      <c r="E273" s="2"/>
      <c r="F273" s="2"/>
      <c r="G273" s="2"/>
      <c r="H273" s="136">
        <v>330.0</v>
      </c>
      <c r="I273" s="128"/>
      <c r="J273" s="132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>
        <f t="shared" ref="T273:AE273" si="199">if(and(J$261&gt;$H$272,J$261&lt;=$H$273),M$203,0)</f>
        <v>0</v>
      </c>
      <c r="U273" s="137">
        <f t="shared" si="199"/>
        <v>0</v>
      </c>
      <c r="V273" s="137">
        <f t="shared" si="199"/>
        <v>0</v>
      </c>
      <c r="W273" s="137">
        <f t="shared" si="199"/>
        <v>0</v>
      </c>
      <c r="X273" s="137">
        <f t="shared" si="199"/>
        <v>0</v>
      </c>
      <c r="Y273" s="137">
        <f t="shared" si="199"/>
        <v>0</v>
      </c>
      <c r="Z273" s="137">
        <f t="shared" si="199"/>
        <v>0</v>
      </c>
      <c r="AA273" s="137">
        <f t="shared" si="199"/>
        <v>0</v>
      </c>
      <c r="AB273" s="137">
        <f t="shared" si="199"/>
        <v>0</v>
      </c>
      <c r="AC273" s="137">
        <f t="shared" si="199"/>
        <v>0</v>
      </c>
      <c r="AD273" s="137">
        <f t="shared" si="199"/>
        <v>0</v>
      </c>
      <c r="AE273" s="137">
        <f t="shared" si="199"/>
        <v>0</v>
      </c>
      <c r="AF273" s="2"/>
      <c r="AG273" s="2"/>
      <c r="AH273" s="2"/>
      <c r="AI273" s="5"/>
      <c r="AJ273" s="2"/>
      <c r="AK273" s="2"/>
      <c r="AL273" s="2"/>
      <c r="AM273" s="2"/>
      <c r="AN273" s="2"/>
      <c r="AO273" s="5"/>
      <c r="AP273" s="5"/>
      <c r="AQ273" s="5"/>
    </row>
    <row r="274">
      <c r="A274" s="2"/>
      <c r="B274" s="5"/>
      <c r="C274" s="2"/>
      <c r="D274" s="2"/>
      <c r="E274" s="2"/>
      <c r="F274" s="2"/>
      <c r="G274" s="2"/>
      <c r="H274" s="136">
        <v>360.0</v>
      </c>
      <c r="I274" s="128"/>
      <c r="J274" s="132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>
        <f t="shared" ref="U274:AF274" si="200">if(and(J$261&gt;$H$273,J$261&lt;=$H$274),M$203,0)</f>
        <v>0</v>
      </c>
      <c r="V274" s="137">
        <f t="shared" si="200"/>
        <v>0</v>
      </c>
      <c r="W274" s="137">
        <f t="shared" si="200"/>
        <v>0</v>
      </c>
      <c r="X274" s="137">
        <f t="shared" si="200"/>
        <v>0</v>
      </c>
      <c r="Y274" s="137">
        <f t="shared" si="200"/>
        <v>0</v>
      </c>
      <c r="Z274" s="137">
        <f t="shared" si="200"/>
        <v>0</v>
      </c>
      <c r="AA274" s="137">
        <f t="shared" si="200"/>
        <v>0</v>
      </c>
      <c r="AB274" s="137">
        <f t="shared" si="200"/>
        <v>0</v>
      </c>
      <c r="AC274" s="137">
        <f t="shared" si="200"/>
        <v>0</v>
      </c>
      <c r="AD274" s="137">
        <f t="shared" si="200"/>
        <v>0</v>
      </c>
      <c r="AE274" s="137">
        <f t="shared" si="200"/>
        <v>0</v>
      </c>
      <c r="AF274" s="137">
        <f t="shared" si="200"/>
        <v>0</v>
      </c>
      <c r="AG274" s="2"/>
      <c r="AH274" s="2"/>
      <c r="AI274" s="5"/>
      <c r="AJ274" s="2"/>
      <c r="AK274" s="2"/>
      <c r="AL274" s="2"/>
      <c r="AM274" s="2"/>
      <c r="AN274" s="2"/>
      <c r="AO274" s="5"/>
      <c r="AP274" s="5"/>
      <c r="AQ274" s="5"/>
    </row>
    <row r="275">
      <c r="A275" s="2"/>
      <c r="B275" s="5"/>
      <c r="C275" s="2"/>
      <c r="D275" s="2"/>
      <c r="E275" s="2"/>
      <c r="F275" s="2"/>
      <c r="G275" s="2"/>
      <c r="H275" s="128"/>
      <c r="I275" s="128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0"/>
      <c r="W275" s="130"/>
      <c r="X275" s="130"/>
      <c r="Y275" s="130"/>
      <c r="Z275" s="130"/>
      <c r="AA275" s="130"/>
      <c r="AB275" s="2"/>
      <c r="AC275" s="2"/>
      <c r="AD275" s="2"/>
      <c r="AE275" s="2"/>
      <c r="AF275" s="2"/>
      <c r="AG275" s="2"/>
      <c r="AH275" s="2"/>
      <c r="AI275" s="5"/>
      <c r="AJ275" s="2"/>
      <c r="AK275" s="2"/>
      <c r="AL275" s="2"/>
      <c r="AM275" s="2"/>
      <c r="AN275" s="2"/>
      <c r="AO275" s="5"/>
      <c r="AP275" s="5"/>
      <c r="AQ275" s="5"/>
    </row>
    <row r="276">
      <c r="A276" s="2"/>
      <c r="B276" s="5"/>
      <c r="C276" s="2"/>
      <c r="D276" s="2"/>
      <c r="E276" s="2"/>
      <c r="F276" s="2"/>
      <c r="G276" s="2"/>
      <c r="H276" s="139"/>
      <c r="I276" s="139"/>
      <c r="J276" s="138">
        <f t="shared" ref="J276:AF276" si="201">sum(J263:J274)</f>
        <v>0</v>
      </c>
      <c r="K276" s="138">
        <f t="shared" si="201"/>
        <v>0</v>
      </c>
      <c r="L276" s="138">
        <f t="shared" si="201"/>
        <v>0</v>
      </c>
      <c r="M276" s="138">
        <f t="shared" si="201"/>
        <v>0</v>
      </c>
      <c r="N276" s="138">
        <f t="shared" si="201"/>
        <v>0</v>
      </c>
      <c r="O276" s="138">
        <f t="shared" si="201"/>
        <v>0</v>
      </c>
      <c r="P276" s="138">
        <f t="shared" si="201"/>
        <v>0</v>
      </c>
      <c r="Q276" s="138">
        <f t="shared" si="201"/>
        <v>57407.646</v>
      </c>
      <c r="R276" s="138">
        <f t="shared" si="201"/>
        <v>0</v>
      </c>
      <c r="S276" s="138">
        <f t="shared" si="201"/>
        <v>72792.69</v>
      </c>
      <c r="T276" s="138">
        <f t="shared" si="201"/>
        <v>28350.732</v>
      </c>
      <c r="U276" s="138">
        <f t="shared" si="201"/>
        <v>0</v>
      </c>
      <c r="V276" s="138">
        <f t="shared" si="201"/>
        <v>98355.768</v>
      </c>
      <c r="W276" s="138">
        <f t="shared" si="201"/>
        <v>15816.39</v>
      </c>
      <c r="X276" s="138">
        <f t="shared" si="201"/>
        <v>0</v>
      </c>
      <c r="Y276" s="138">
        <f t="shared" si="201"/>
        <v>58647.072</v>
      </c>
      <c r="Z276" s="138">
        <f t="shared" si="201"/>
        <v>17978.226</v>
      </c>
      <c r="AA276" s="138">
        <f t="shared" si="201"/>
        <v>0</v>
      </c>
      <c r="AB276" s="138">
        <f t="shared" si="201"/>
        <v>25888.974</v>
      </c>
      <c r="AC276" s="138">
        <f t="shared" si="201"/>
        <v>0</v>
      </c>
      <c r="AD276" s="138">
        <f t="shared" si="201"/>
        <v>0</v>
      </c>
      <c r="AE276" s="138">
        <f t="shared" si="201"/>
        <v>0</v>
      </c>
      <c r="AF276" s="138">
        <f t="shared" si="201"/>
        <v>0</v>
      </c>
      <c r="AG276" s="2"/>
      <c r="AH276" s="2"/>
      <c r="AI276" s="5"/>
      <c r="AJ276" s="2"/>
      <c r="AK276" s="2"/>
      <c r="AL276" s="2"/>
      <c r="AM276" s="2"/>
      <c r="AN276" s="2"/>
      <c r="AO276" s="5"/>
      <c r="AP276" s="5"/>
      <c r="AQ276" s="5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5"/>
      <c r="AJ277" s="2"/>
      <c r="AK277" s="2"/>
      <c r="AL277" s="2"/>
      <c r="AM277" s="2"/>
      <c r="AN277" s="2"/>
      <c r="AO277" s="5"/>
      <c r="AP277" s="5"/>
      <c r="AQ277" s="5"/>
    </row>
    <row r="278">
      <c r="A278" s="2"/>
      <c r="B278" s="5"/>
      <c r="C278" s="2"/>
      <c r="D278" s="3" t="s">
        <v>117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5"/>
      <c r="AJ278" s="2"/>
      <c r="AK278" s="2"/>
      <c r="AL278" s="2"/>
      <c r="AM278" s="2"/>
      <c r="AN278" s="2"/>
      <c r="AO278" s="5"/>
      <c r="AP278" s="5"/>
      <c r="AQ278" s="5"/>
    </row>
    <row r="279">
      <c r="A279" s="2"/>
      <c r="B279" s="5"/>
      <c r="C279" s="2"/>
      <c r="D279" s="3" t="s">
        <v>118</v>
      </c>
      <c r="E279" s="2"/>
      <c r="F279" s="2"/>
      <c r="G279" s="2"/>
      <c r="H279" s="2"/>
      <c r="I279" s="2"/>
      <c r="J279" s="3" t="s">
        <v>33</v>
      </c>
      <c r="K279" s="3" t="s">
        <v>34</v>
      </c>
      <c r="L279" s="3" t="s">
        <v>35</v>
      </c>
      <c r="M279" s="3" t="s">
        <v>36</v>
      </c>
      <c r="N279" s="3" t="s">
        <v>37</v>
      </c>
      <c r="O279" s="3" t="s">
        <v>38</v>
      </c>
      <c r="P279" s="3" t="s">
        <v>39</v>
      </c>
      <c r="Q279" s="3" t="s">
        <v>40</v>
      </c>
      <c r="R279" s="3" t="s">
        <v>41</v>
      </c>
      <c r="S279" s="3" t="s">
        <v>42</v>
      </c>
      <c r="T279" s="3" t="s">
        <v>43</v>
      </c>
      <c r="U279" s="3" t="s">
        <v>44</v>
      </c>
      <c r="V279" s="3" t="s">
        <v>33</v>
      </c>
      <c r="W279" s="3" t="s">
        <v>34</v>
      </c>
      <c r="X279" s="3" t="s">
        <v>35</v>
      </c>
      <c r="Y279" s="3" t="s">
        <v>36</v>
      </c>
      <c r="Z279" s="3" t="s">
        <v>37</v>
      </c>
      <c r="AA279" s="3" t="s">
        <v>38</v>
      </c>
      <c r="AB279" s="3" t="s">
        <v>39</v>
      </c>
      <c r="AC279" s="3" t="s">
        <v>40</v>
      </c>
      <c r="AD279" s="3" t="s">
        <v>41</v>
      </c>
      <c r="AE279" s="3" t="s">
        <v>42</v>
      </c>
      <c r="AF279" s="3" t="s">
        <v>43</v>
      </c>
      <c r="AG279" s="2"/>
      <c r="AH279" s="2"/>
      <c r="AI279" s="5"/>
      <c r="AJ279" s="2"/>
      <c r="AK279" s="2"/>
      <c r="AL279" s="2"/>
      <c r="AM279" s="2"/>
      <c r="AN279" s="2"/>
      <c r="AO279" s="5"/>
      <c r="AP279" s="5"/>
      <c r="AQ279" s="5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5"/>
      <c r="AJ280" s="2"/>
      <c r="AK280" s="2"/>
      <c r="AL280" s="2"/>
      <c r="AM280" s="2"/>
      <c r="AN280" s="2"/>
      <c r="AO280" s="5"/>
      <c r="AP280" s="5"/>
      <c r="AQ280" s="5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39">
        <f t="shared" ref="J281:AF281" si="202">J276+J258+J240+J222</f>
        <v>0</v>
      </c>
      <c r="K281" s="39">
        <f t="shared" si="202"/>
        <v>0</v>
      </c>
      <c r="L281" s="39">
        <f t="shared" si="202"/>
        <v>0</v>
      </c>
      <c r="M281" s="39">
        <f t="shared" si="202"/>
        <v>0</v>
      </c>
      <c r="N281" s="39">
        <f t="shared" si="202"/>
        <v>43020.75</v>
      </c>
      <c r="O281" s="39">
        <f t="shared" si="202"/>
        <v>92034.765</v>
      </c>
      <c r="P281" s="39">
        <f t="shared" si="202"/>
        <v>142143.546</v>
      </c>
      <c r="Q281" s="39">
        <f t="shared" si="202"/>
        <v>191624.976</v>
      </c>
      <c r="R281" s="39">
        <f t="shared" si="202"/>
        <v>151819.497</v>
      </c>
      <c r="S281" s="39">
        <f t="shared" si="202"/>
        <v>197542.74</v>
      </c>
      <c r="T281" s="39">
        <f t="shared" si="202"/>
        <v>193961.952</v>
      </c>
      <c r="U281" s="39">
        <f t="shared" si="202"/>
        <v>164679.489</v>
      </c>
      <c r="V281" s="39">
        <f t="shared" si="202"/>
        <v>167065.131</v>
      </c>
      <c r="W281" s="39">
        <f t="shared" si="202"/>
        <v>122129.085</v>
      </c>
      <c r="X281" s="39">
        <f t="shared" si="202"/>
        <v>108282.105</v>
      </c>
      <c r="Y281" s="39">
        <f t="shared" si="202"/>
        <v>96625.818</v>
      </c>
      <c r="Z281" s="39">
        <f t="shared" si="202"/>
        <v>60221.211</v>
      </c>
      <c r="AA281" s="39">
        <f t="shared" si="202"/>
        <v>40829.544</v>
      </c>
      <c r="AB281" s="39">
        <f t="shared" si="202"/>
        <v>25888.974</v>
      </c>
      <c r="AC281" s="39">
        <f t="shared" si="202"/>
        <v>0</v>
      </c>
      <c r="AD281" s="39">
        <f t="shared" si="202"/>
        <v>0</v>
      </c>
      <c r="AE281" s="39">
        <f t="shared" si="202"/>
        <v>0</v>
      </c>
      <c r="AF281" s="39">
        <f t="shared" si="202"/>
        <v>0</v>
      </c>
      <c r="AG281" s="2"/>
      <c r="AH281" s="2"/>
      <c r="AI281" s="5"/>
      <c r="AJ281" s="2"/>
      <c r="AK281" s="2"/>
      <c r="AL281" s="2"/>
      <c r="AM281" s="2"/>
      <c r="AN281" s="2"/>
      <c r="AO281" s="5"/>
      <c r="AP281" s="5"/>
      <c r="AQ281" s="5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5"/>
      <c r="AJ282" s="2"/>
      <c r="AK282" s="2"/>
      <c r="AL282" s="2"/>
      <c r="AM282" s="2"/>
      <c r="AN282" s="2"/>
      <c r="AO282" s="5"/>
      <c r="AP282" s="5"/>
      <c r="AQ282" s="5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5"/>
      <c r="AJ283" s="2"/>
      <c r="AK283" s="2"/>
      <c r="AL283" s="2"/>
      <c r="AM283" s="2"/>
      <c r="AN283" s="2"/>
      <c r="AO283" s="5"/>
      <c r="AP283" s="5"/>
      <c r="AQ283" s="5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5"/>
      <c r="AJ284" s="2"/>
      <c r="AK284" s="2"/>
      <c r="AL284" s="2"/>
      <c r="AM284" s="2"/>
      <c r="AN284" s="2"/>
      <c r="AO284" s="5"/>
      <c r="AP284" s="5"/>
      <c r="AQ284" s="5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5"/>
      <c r="AJ285" s="2"/>
      <c r="AK285" s="2"/>
      <c r="AL285" s="2"/>
      <c r="AM285" s="2"/>
      <c r="AN285" s="2"/>
      <c r="AO285" s="5"/>
      <c r="AP285" s="5"/>
      <c r="AQ285" s="5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5"/>
      <c r="AJ286" s="2"/>
      <c r="AK286" s="2"/>
      <c r="AL286" s="2"/>
      <c r="AM286" s="2"/>
      <c r="AN286" s="2"/>
      <c r="AO286" s="5"/>
      <c r="AP286" s="5"/>
      <c r="AQ286" s="5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5"/>
      <c r="AJ287" s="2"/>
      <c r="AK287" s="2"/>
      <c r="AL287" s="2"/>
      <c r="AM287" s="2"/>
      <c r="AN287" s="2"/>
      <c r="AO287" s="5"/>
      <c r="AP287" s="5"/>
      <c r="AQ287" s="5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5"/>
      <c r="AJ288" s="2"/>
      <c r="AK288" s="2"/>
      <c r="AL288" s="2"/>
      <c r="AM288" s="2"/>
      <c r="AN288" s="2"/>
      <c r="AO288" s="5"/>
      <c r="AP288" s="5"/>
      <c r="AQ288" s="5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5"/>
      <c r="AJ289" s="2"/>
      <c r="AK289" s="2"/>
      <c r="AL289" s="2"/>
      <c r="AM289" s="2"/>
      <c r="AN289" s="2"/>
      <c r="AO289" s="5"/>
      <c r="AP289" s="5"/>
      <c r="AQ289" s="5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5"/>
      <c r="AJ290" s="2"/>
      <c r="AK290" s="2"/>
      <c r="AL290" s="2"/>
      <c r="AM290" s="2"/>
      <c r="AN290" s="2"/>
      <c r="AO290" s="5"/>
      <c r="AP290" s="5"/>
      <c r="AQ290" s="5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5"/>
      <c r="AJ291" s="2"/>
      <c r="AK291" s="2"/>
      <c r="AL291" s="2"/>
      <c r="AM291" s="2"/>
      <c r="AN291" s="2"/>
      <c r="AO291" s="5"/>
      <c r="AP291" s="5"/>
      <c r="AQ291" s="5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5"/>
      <c r="AJ292" s="2"/>
      <c r="AK292" s="2"/>
      <c r="AL292" s="2"/>
      <c r="AM292" s="2"/>
      <c r="AN292" s="2"/>
      <c r="AO292" s="5"/>
      <c r="AP292" s="5"/>
      <c r="AQ292" s="5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5"/>
      <c r="AJ293" s="2"/>
      <c r="AK293" s="2"/>
      <c r="AL293" s="2"/>
      <c r="AM293" s="2"/>
      <c r="AN293" s="2"/>
      <c r="AO293" s="5"/>
      <c r="AP293" s="5"/>
      <c r="AQ293" s="5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5"/>
      <c r="AJ294" s="2"/>
      <c r="AK294" s="2"/>
      <c r="AL294" s="2"/>
      <c r="AM294" s="2"/>
      <c r="AN294" s="2"/>
      <c r="AO294" s="5"/>
      <c r="AP294" s="5"/>
      <c r="AQ294" s="5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5"/>
      <c r="AJ295" s="2"/>
      <c r="AK295" s="2"/>
      <c r="AL295" s="2"/>
      <c r="AM295" s="2"/>
      <c r="AN295" s="2"/>
      <c r="AO295" s="5"/>
      <c r="AP295" s="5"/>
      <c r="AQ295" s="5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5"/>
      <c r="AJ296" s="2"/>
      <c r="AK296" s="2"/>
      <c r="AL296" s="2"/>
      <c r="AM296" s="2"/>
      <c r="AN296" s="2"/>
      <c r="AO296" s="5"/>
      <c r="AP296" s="5"/>
      <c r="AQ296" s="5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5"/>
      <c r="AJ297" s="2"/>
      <c r="AK297" s="2"/>
      <c r="AL297" s="2"/>
      <c r="AM297" s="2"/>
      <c r="AN297" s="2"/>
      <c r="AO297" s="5"/>
      <c r="AP297" s="5"/>
      <c r="AQ297" s="5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5"/>
      <c r="AJ298" s="2"/>
      <c r="AK298" s="2"/>
      <c r="AL298" s="2"/>
      <c r="AM298" s="2"/>
      <c r="AN298" s="2"/>
      <c r="AO298" s="5"/>
      <c r="AP298" s="5"/>
      <c r="AQ298" s="5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5"/>
      <c r="AJ299" s="2"/>
      <c r="AK299" s="2"/>
      <c r="AL299" s="2"/>
      <c r="AM299" s="2"/>
      <c r="AN299" s="2"/>
      <c r="AO299" s="5"/>
      <c r="AP299" s="5"/>
      <c r="AQ299" s="5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5"/>
      <c r="AJ300" s="2"/>
      <c r="AK300" s="2"/>
      <c r="AL300" s="2"/>
      <c r="AM300" s="2"/>
      <c r="AN300" s="2"/>
      <c r="AO300" s="5"/>
      <c r="AP300" s="5"/>
      <c r="AQ300" s="5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5"/>
      <c r="AJ301" s="2"/>
      <c r="AK301" s="2"/>
      <c r="AL301" s="2"/>
      <c r="AM301" s="2"/>
      <c r="AN301" s="2"/>
      <c r="AO301" s="5"/>
      <c r="AP301" s="5"/>
      <c r="AQ301" s="5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5"/>
      <c r="AJ302" s="2"/>
      <c r="AK302" s="2"/>
      <c r="AL302" s="2"/>
      <c r="AM302" s="2"/>
      <c r="AN302" s="2"/>
      <c r="AO302" s="5"/>
      <c r="AP302" s="5"/>
      <c r="AQ302" s="5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5"/>
      <c r="AJ303" s="2"/>
      <c r="AK303" s="2"/>
      <c r="AL303" s="2"/>
      <c r="AM303" s="2"/>
      <c r="AN303" s="2"/>
      <c r="AO303" s="5"/>
      <c r="AP303" s="5"/>
      <c r="AQ303" s="5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5"/>
      <c r="AJ304" s="2"/>
      <c r="AK304" s="2"/>
      <c r="AL304" s="2"/>
      <c r="AM304" s="2"/>
      <c r="AN304" s="2"/>
      <c r="AO304" s="5"/>
      <c r="AP304" s="5"/>
      <c r="AQ304" s="5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5"/>
      <c r="AJ305" s="2"/>
      <c r="AK305" s="2"/>
      <c r="AL305" s="2"/>
      <c r="AM305" s="2"/>
      <c r="AN305" s="2"/>
      <c r="AO305" s="5"/>
      <c r="AP305" s="5"/>
      <c r="AQ305" s="5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5"/>
      <c r="AJ306" s="2"/>
      <c r="AK306" s="2"/>
      <c r="AL306" s="2"/>
      <c r="AM306" s="2"/>
      <c r="AN306" s="2"/>
      <c r="AO306" s="5"/>
      <c r="AP306" s="5"/>
      <c r="AQ306" s="5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5"/>
      <c r="AJ307" s="2"/>
      <c r="AK307" s="2"/>
      <c r="AL307" s="2"/>
      <c r="AM307" s="2"/>
      <c r="AN307" s="2"/>
      <c r="AO307" s="5"/>
      <c r="AP307" s="5"/>
      <c r="AQ307" s="5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5"/>
      <c r="AJ308" s="2"/>
      <c r="AK308" s="2"/>
      <c r="AL308" s="2"/>
      <c r="AM308" s="2"/>
      <c r="AN308" s="2"/>
      <c r="AO308" s="5"/>
      <c r="AP308" s="5"/>
      <c r="AQ308" s="5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5"/>
      <c r="AJ309" s="2"/>
      <c r="AK309" s="2"/>
      <c r="AL309" s="2"/>
      <c r="AM309" s="2"/>
      <c r="AN309" s="2"/>
      <c r="AO309" s="5"/>
      <c r="AP309" s="5"/>
      <c r="AQ309" s="5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5"/>
      <c r="AJ310" s="2"/>
      <c r="AK310" s="2"/>
      <c r="AL310" s="2"/>
      <c r="AM310" s="2"/>
      <c r="AN310" s="2"/>
      <c r="AO310" s="5"/>
      <c r="AP310" s="5"/>
      <c r="AQ310" s="5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5"/>
      <c r="AJ311" s="2"/>
      <c r="AK311" s="2"/>
      <c r="AL311" s="2"/>
      <c r="AM311" s="2"/>
      <c r="AN311" s="2"/>
      <c r="AO311" s="5"/>
      <c r="AP311" s="5"/>
      <c r="AQ311" s="5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5"/>
      <c r="AJ312" s="2"/>
      <c r="AK312" s="2"/>
      <c r="AL312" s="2"/>
      <c r="AM312" s="2"/>
      <c r="AN312" s="2"/>
      <c r="AO312" s="5"/>
      <c r="AP312" s="5"/>
      <c r="AQ312" s="5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5"/>
      <c r="AJ313" s="2"/>
      <c r="AK313" s="2"/>
      <c r="AL313" s="2"/>
      <c r="AM313" s="2"/>
      <c r="AN313" s="2"/>
      <c r="AO313" s="5"/>
      <c r="AP313" s="5"/>
      <c r="AQ313" s="5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5"/>
      <c r="AJ314" s="2"/>
      <c r="AK314" s="2"/>
      <c r="AL314" s="2"/>
      <c r="AM314" s="2"/>
      <c r="AN314" s="2"/>
      <c r="AO314" s="5"/>
      <c r="AP314" s="5"/>
      <c r="AQ314" s="5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5"/>
      <c r="AJ315" s="2"/>
      <c r="AK315" s="2"/>
      <c r="AL315" s="2"/>
      <c r="AM315" s="2"/>
      <c r="AN315" s="2"/>
      <c r="AO315" s="5"/>
      <c r="AP315" s="5"/>
      <c r="AQ315" s="5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5"/>
      <c r="AJ316" s="2"/>
      <c r="AK316" s="2"/>
      <c r="AL316" s="2"/>
      <c r="AM316" s="2"/>
      <c r="AN316" s="2"/>
      <c r="AO316" s="5"/>
      <c r="AP316" s="5"/>
      <c r="AQ316" s="5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5"/>
      <c r="AJ317" s="2"/>
      <c r="AK317" s="2"/>
      <c r="AL317" s="2"/>
      <c r="AM317" s="2"/>
      <c r="AN317" s="2"/>
      <c r="AO317" s="5"/>
      <c r="AP317" s="5"/>
      <c r="AQ317" s="5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5"/>
      <c r="AJ318" s="2"/>
      <c r="AK318" s="2"/>
      <c r="AL318" s="2"/>
      <c r="AM318" s="2"/>
      <c r="AN318" s="2"/>
      <c r="AO318" s="5"/>
      <c r="AP318" s="5"/>
      <c r="AQ318" s="5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5"/>
      <c r="AJ319" s="2"/>
      <c r="AK319" s="2"/>
      <c r="AL319" s="2"/>
      <c r="AM319" s="2"/>
      <c r="AN319" s="2"/>
      <c r="AO319" s="5"/>
      <c r="AP319" s="5"/>
      <c r="AQ319" s="5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5"/>
      <c r="AJ320" s="2"/>
      <c r="AK320" s="2"/>
      <c r="AL320" s="2"/>
      <c r="AM320" s="2"/>
      <c r="AN320" s="2"/>
      <c r="AO320" s="5"/>
      <c r="AP320" s="5"/>
      <c r="AQ320" s="5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5"/>
      <c r="AJ321" s="2"/>
      <c r="AK321" s="2"/>
      <c r="AL321" s="2"/>
      <c r="AM321" s="2"/>
      <c r="AN321" s="2"/>
      <c r="AO321" s="5"/>
      <c r="AP321" s="5"/>
      <c r="AQ321" s="5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5"/>
      <c r="AJ322" s="2"/>
      <c r="AK322" s="2"/>
      <c r="AL322" s="2"/>
      <c r="AM322" s="2"/>
      <c r="AN322" s="2"/>
      <c r="AO322" s="5"/>
      <c r="AP322" s="5"/>
      <c r="AQ322" s="5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5"/>
      <c r="AJ323" s="2"/>
      <c r="AK323" s="2"/>
      <c r="AL323" s="2"/>
      <c r="AM323" s="2"/>
      <c r="AN323" s="2"/>
      <c r="AO323" s="5"/>
      <c r="AP323" s="5"/>
      <c r="AQ323" s="5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5"/>
      <c r="AJ324" s="2"/>
      <c r="AK324" s="2"/>
      <c r="AL324" s="2"/>
      <c r="AM324" s="2"/>
      <c r="AN324" s="2"/>
      <c r="AO324" s="5"/>
      <c r="AP324" s="5"/>
      <c r="AQ324" s="5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5"/>
      <c r="AJ325" s="2"/>
      <c r="AK325" s="2"/>
      <c r="AL325" s="2"/>
      <c r="AM325" s="2"/>
      <c r="AN325" s="2"/>
      <c r="AO325" s="5"/>
      <c r="AP325" s="5"/>
      <c r="AQ325" s="5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5"/>
      <c r="AJ326" s="2"/>
      <c r="AK326" s="2"/>
      <c r="AL326" s="2"/>
      <c r="AM326" s="2"/>
      <c r="AN326" s="2"/>
      <c r="AO326" s="5"/>
      <c r="AP326" s="5"/>
      <c r="AQ326" s="5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5"/>
      <c r="AJ327" s="2"/>
      <c r="AK327" s="2"/>
      <c r="AL327" s="2"/>
      <c r="AM327" s="2"/>
      <c r="AN327" s="2"/>
      <c r="AO327" s="5"/>
      <c r="AP327" s="5"/>
      <c r="AQ327" s="5"/>
    </row>
    <row r="328">
      <c r="A328" s="2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5"/>
      <c r="W328" s="7"/>
      <c r="X328" s="7"/>
      <c r="Y328" s="7"/>
      <c r="Z328" s="5"/>
      <c r="AA328" s="7"/>
      <c r="AB328" s="7"/>
      <c r="AC328" s="7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5"/>
      <c r="W329" s="7"/>
      <c r="X329" s="7"/>
      <c r="Y329" s="7"/>
      <c r="Z329" s="5"/>
      <c r="AA329" s="7"/>
      <c r="AB329" s="7"/>
      <c r="AC329" s="7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5"/>
      <c r="W330" s="7"/>
      <c r="X330" s="7"/>
      <c r="Y330" s="7"/>
      <c r="Z330" s="5"/>
      <c r="AA330" s="7"/>
      <c r="AB330" s="7"/>
      <c r="AC330" s="7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5"/>
      <c r="W331" s="7"/>
      <c r="X331" s="7"/>
      <c r="Y331" s="7"/>
      <c r="Z331" s="5"/>
      <c r="AA331" s="7"/>
      <c r="AB331" s="7"/>
      <c r="AC331" s="7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5"/>
      <c r="W332" s="7"/>
      <c r="X332" s="7"/>
      <c r="Y332" s="7"/>
      <c r="Z332" s="5"/>
      <c r="AA332" s="7"/>
      <c r="AB332" s="7"/>
      <c r="AC332" s="7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5"/>
      <c r="W333" s="7"/>
      <c r="X333" s="7"/>
      <c r="Y333" s="7"/>
      <c r="Z333" s="5"/>
      <c r="AA333" s="7"/>
      <c r="AB333" s="7"/>
      <c r="AC333" s="7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5"/>
      <c r="W334" s="7"/>
      <c r="X334" s="7"/>
      <c r="Y334" s="7"/>
      <c r="Z334" s="5"/>
      <c r="AA334" s="7"/>
      <c r="AB334" s="7"/>
      <c r="AC334" s="7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5"/>
      <c r="W335" s="7"/>
      <c r="X335" s="7"/>
      <c r="Y335" s="7"/>
      <c r="Z335" s="5"/>
      <c r="AA335" s="7"/>
      <c r="AB335" s="7"/>
      <c r="AC335" s="7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5"/>
      <c r="W336" s="7"/>
      <c r="X336" s="7"/>
      <c r="Y336" s="7"/>
      <c r="Z336" s="5"/>
      <c r="AA336" s="7"/>
      <c r="AB336" s="7"/>
      <c r="AC336" s="7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5"/>
      <c r="W337" s="7"/>
      <c r="X337" s="7"/>
      <c r="Y337" s="7"/>
      <c r="Z337" s="5"/>
      <c r="AA337" s="7"/>
      <c r="AB337" s="7"/>
      <c r="AC337" s="7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5"/>
      <c r="W338" s="7"/>
      <c r="X338" s="7"/>
      <c r="Y338" s="7"/>
      <c r="Z338" s="5"/>
      <c r="AA338" s="7"/>
      <c r="AB338" s="7"/>
      <c r="AC338" s="7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5"/>
      <c r="W339" s="7"/>
      <c r="X339" s="7"/>
      <c r="Y339" s="7"/>
      <c r="Z339" s="5"/>
      <c r="AA339" s="7"/>
      <c r="AB339" s="7"/>
      <c r="AC339" s="7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5"/>
      <c r="W340" s="7"/>
      <c r="X340" s="7"/>
      <c r="Y340" s="7"/>
      <c r="Z340" s="5"/>
      <c r="AA340" s="7"/>
      <c r="AB340" s="7"/>
      <c r="AC340" s="7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5"/>
      <c r="W341" s="7"/>
      <c r="X341" s="7"/>
      <c r="Y341" s="7"/>
      <c r="Z341" s="5"/>
      <c r="AA341" s="7"/>
      <c r="AB341" s="7"/>
      <c r="AC341" s="7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5"/>
      <c r="W342" s="7"/>
      <c r="X342" s="7"/>
      <c r="Y342" s="7"/>
      <c r="Z342" s="5"/>
      <c r="AA342" s="7"/>
      <c r="AB342" s="7"/>
      <c r="AC342" s="7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5"/>
      <c r="W343" s="7"/>
      <c r="X343" s="7"/>
      <c r="Y343" s="7"/>
      <c r="Z343" s="5"/>
      <c r="AA343" s="7"/>
      <c r="AB343" s="7"/>
      <c r="AC343" s="7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5"/>
      <c r="W344" s="7"/>
      <c r="X344" s="7"/>
      <c r="Y344" s="7"/>
      <c r="Z344" s="5"/>
      <c r="AA344" s="7"/>
      <c r="AB344" s="7"/>
      <c r="AC344" s="7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5"/>
      <c r="W345" s="7"/>
      <c r="X345" s="7"/>
      <c r="Y345" s="7"/>
      <c r="Z345" s="5"/>
      <c r="AA345" s="7"/>
      <c r="AB345" s="7"/>
      <c r="AC345" s="7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5"/>
      <c r="W346" s="7"/>
      <c r="X346" s="7"/>
      <c r="Y346" s="7"/>
      <c r="Z346" s="5"/>
      <c r="AA346" s="7"/>
      <c r="AB346" s="7"/>
      <c r="AC346" s="7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5"/>
      <c r="W347" s="7"/>
      <c r="X347" s="7"/>
      <c r="Y347" s="7"/>
      <c r="Z347" s="5"/>
      <c r="AA347" s="7"/>
      <c r="AB347" s="7"/>
      <c r="AC347" s="7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5"/>
      <c r="W348" s="7"/>
      <c r="X348" s="7"/>
      <c r="Y348" s="7"/>
      <c r="Z348" s="5"/>
      <c r="AA348" s="7"/>
      <c r="AB348" s="7"/>
      <c r="AC348" s="7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5"/>
      <c r="W349" s="7"/>
      <c r="X349" s="7"/>
      <c r="Y349" s="7"/>
      <c r="Z349" s="5"/>
      <c r="AA349" s="7"/>
      <c r="AB349" s="7"/>
      <c r="AC349" s="7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5"/>
      <c r="W350" s="7"/>
      <c r="X350" s="7"/>
      <c r="Y350" s="7"/>
      <c r="Z350" s="5"/>
      <c r="AA350" s="7"/>
      <c r="AB350" s="7"/>
      <c r="AC350" s="7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5"/>
      <c r="W351" s="7"/>
      <c r="X351" s="7"/>
      <c r="Y351" s="7"/>
      <c r="Z351" s="5"/>
      <c r="AA351" s="7"/>
      <c r="AB351" s="7"/>
      <c r="AC351" s="7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5"/>
      <c r="W352" s="7"/>
      <c r="X352" s="7"/>
      <c r="Y352" s="7"/>
      <c r="Z352" s="5"/>
      <c r="AA352" s="7"/>
      <c r="AB352" s="7"/>
      <c r="AC352" s="7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5"/>
      <c r="W353" s="7"/>
      <c r="X353" s="7"/>
      <c r="Y353" s="7"/>
      <c r="Z353" s="5"/>
      <c r="AA353" s="7"/>
      <c r="AB353" s="7"/>
      <c r="AC353" s="7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5"/>
      <c r="W354" s="7"/>
      <c r="X354" s="7"/>
      <c r="Y354" s="7"/>
      <c r="Z354" s="5"/>
      <c r="AA354" s="7"/>
      <c r="AB354" s="7"/>
      <c r="AC354" s="7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5"/>
      <c r="W355" s="7"/>
      <c r="X355" s="7"/>
      <c r="Y355" s="7"/>
      <c r="Z355" s="5"/>
      <c r="AA355" s="7"/>
      <c r="AB355" s="7"/>
      <c r="AC355" s="7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5"/>
      <c r="W356" s="7"/>
      <c r="X356" s="7"/>
      <c r="Y356" s="7"/>
      <c r="Z356" s="5"/>
      <c r="AA356" s="7"/>
      <c r="AB356" s="7"/>
      <c r="AC356" s="7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5"/>
      <c r="W357" s="7"/>
      <c r="X357" s="7"/>
      <c r="Y357" s="7"/>
      <c r="Z357" s="5"/>
      <c r="AA357" s="7"/>
      <c r="AB357" s="7"/>
      <c r="AC357" s="7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5"/>
      <c r="W358" s="7"/>
      <c r="X358" s="7"/>
      <c r="Y358" s="7"/>
      <c r="Z358" s="5"/>
      <c r="AA358" s="7"/>
      <c r="AB358" s="7"/>
      <c r="AC358" s="7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5"/>
      <c r="W359" s="7"/>
      <c r="X359" s="7"/>
      <c r="Y359" s="7"/>
      <c r="Z359" s="5"/>
      <c r="AA359" s="7"/>
      <c r="AB359" s="7"/>
      <c r="AC359" s="7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5"/>
      <c r="W360" s="7"/>
      <c r="X360" s="7"/>
      <c r="Y360" s="7"/>
      <c r="Z360" s="5"/>
      <c r="AA360" s="7"/>
      <c r="AB360" s="7"/>
      <c r="AC360" s="7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5"/>
      <c r="W361" s="7"/>
      <c r="X361" s="7"/>
      <c r="Y361" s="7"/>
      <c r="Z361" s="5"/>
      <c r="AA361" s="7"/>
      <c r="AB361" s="7"/>
      <c r="AC361" s="7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5"/>
      <c r="W362" s="7"/>
      <c r="X362" s="7"/>
      <c r="Y362" s="7"/>
      <c r="Z362" s="5"/>
      <c r="AA362" s="7"/>
      <c r="AB362" s="7"/>
      <c r="AC362" s="7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5"/>
      <c r="W363" s="7"/>
      <c r="X363" s="7"/>
      <c r="Y363" s="7"/>
      <c r="Z363" s="5"/>
      <c r="AA363" s="7"/>
      <c r="AB363" s="7"/>
      <c r="AC363" s="7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5"/>
      <c r="W364" s="7"/>
      <c r="X364" s="7"/>
      <c r="Y364" s="7"/>
      <c r="Z364" s="5"/>
      <c r="AA364" s="7"/>
      <c r="AB364" s="7"/>
      <c r="AC364" s="7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5"/>
      <c r="W365" s="7"/>
      <c r="X365" s="7"/>
      <c r="Y365" s="7"/>
      <c r="Z365" s="5"/>
      <c r="AA365" s="7"/>
      <c r="AB365" s="7"/>
      <c r="AC365" s="7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5"/>
      <c r="W366" s="7"/>
      <c r="X366" s="7"/>
      <c r="Y366" s="7"/>
      <c r="Z366" s="5"/>
      <c r="AA366" s="7"/>
      <c r="AB366" s="7"/>
      <c r="AC366" s="7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5"/>
      <c r="W367" s="7"/>
      <c r="X367" s="7"/>
      <c r="Y367" s="7"/>
      <c r="Z367" s="5"/>
      <c r="AA367" s="7"/>
      <c r="AB367" s="7"/>
      <c r="AC367" s="7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5"/>
      <c r="W368" s="7"/>
      <c r="X368" s="7"/>
      <c r="Y368" s="7"/>
      <c r="Z368" s="5"/>
      <c r="AA368" s="7"/>
      <c r="AB368" s="7"/>
      <c r="AC368" s="7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5"/>
      <c r="W369" s="7"/>
      <c r="X369" s="7"/>
      <c r="Y369" s="7"/>
      <c r="Z369" s="5"/>
      <c r="AA369" s="7"/>
      <c r="AB369" s="7"/>
      <c r="AC369" s="7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5"/>
      <c r="W370" s="7"/>
      <c r="X370" s="7"/>
      <c r="Y370" s="7"/>
      <c r="Z370" s="5"/>
      <c r="AA370" s="7"/>
      <c r="AB370" s="7"/>
      <c r="AC370" s="7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5"/>
      <c r="W371" s="7"/>
      <c r="X371" s="7"/>
      <c r="Y371" s="7"/>
      <c r="Z371" s="5"/>
      <c r="AA371" s="7"/>
      <c r="AB371" s="7"/>
      <c r="AC371" s="7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5"/>
      <c r="W372" s="7"/>
      <c r="X372" s="7"/>
      <c r="Y372" s="7"/>
      <c r="Z372" s="5"/>
      <c r="AA372" s="7"/>
      <c r="AB372" s="7"/>
      <c r="AC372" s="7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5"/>
      <c r="W373" s="7"/>
      <c r="X373" s="7"/>
      <c r="Y373" s="7"/>
      <c r="Z373" s="5"/>
      <c r="AA373" s="7"/>
      <c r="AB373" s="7"/>
      <c r="AC373" s="7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5"/>
      <c r="W374" s="7"/>
      <c r="X374" s="7"/>
      <c r="Y374" s="7"/>
      <c r="Z374" s="5"/>
      <c r="AA374" s="7"/>
      <c r="AB374" s="7"/>
      <c r="AC374" s="7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5"/>
      <c r="W375" s="7"/>
      <c r="X375" s="7"/>
      <c r="Y375" s="7"/>
      <c r="Z375" s="5"/>
      <c r="AA375" s="7"/>
      <c r="AB375" s="7"/>
      <c r="AC375" s="7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5"/>
      <c r="W376" s="7"/>
      <c r="X376" s="7"/>
      <c r="Y376" s="7"/>
      <c r="Z376" s="5"/>
      <c r="AA376" s="7"/>
      <c r="AB376" s="7"/>
      <c r="AC376" s="7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5"/>
      <c r="W377" s="7"/>
      <c r="X377" s="7"/>
      <c r="Y377" s="7"/>
      <c r="Z377" s="5"/>
      <c r="AA377" s="7"/>
      <c r="AB377" s="7"/>
      <c r="AC377" s="7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5"/>
      <c r="W378" s="7"/>
      <c r="X378" s="7"/>
      <c r="Y378" s="7"/>
      <c r="Z378" s="5"/>
      <c r="AA378" s="7"/>
      <c r="AB378" s="7"/>
      <c r="AC378" s="7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5"/>
      <c r="W379" s="7"/>
      <c r="X379" s="7"/>
      <c r="Y379" s="7"/>
      <c r="Z379" s="5"/>
      <c r="AA379" s="7"/>
      <c r="AB379" s="7"/>
      <c r="AC379" s="7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5"/>
      <c r="W380" s="7"/>
      <c r="X380" s="7"/>
      <c r="Y380" s="7"/>
      <c r="Z380" s="5"/>
      <c r="AA380" s="7"/>
      <c r="AB380" s="7"/>
      <c r="AC380" s="7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5"/>
      <c r="W381" s="7"/>
      <c r="X381" s="7"/>
      <c r="Y381" s="7"/>
      <c r="Z381" s="5"/>
      <c r="AA381" s="7"/>
      <c r="AB381" s="7"/>
      <c r="AC381" s="7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5"/>
      <c r="W382" s="7"/>
      <c r="X382" s="7"/>
      <c r="Y382" s="7"/>
      <c r="Z382" s="5"/>
      <c r="AA382" s="7"/>
      <c r="AB382" s="7"/>
      <c r="AC382" s="7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5"/>
      <c r="W383" s="7"/>
      <c r="X383" s="7"/>
      <c r="Y383" s="7"/>
      <c r="Z383" s="5"/>
      <c r="AA383" s="7"/>
      <c r="AB383" s="7"/>
      <c r="AC383" s="7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5"/>
      <c r="W384" s="7"/>
      <c r="X384" s="7"/>
      <c r="Y384" s="7"/>
      <c r="Z384" s="5"/>
      <c r="AA384" s="7"/>
      <c r="AB384" s="7"/>
      <c r="AC384" s="7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5"/>
      <c r="W385" s="7"/>
      <c r="X385" s="7"/>
      <c r="Y385" s="7"/>
      <c r="Z385" s="5"/>
      <c r="AA385" s="7"/>
      <c r="AB385" s="7"/>
      <c r="AC385" s="7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5"/>
      <c r="W386" s="7"/>
      <c r="X386" s="7"/>
      <c r="Y386" s="7"/>
      <c r="Z386" s="5"/>
      <c r="AA386" s="7"/>
      <c r="AB386" s="7"/>
      <c r="AC386" s="7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5"/>
      <c r="W387" s="7"/>
      <c r="X387" s="7"/>
      <c r="Y387" s="7"/>
      <c r="Z387" s="5"/>
      <c r="AA387" s="7"/>
      <c r="AB387" s="7"/>
      <c r="AC387" s="7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5"/>
      <c r="W388" s="7"/>
      <c r="X388" s="7"/>
      <c r="Y388" s="7"/>
      <c r="Z388" s="5"/>
      <c r="AA388" s="7"/>
      <c r="AB388" s="7"/>
      <c r="AC388" s="7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5"/>
      <c r="W389" s="7"/>
      <c r="X389" s="7"/>
      <c r="Y389" s="7"/>
      <c r="Z389" s="5"/>
      <c r="AA389" s="7"/>
      <c r="AB389" s="7"/>
      <c r="AC389" s="7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5"/>
      <c r="W390" s="7"/>
      <c r="X390" s="7"/>
      <c r="Y390" s="7"/>
      <c r="Z390" s="5"/>
      <c r="AA390" s="7"/>
      <c r="AB390" s="7"/>
      <c r="AC390" s="7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5"/>
      <c r="W391" s="7"/>
      <c r="X391" s="7"/>
      <c r="Y391" s="7"/>
      <c r="Z391" s="5"/>
      <c r="AA391" s="7"/>
      <c r="AB391" s="7"/>
      <c r="AC391" s="7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5"/>
      <c r="W392" s="7"/>
      <c r="X392" s="7"/>
      <c r="Y392" s="7"/>
      <c r="Z392" s="5"/>
      <c r="AA392" s="7"/>
      <c r="AB392" s="7"/>
      <c r="AC392" s="7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5"/>
      <c r="W393" s="7"/>
      <c r="X393" s="7"/>
      <c r="Y393" s="7"/>
      <c r="Z393" s="5"/>
      <c r="AA393" s="7"/>
      <c r="AB393" s="7"/>
      <c r="AC393" s="7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5"/>
      <c r="W394" s="7"/>
      <c r="X394" s="7"/>
      <c r="Y394" s="7"/>
      <c r="Z394" s="5"/>
      <c r="AA394" s="7"/>
      <c r="AB394" s="7"/>
      <c r="AC394" s="7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5"/>
      <c r="W395" s="7"/>
      <c r="X395" s="7"/>
      <c r="Y395" s="7"/>
      <c r="Z395" s="5"/>
      <c r="AA395" s="7"/>
      <c r="AB395" s="7"/>
      <c r="AC395" s="7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5"/>
      <c r="W396" s="7"/>
      <c r="X396" s="7"/>
      <c r="Y396" s="7"/>
      <c r="Z396" s="5"/>
      <c r="AA396" s="7"/>
      <c r="AB396" s="7"/>
      <c r="AC396" s="7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5"/>
      <c r="W397" s="7"/>
      <c r="X397" s="7"/>
      <c r="Y397" s="7"/>
      <c r="Z397" s="5"/>
      <c r="AA397" s="7"/>
      <c r="AB397" s="7"/>
      <c r="AC397" s="7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5"/>
      <c r="W398" s="7"/>
      <c r="X398" s="7"/>
      <c r="Y398" s="7"/>
      <c r="Z398" s="5"/>
      <c r="AA398" s="7"/>
      <c r="AB398" s="7"/>
      <c r="AC398" s="7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5"/>
      <c r="W399" s="7"/>
      <c r="X399" s="7"/>
      <c r="Y399" s="7"/>
      <c r="Z399" s="5"/>
      <c r="AA399" s="7"/>
      <c r="AB399" s="7"/>
      <c r="AC399" s="7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5"/>
      <c r="W400" s="7"/>
      <c r="X400" s="7"/>
      <c r="Y400" s="7"/>
      <c r="Z400" s="5"/>
      <c r="AA400" s="7"/>
      <c r="AB400" s="7"/>
      <c r="AC400" s="7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5"/>
      <c r="W401" s="7"/>
      <c r="X401" s="7"/>
      <c r="Y401" s="7"/>
      <c r="Z401" s="5"/>
      <c r="AA401" s="7"/>
      <c r="AB401" s="7"/>
      <c r="AC401" s="7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5"/>
      <c r="W402" s="7"/>
      <c r="X402" s="7"/>
      <c r="Y402" s="7"/>
      <c r="Z402" s="5"/>
      <c r="AA402" s="7"/>
      <c r="AB402" s="7"/>
      <c r="AC402" s="7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5"/>
      <c r="W403" s="7"/>
      <c r="X403" s="7"/>
      <c r="Y403" s="7"/>
      <c r="Z403" s="5"/>
      <c r="AA403" s="7"/>
      <c r="AB403" s="7"/>
      <c r="AC403" s="7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5"/>
      <c r="W404" s="7"/>
      <c r="X404" s="7"/>
      <c r="Y404" s="7"/>
      <c r="Z404" s="5"/>
      <c r="AA404" s="7"/>
      <c r="AB404" s="7"/>
      <c r="AC404" s="7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5"/>
      <c r="W405" s="7"/>
      <c r="X405" s="7"/>
      <c r="Y405" s="7"/>
      <c r="Z405" s="5"/>
      <c r="AA405" s="7"/>
      <c r="AB405" s="7"/>
      <c r="AC405" s="7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5"/>
      <c r="W406" s="7"/>
      <c r="X406" s="7"/>
      <c r="Y406" s="7"/>
      <c r="Z406" s="5"/>
      <c r="AA406" s="7"/>
      <c r="AB406" s="7"/>
      <c r="AC406" s="7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5"/>
      <c r="W407" s="7"/>
      <c r="X407" s="7"/>
      <c r="Y407" s="7"/>
      <c r="Z407" s="5"/>
      <c r="AA407" s="7"/>
      <c r="AB407" s="7"/>
      <c r="AC407" s="7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5"/>
      <c r="W408" s="7"/>
      <c r="X408" s="7"/>
      <c r="Y408" s="7"/>
      <c r="Z408" s="5"/>
      <c r="AA408" s="7"/>
      <c r="AB408" s="7"/>
      <c r="AC408" s="7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5"/>
      <c r="W409" s="7"/>
      <c r="X409" s="7"/>
      <c r="Y409" s="7"/>
      <c r="Z409" s="5"/>
      <c r="AA409" s="7"/>
      <c r="AB409" s="7"/>
      <c r="AC409" s="7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5"/>
      <c r="W410" s="7"/>
      <c r="X410" s="7"/>
      <c r="Y410" s="7"/>
      <c r="Z410" s="5"/>
      <c r="AA410" s="7"/>
      <c r="AB410" s="7"/>
      <c r="AC410" s="7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5"/>
      <c r="W411" s="7"/>
      <c r="X411" s="7"/>
      <c r="Y411" s="7"/>
      <c r="Z411" s="5"/>
      <c r="AA411" s="7"/>
      <c r="AB411" s="7"/>
      <c r="AC411" s="7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5"/>
      <c r="W412" s="7"/>
      <c r="X412" s="7"/>
      <c r="Y412" s="7"/>
      <c r="Z412" s="5"/>
      <c r="AA412" s="7"/>
      <c r="AB412" s="7"/>
      <c r="AC412" s="7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5"/>
      <c r="W413" s="7"/>
      <c r="X413" s="7"/>
      <c r="Y413" s="7"/>
      <c r="Z413" s="5"/>
      <c r="AA413" s="7"/>
      <c r="AB413" s="7"/>
      <c r="AC413" s="7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5"/>
      <c r="W414" s="7"/>
      <c r="X414" s="7"/>
      <c r="Y414" s="7"/>
      <c r="Z414" s="5"/>
      <c r="AA414" s="7"/>
      <c r="AB414" s="7"/>
      <c r="AC414" s="7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5"/>
      <c r="W415" s="7"/>
      <c r="X415" s="7"/>
      <c r="Y415" s="7"/>
      <c r="Z415" s="5"/>
      <c r="AA415" s="7"/>
      <c r="AB415" s="7"/>
      <c r="AC415" s="7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5"/>
      <c r="W416" s="7"/>
      <c r="X416" s="7"/>
      <c r="Y416" s="7"/>
      <c r="Z416" s="5"/>
      <c r="AA416" s="7"/>
      <c r="AB416" s="7"/>
      <c r="AC416" s="7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5"/>
      <c r="W417" s="7"/>
      <c r="X417" s="7"/>
      <c r="Y417" s="7"/>
      <c r="Z417" s="5"/>
      <c r="AA417" s="7"/>
      <c r="AB417" s="7"/>
      <c r="AC417" s="7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5"/>
      <c r="W418" s="7"/>
      <c r="X418" s="7"/>
      <c r="Y418" s="7"/>
      <c r="Z418" s="5"/>
      <c r="AA418" s="7"/>
      <c r="AB418" s="7"/>
      <c r="AC418" s="7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5"/>
      <c r="W419" s="7"/>
      <c r="X419" s="7"/>
      <c r="Y419" s="7"/>
      <c r="Z419" s="5"/>
      <c r="AA419" s="7"/>
      <c r="AB419" s="7"/>
      <c r="AC419" s="7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5"/>
      <c r="W420" s="7"/>
      <c r="X420" s="7"/>
      <c r="Y420" s="7"/>
      <c r="Z420" s="5"/>
      <c r="AA420" s="7"/>
      <c r="AB420" s="7"/>
      <c r="AC420" s="7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5"/>
      <c r="W421" s="7"/>
      <c r="X421" s="7"/>
      <c r="Y421" s="7"/>
      <c r="Z421" s="5"/>
      <c r="AA421" s="7"/>
      <c r="AB421" s="7"/>
      <c r="AC421" s="7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5"/>
      <c r="W422" s="7"/>
      <c r="X422" s="7"/>
      <c r="Y422" s="7"/>
      <c r="Z422" s="5"/>
      <c r="AA422" s="7"/>
      <c r="AB422" s="7"/>
      <c r="AC422" s="7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5"/>
      <c r="W423" s="7"/>
      <c r="X423" s="7"/>
      <c r="Y423" s="7"/>
      <c r="Z423" s="5"/>
      <c r="AA423" s="7"/>
      <c r="AB423" s="7"/>
      <c r="AC423" s="7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5"/>
      <c r="W424" s="7"/>
      <c r="X424" s="7"/>
      <c r="Y424" s="7"/>
      <c r="Z424" s="5"/>
      <c r="AA424" s="7"/>
      <c r="AB424" s="7"/>
      <c r="AC424" s="7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5"/>
      <c r="W425" s="7"/>
      <c r="X425" s="7"/>
      <c r="Y425" s="7"/>
      <c r="Z425" s="5"/>
      <c r="AA425" s="7"/>
      <c r="AB425" s="7"/>
      <c r="AC425" s="7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5"/>
      <c r="W426" s="7"/>
      <c r="X426" s="7"/>
      <c r="Y426" s="7"/>
      <c r="Z426" s="5"/>
      <c r="AA426" s="7"/>
      <c r="AB426" s="7"/>
      <c r="AC426" s="7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5"/>
      <c r="W427" s="7"/>
      <c r="X427" s="7"/>
      <c r="Y427" s="7"/>
      <c r="Z427" s="5"/>
      <c r="AA427" s="7"/>
      <c r="AB427" s="7"/>
      <c r="AC427" s="7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5"/>
      <c r="W428" s="7"/>
      <c r="X428" s="7"/>
      <c r="Y428" s="7"/>
      <c r="Z428" s="5"/>
      <c r="AA428" s="7"/>
      <c r="AB428" s="7"/>
      <c r="AC428" s="7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5"/>
      <c r="W429" s="7"/>
      <c r="X429" s="7"/>
      <c r="Y429" s="7"/>
      <c r="Z429" s="5"/>
      <c r="AA429" s="7"/>
      <c r="AB429" s="7"/>
      <c r="AC429" s="7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5"/>
      <c r="W430" s="7"/>
      <c r="X430" s="7"/>
      <c r="Y430" s="7"/>
      <c r="Z430" s="5"/>
      <c r="AA430" s="7"/>
      <c r="AB430" s="7"/>
      <c r="AC430" s="7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5"/>
      <c r="W431" s="7"/>
      <c r="X431" s="7"/>
      <c r="Y431" s="7"/>
      <c r="Z431" s="5"/>
      <c r="AA431" s="7"/>
      <c r="AB431" s="7"/>
      <c r="AC431" s="7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5"/>
      <c r="W432" s="7"/>
      <c r="X432" s="7"/>
      <c r="Y432" s="7"/>
      <c r="Z432" s="5"/>
      <c r="AA432" s="7"/>
      <c r="AB432" s="7"/>
      <c r="AC432" s="7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5"/>
      <c r="W433" s="7"/>
      <c r="X433" s="7"/>
      <c r="Y433" s="7"/>
      <c r="Z433" s="5"/>
      <c r="AA433" s="7"/>
      <c r="AB433" s="7"/>
      <c r="AC433" s="7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5"/>
      <c r="W434" s="7"/>
      <c r="X434" s="7"/>
      <c r="Y434" s="7"/>
      <c r="Z434" s="5"/>
      <c r="AA434" s="7"/>
      <c r="AB434" s="7"/>
      <c r="AC434" s="7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5"/>
      <c r="W435" s="7"/>
      <c r="X435" s="7"/>
      <c r="Y435" s="7"/>
      <c r="Z435" s="5"/>
      <c r="AA435" s="7"/>
      <c r="AB435" s="7"/>
      <c r="AC435" s="7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5"/>
      <c r="W436" s="7"/>
      <c r="X436" s="7"/>
      <c r="Y436" s="7"/>
      <c r="Z436" s="5"/>
      <c r="AA436" s="7"/>
      <c r="AB436" s="7"/>
      <c r="AC436" s="7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5"/>
      <c r="W437" s="7"/>
      <c r="X437" s="7"/>
      <c r="Y437" s="7"/>
      <c r="Z437" s="5"/>
      <c r="AA437" s="7"/>
      <c r="AB437" s="7"/>
      <c r="AC437" s="7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5"/>
      <c r="W438" s="7"/>
      <c r="X438" s="7"/>
      <c r="Y438" s="7"/>
      <c r="Z438" s="5"/>
      <c r="AA438" s="7"/>
      <c r="AB438" s="7"/>
      <c r="AC438" s="7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5"/>
      <c r="W439" s="7"/>
      <c r="X439" s="7"/>
      <c r="Y439" s="7"/>
      <c r="Z439" s="5"/>
      <c r="AA439" s="7"/>
      <c r="AB439" s="7"/>
      <c r="AC439" s="7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5"/>
      <c r="W440" s="7"/>
      <c r="X440" s="7"/>
      <c r="Y440" s="7"/>
      <c r="Z440" s="5"/>
      <c r="AA440" s="7"/>
      <c r="AB440" s="7"/>
      <c r="AC440" s="7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5"/>
      <c r="W441" s="7"/>
      <c r="X441" s="7"/>
      <c r="Y441" s="7"/>
      <c r="Z441" s="5"/>
      <c r="AA441" s="7"/>
      <c r="AB441" s="7"/>
      <c r="AC441" s="7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5"/>
      <c r="W442" s="7"/>
      <c r="X442" s="7"/>
      <c r="Y442" s="7"/>
      <c r="Z442" s="5"/>
      <c r="AA442" s="7"/>
      <c r="AB442" s="7"/>
      <c r="AC442" s="7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5"/>
      <c r="W443" s="7"/>
      <c r="X443" s="7"/>
      <c r="Y443" s="7"/>
      <c r="Z443" s="5"/>
      <c r="AA443" s="7"/>
      <c r="AB443" s="7"/>
      <c r="AC443" s="7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5"/>
      <c r="W444" s="7"/>
      <c r="X444" s="7"/>
      <c r="Y444" s="7"/>
      <c r="Z444" s="5"/>
      <c r="AA444" s="7"/>
      <c r="AB444" s="7"/>
      <c r="AC444" s="7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5"/>
      <c r="W445" s="7"/>
      <c r="X445" s="7"/>
      <c r="Y445" s="7"/>
      <c r="Z445" s="5"/>
      <c r="AA445" s="7"/>
      <c r="AB445" s="7"/>
      <c r="AC445" s="7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5"/>
      <c r="W446" s="7"/>
      <c r="X446" s="7"/>
      <c r="Y446" s="7"/>
      <c r="Z446" s="5"/>
      <c r="AA446" s="7"/>
      <c r="AB446" s="7"/>
      <c r="AC446" s="7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5"/>
      <c r="W447" s="7"/>
      <c r="X447" s="7"/>
      <c r="Y447" s="7"/>
      <c r="Z447" s="5"/>
      <c r="AA447" s="7"/>
      <c r="AB447" s="7"/>
      <c r="AC447" s="7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5"/>
      <c r="W448" s="7"/>
      <c r="X448" s="7"/>
      <c r="Y448" s="7"/>
      <c r="Z448" s="5"/>
      <c r="AA448" s="7"/>
      <c r="AB448" s="7"/>
      <c r="AC448" s="7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5"/>
      <c r="W449" s="7"/>
      <c r="X449" s="7"/>
      <c r="Y449" s="7"/>
      <c r="Z449" s="5"/>
      <c r="AA449" s="7"/>
      <c r="AB449" s="7"/>
      <c r="AC449" s="7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5"/>
      <c r="W450" s="7"/>
      <c r="X450" s="7"/>
      <c r="Y450" s="7"/>
      <c r="Z450" s="5"/>
      <c r="AA450" s="7"/>
      <c r="AB450" s="7"/>
      <c r="AC450" s="7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5"/>
      <c r="W451" s="7"/>
      <c r="X451" s="7"/>
      <c r="Y451" s="7"/>
      <c r="Z451" s="5"/>
      <c r="AA451" s="7"/>
      <c r="AB451" s="7"/>
      <c r="AC451" s="7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5"/>
      <c r="W452" s="7"/>
      <c r="X452" s="7"/>
      <c r="Y452" s="7"/>
      <c r="Z452" s="5"/>
      <c r="AA452" s="7"/>
      <c r="AB452" s="7"/>
      <c r="AC452" s="7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5"/>
      <c r="W453" s="7"/>
      <c r="X453" s="7"/>
      <c r="Y453" s="7"/>
      <c r="Z453" s="5"/>
      <c r="AA453" s="7"/>
      <c r="AB453" s="7"/>
      <c r="AC453" s="7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5"/>
      <c r="W454" s="7"/>
      <c r="X454" s="7"/>
      <c r="Y454" s="7"/>
      <c r="Z454" s="5"/>
      <c r="AA454" s="7"/>
      <c r="AB454" s="7"/>
      <c r="AC454" s="7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5"/>
      <c r="W455" s="7"/>
      <c r="X455" s="7"/>
      <c r="Y455" s="7"/>
      <c r="Z455" s="5"/>
      <c r="AA455" s="7"/>
      <c r="AB455" s="7"/>
      <c r="AC455" s="7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5"/>
      <c r="W456" s="7"/>
      <c r="X456" s="7"/>
      <c r="Y456" s="7"/>
      <c r="Z456" s="5"/>
      <c r="AA456" s="7"/>
      <c r="AB456" s="7"/>
      <c r="AC456" s="7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5"/>
      <c r="W457" s="7"/>
      <c r="X457" s="7"/>
      <c r="Y457" s="7"/>
      <c r="Z457" s="5"/>
      <c r="AA457" s="7"/>
      <c r="AB457" s="7"/>
      <c r="AC457" s="7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5"/>
      <c r="W458" s="7"/>
      <c r="X458" s="7"/>
      <c r="Y458" s="7"/>
      <c r="Z458" s="5"/>
      <c r="AA458" s="7"/>
      <c r="AB458" s="7"/>
      <c r="AC458" s="7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5"/>
      <c r="W459" s="7"/>
      <c r="X459" s="7"/>
      <c r="Y459" s="7"/>
      <c r="Z459" s="5"/>
      <c r="AA459" s="7"/>
      <c r="AB459" s="7"/>
      <c r="AC459" s="7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5"/>
      <c r="W460" s="7"/>
      <c r="X460" s="7"/>
      <c r="Y460" s="7"/>
      <c r="Z460" s="5"/>
      <c r="AA460" s="7"/>
      <c r="AB460" s="7"/>
      <c r="AC460" s="7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5"/>
      <c r="W461" s="7"/>
      <c r="X461" s="7"/>
      <c r="Y461" s="7"/>
      <c r="Z461" s="5"/>
      <c r="AA461" s="7"/>
      <c r="AB461" s="7"/>
      <c r="AC461" s="7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5"/>
      <c r="W462" s="7"/>
      <c r="X462" s="7"/>
      <c r="Y462" s="7"/>
      <c r="Z462" s="5"/>
      <c r="AA462" s="7"/>
      <c r="AB462" s="7"/>
      <c r="AC462" s="7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5"/>
      <c r="W463" s="7"/>
      <c r="X463" s="7"/>
      <c r="Y463" s="7"/>
      <c r="Z463" s="5"/>
      <c r="AA463" s="7"/>
      <c r="AB463" s="7"/>
      <c r="AC463" s="7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5"/>
      <c r="W464" s="7"/>
      <c r="X464" s="7"/>
      <c r="Y464" s="7"/>
      <c r="Z464" s="5"/>
      <c r="AA464" s="7"/>
      <c r="AB464" s="7"/>
      <c r="AC464" s="7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5"/>
      <c r="W465" s="7"/>
      <c r="X465" s="7"/>
      <c r="Y465" s="7"/>
      <c r="Z465" s="5"/>
      <c r="AA465" s="7"/>
      <c r="AB465" s="7"/>
      <c r="AC465" s="7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5"/>
      <c r="W466" s="7"/>
      <c r="X466" s="7"/>
      <c r="Y466" s="7"/>
      <c r="Z466" s="5"/>
      <c r="AA466" s="7"/>
      <c r="AB466" s="7"/>
      <c r="AC466" s="7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5"/>
      <c r="W467" s="7"/>
      <c r="X467" s="7"/>
      <c r="Y467" s="7"/>
      <c r="Z467" s="5"/>
      <c r="AA467" s="7"/>
      <c r="AB467" s="7"/>
      <c r="AC467" s="7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5"/>
      <c r="W468" s="7"/>
      <c r="X468" s="7"/>
      <c r="Y468" s="7"/>
      <c r="Z468" s="5"/>
      <c r="AA468" s="7"/>
      <c r="AB468" s="7"/>
      <c r="AC468" s="7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5"/>
      <c r="W469" s="7"/>
      <c r="X469" s="7"/>
      <c r="Y469" s="7"/>
      <c r="Z469" s="5"/>
      <c r="AA469" s="7"/>
      <c r="AB469" s="7"/>
      <c r="AC469" s="7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5"/>
      <c r="W470" s="7"/>
      <c r="X470" s="7"/>
      <c r="Y470" s="7"/>
      <c r="Z470" s="5"/>
      <c r="AA470" s="7"/>
      <c r="AB470" s="7"/>
      <c r="AC470" s="7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5"/>
      <c r="W471" s="7"/>
      <c r="X471" s="7"/>
      <c r="Y471" s="7"/>
      <c r="Z471" s="5"/>
      <c r="AA471" s="7"/>
      <c r="AB471" s="7"/>
      <c r="AC471" s="7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5"/>
      <c r="W472" s="7"/>
      <c r="X472" s="7"/>
      <c r="Y472" s="7"/>
      <c r="Z472" s="5"/>
      <c r="AA472" s="7"/>
      <c r="AB472" s="7"/>
      <c r="AC472" s="7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5"/>
      <c r="W473" s="7"/>
      <c r="X473" s="7"/>
      <c r="Y473" s="7"/>
      <c r="Z473" s="5"/>
      <c r="AA473" s="7"/>
      <c r="AB473" s="7"/>
      <c r="AC473" s="7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5"/>
      <c r="W474" s="7"/>
      <c r="X474" s="7"/>
      <c r="Y474" s="7"/>
      <c r="Z474" s="5"/>
      <c r="AA474" s="7"/>
      <c r="AB474" s="7"/>
      <c r="AC474" s="7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5"/>
      <c r="W475" s="7"/>
      <c r="X475" s="7"/>
      <c r="Y475" s="7"/>
      <c r="Z475" s="5"/>
      <c r="AA475" s="7"/>
      <c r="AB475" s="7"/>
      <c r="AC475" s="7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5"/>
      <c r="W476" s="7"/>
      <c r="X476" s="7"/>
      <c r="Y476" s="7"/>
      <c r="Z476" s="5"/>
      <c r="AA476" s="7"/>
      <c r="AB476" s="7"/>
      <c r="AC476" s="7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5"/>
      <c r="W477" s="7"/>
      <c r="X477" s="7"/>
      <c r="Y477" s="7"/>
      <c r="Z477" s="5"/>
      <c r="AA477" s="7"/>
      <c r="AB477" s="7"/>
      <c r="AC477" s="7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5"/>
      <c r="W478" s="7"/>
      <c r="X478" s="7"/>
      <c r="Y478" s="7"/>
      <c r="Z478" s="5"/>
      <c r="AA478" s="7"/>
      <c r="AB478" s="7"/>
      <c r="AC478" s="7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5"/>
      <c r="W479" s="7"/>
      <c r="X479" s="7"/>
      <c r="Y479" s="7"/>
      <c r="Z479" s="5"/>
      <c r="AA479" s="7"/>
      <c r="AB479" s="7"/>
      <c r="AC479" s="7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5"/>
      <c r="W480" s="7"/>
      <c r="X480" s="7"/>
      <c r="Y480" s="7"/>
      <c r="Z480" s="5"/>
      <c r="AA480" s="7"/>
      <c r="AB480" s="7"/>
      <c r="AC480" s="7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5"/>
      <c r="W481" s="7"/>
      <c r="X481" s="7"/>
      <c r="Y481" s="7"/>
      <c r="Z481" s="5"/>
      <c r="AA481" s="7"/>
      <c r="AB481" s="7"/>
      <c r="AC481" s="7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5"/>
      <c r="W482" s="7"/>
      <c r="X482" s="7"/>
      <c r="Y482" s="7"/>
      <c r="Z482" s="5"/>
      <c r="AA482" s="7"/>
      <c r="AB482" s="7"/>
      <c r="AC482" s="7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5"/>
      <c r="W483" s="7"/>
      <c r="X483" s="7"/>
      <c r="Y483" s="7"/>
      <c r="Z483" s="5"/>
      <c r="AA483" s="7"/>
      <c r="AB483" s="7"/>
      <c r="AC483" s="7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5"/>
      <c r="W484" s="7"/>
      <c r="X484" s="7"/>
      <c r="Y484" s="7"/>
      <c r="Z484" s="5"/>
      <c r="AA484" s="7"/>
      <c r="AB484" s="7"/>
      <c r="AC484" s="7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5"/>
      <c r="W485" s="7"/>
      <c r="X485" s="7"/>
      <c r="Y485" s="7"/>
      <c r="Z485" s="5"/>
      <c r="AA485" s="7"/>
      <c r="AB485" s="7"/>
      <c r="AC485" s="7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5"/>
      <c r="W486" s="7"/>
      <c r="X486" s="7"/>
      <c r="Y486" s="7"/>
      <c r="Z486" s="5"/>
      <c r="AA486" s="7"/>
      <c r="AB486" s="7"/>
      <c r="AC486" s="7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5"/>
      <c r="W487" s="7"/>
      <c r="X487" s="7"/>
      <c r="Y487" s="7"/>
      <c r="Z487" s="5"/>
      <c r="AA487" s="7"/>
      <c r="AB487" s="7"/>
      <c r="AC487" s="7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5"/>
      <c r="W488" s="7"/>
      <c r="X488" s="7"/>
      <c r="Y488" s="7"/>
      <c r="Z488" s="5"/>
      <c r="AA488" s="7"/>
      <c r="AB488" s="7"/>
      <c r="AC488" s="7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5"/>
      <c r="W489" s="7"/>
      <c r="X489" s="7"/>
      <c r="Y489" s="7"/>
      <c r="Z489" s="5"/>
      <c r="AA489" s="7"/>
      <c r="AB489" s="7"/>
      <c r="AC489" s="7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5"/>
      <c r="W490" s="7"/>
      <c r="X490" s="7"/>
      <c r="Y490" s="7"/>
      <c r="Z490" s="5"/>
      <c r="AA490" s="7"/>
      <c r="AB490" s="7"/>
      <c r="AC490" s="7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5"/>
      <c r="W491" s="7"/>
      <c r="X491" s="7"/>
      <c r="Y491" s="7"/>
      <c r="Z491" s="5"/>
      <c r="AA491" s="7"/>
      <c r="AB491" s="7"/>
      <c r="AC491" s="7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5"/>
      <c r="W492" s="7"/>
      <c r="X492" s="7"/>
      <c r="Y492" s="7"/>
      <c r="Z492" s="5"/>
      <c r="AA492" s="7"/>
      <c r="AB492" s="7"/>
      <c r="AC492" s="7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5"/>
      <c r="W493" s="7"/>
      <c r="X493" s="7"/>
      <c r="Y493" s="7"/>
      <c r="Z493" s="5"/>
      <c r="AA493" s="7"/>
      <c r="AB493" s="7"/>
      <c r="AC493" s="7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5"/>
      <c r="W494" s="7"/>
      <c r="X494" s="7"/>
      <c r="Y494" s="7"/>
      <c r="Z494" s="5"/>
      <c r="AA494" s="7"/>
      <c r="AB494" s="7"/>
      <c r="AC494" s="7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5"/>
      <c r="W495" s="7"/>
      <c r="X495" s="7"/>
      <c r="Y495" s="7"/>
      <c r="Z495" s="5"/>
      <c r="AA495" s="7"/>
      <c r="AB495" s="7"/>
      <c r="AC495" s="7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5"/>
      <c r="W496" s="7"/>
      <c r="X496" s="7"/>
      <c r="Y496" s="7"/>
      <c r="Z496" s="5"/>
      <c r="AA496" s="7"/>
      <c r="AB496" s="7"/>
      <c r="AC496" s="7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5"/>
      <c r="W497" s="7"/>
      <c r="X497" s="7"/>
      <c r="Y497" s="7"/>
      <c r="Z497" s="5"/>
      <c r="AA497" s="7"/>
      <c r="AB497" s="7"/>
      <c r="AC497" s="7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5"/>
      <c r="W498" s="7"/>
      <c r="X498" s="7"/>
      <c r="Y498" s="7"/>
      <c r="Z498" s="5"/>
      <c r="AA498" s="7"/>
      <c r="AB498" s="7"/>
      <c r="AC498" s="7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5"/>
      <c r="W499" s="7"/>
      <c r="X499" s="7"/>
      <c r="Y499" s="7"/>
      <c r="Z499" s="5"/>
      <c r="AA499" s="7"/>
      <c r="AB499" s="7"/>
      <c r="AC499" s="7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5"/>
      <c r="W500" s="7"/>
      <c r="X500" s="7"/>
      <c r="Y500" s="7"/>
      <c r="Z500" s="5"/>
      <c r="AA500" s="7"/>
      <c r="AB500" s="7"/>
      <c r="AC500" s="7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5"/>
      <c r="W501" s="7"/>
      <c r="X501" s="7"/>
      <c r="Y501" s="7"/>
      <c r="Z501" s="5"/>
      <c r="AA501" s="7"/>
      <c r="AB501" s="7"/>
      <c r="AC501" s="7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5"/>
      <c r="W502" s="7"/>
      <c r="X502" s="7"/>
      <c r="Y502" s="7"/>
      <c r="Z502" s="5"/>
      <c r="AA502" s="7"/>
      <c r="AB502" s="7"/>
      <c r="AC502" s="7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5"/>
      <c r="W503" s="7"/>
      <c r="X503" s="7"/>
      <c r="Y503" s="7"/>
      <c r="Z503" s="5"/>
      <c r="AA503" s="7"/>
      <c r="AB503" s="7"/>
      <c r="AC503" s="7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5"/>
      <c r="W504" s="7"/>
      <c r="X504" s="7"/>
      <c r="Y504" s="7"/>
      <c r="Z504" s="5"/>
      <c r="AA504" s="7"/>
      <c r="AB504" s="7"/>
      <c r="AC504" s="7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5"/>
      <c r="W505" s="7"/>
      <c r="X505" s="7"/>
      <c r="Y505" s="7"/>
      <c r="Z505" s="5"/>
      <c r="AA505" s="7"/>
      <c r="AB505" s="7"/>
      <c r="AC505" s="7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5"/>
      <c r="W506" s="7"/>
      <c r="X506" s="7"/>
      <c r="Y506" s="7"/>
      <c r="Z506" s="5"/>
      <c r="AA506" s="7"/>
      <c r="AB506" s="7"/>
      <c r="AC506" s="7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5"/>
      <c r="W507" s="7"/>
      <c r="X507" s="7"/>
      <c r="Y507" s="7"/>
      <c r="Z507" s="5"/>
      <c r="AA507" s="7"/>
      <c r="AB507" s="7"/>
      <c r="AC507" s="7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5"/>
      <c r="W508" s="7"/>
      <c r="X508" s="7"/>
      <c r="Y508" s="7"/>
      <c r="Z508" s="5"/>
      <c r="AA508" s="7"/>
      <c r="AB508" s="7"/>
      <c r="AC508" s="7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5"/>
      <c r="W509" s="7"/>
      <c r="X509" s="7"/>
      <c r="Y509" s="7"/>
      <c r="Z509" s="5"/>
      <c r="AA509" s="7"/>
      <c r="AB509" s="7"/>
      <c r="AC509" s="7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5"/>
      <c r="W510" s="7"/>
      <c r="X510" s="7"/>
      <c r="Y510" s="7"/>
      <c r="Z510" s="5"/>
      <c r="AA510" s="7"/>
      <c r="AB510" s="7"/>
      <c r="AC510" s="7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5"/>
      <c r="W511" s="7"/>
      <c r="X511" s="7"/>
      <c r="Y511" s="7"/>
      <c r="Z511" s="5"/>
      <c r="AA511" s="7"/>
      <c r="AB511" s="7"/>
      <c r="AC511" s="7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5"/>
      <c r="W512" s="7"/>
      <c r="X512" s="7"/>
      <c r="Y512" s="7"/>
      <c r="Z512" s="5"/>
      <c r="AA512" s="7"/>
      <c r="AB512" s="7"/>
      <c r="AC512" s="7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5"/>
      <c r="W513" s="7"/>
      <c r="X513" s="7"/>
      <c r="Y513" s="7"/>
      <c r="Z513" s="5"/>
      <c r="AA513" s="7"/>
      <c r="AB513" s="7"/>
      <c r="AC513" s="7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5"/>
      <c r="W514" s="7"/>
      <c r="X514" s="7"/>
      <c r="Y514" s="7"/>
      <c r="Z514" s="5"/>
      <c r="AA514" s="7"/>
      <c r="AB514" s="7"/>
      <c r="AC514" s="7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5"/>
      <c r="W515" s="7"/>
      <c r="X515" s="7"/>
      <c r="Y515" s="7"/>
      <c r="Z515" s="5"/>
      <c r="AA515" s="7"/>
      <c r="AB515" s="7"/>
      <c r="AC515" s="7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5"/>
      <c r="W516" s="7"/>
      <c r="X516" s="7"/>
      <c r="Y516" s="7"/>
      <c r="Z516" s="5"/>
      <c r="AA516" s="7"/>
      <c r="AB516" s="7"/>
      <c r="AC516" s="7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5"/>
      <c r="W517" s="7"/>
      <c r="X517" s="7"/>
      <c r="Y517" s="7"/>
      <c r="Z517" s="5"/>
      <c r="AA517" s="7"/>
      <c r="AB517" s="7"/>
      <c r="AC517" s="7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5"/>
      <c r="W518" s="7"/>
      <c r="X518" s="7"/>
      <c r="Y518" s="7"/>
      <c r="Z518" s="5"/>
      <c r="AA518" s="7"/>
      <c r="AB518" s="7"/>
      <c r="AC518" s="7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5"/>
      <c r="W519" s="7"/>
      <c r="X519" s="7"/>
      <c r="Y519" s="7"/>
      <c r="Z519" s="5"/>
      <c r="AA519" s="7"/>
      <c r="AB519" s="7"/>
      <c r="AC519" s="7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5"/>
      <c r="W520" s="7"/>
      <c r="X520" s="7"/>
      <c r="Y520" s="7"/>
      <c r="Z520" s="5"/>
      <c r="AA520" s="7"/>
      <c r="AB520" s="7"/>
      <c r="AC520" s="7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5"/>
      <c r="W521" s="7"/>
      <c r="X521" s="7"/>
      <c r="Y521" s="7"/>
      <c r="Z521" s="5"/>
      <c r="AA521" s="7"/>
      <c r="AB521" s="7"/>
      <c r="AC521" s="7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5"/>
      <c r="W522" s="7"/>
      <c r="X522" s="7"/>
      <c r="Y522" s="7"/>
      <c r="Z522" s="5"/>
      <c r="AA522" s="7"/>
      <c r="AB522" s="7"/>
      <c r="AC522" s="7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5"/>
      <c r="W523" s="7"/>
      <c r="X523" s="7"/>
      <c r="Y523" s="7"/>
      <c r="Z523" s="5"/>
      <c r="AA523" s="7"/>
      <c r="AB523" s="7"/>
      <c r="AC523" s="7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5"/>
      <c r="W524" s="7"/>
      <c r="X524" s="7"/>
      <c r="Y524" s="7"/>
      <c r="Z524" s="5"/>
      <c r="AA524" s="7"/>
      <c r="AB524" s="7"/>
      <c r="AC524" s="7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5"/>
      <c r="W525" s="7"/>
      <c r="X525" s="7"/>
      <c r="Y525" s="7"/>
      <c r="Z525" s="5"/>
      <c r="AA525" s="7"/>
      <c r="AB525" s="7"/>
      <c r="AC525" s="7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5"/>
      <c r="W526" s="7"/>
      <c r="X526" s="7"/>
      <c r="Y526" s="7"/>
      <c r="Z526" s="5"/>
      <c r="AA526" s="7"/>
      <c r="AB526" s="7"/>
      <c r="AC526" s="7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5"/>
      <c r="W527" s="7"/>
      <c r="X527" s="7"/>
      <c r="Y527" s="7"/>
      <c r="Z527" s="5"/>
      <c r="AA527" s="7"/>
      <c r="AB527" s="7"/>
      <c r="AC527" s="7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5"/>
      <c r="W528" s="7"/>
      <c r="X528" s="7"/>
      <c r="Y528" s="7"/>
      <c r="Z528" s="5"/>
      <c r="AA528" s="7"/>
      <c r="AB528" s="7"/>
      <c r="AC528" s="7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5"/>
      <c r="W529" s="7"/>
      <c r="X529" s="7"/>
      <c r="Y529" s="7"/>
      <c r="Z529" s="5"/>
      <c r="AA529" s="7"/>
      <c r="AB529" s="7"/>
      <c r="AC529" s="7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5"/>
      <c r="W530" s="7"/>
      <c r="X530" s="7"/>
      <c r="Y530" s="7"/>
      <c r="Z530" s="5"/>
      <c r="AA530" s="7"/>
      <c r="AB530" s="7"/>
      <c r="AC530" s="7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5"/>
      <c r="W531" s="7"/>
      <c r="X531" s="7"/>
      <c r="Y531" s="7"/>
      <c r="Z531" s="5"/>
      <c r="AA531" s="7"/>
      <c r="AB531" s="7"/>
      <c r="AC531" s="7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5"/>
      <c r="W532" s="7"/>
      <c r="X532" s="7"/>
      <c r="Y532" s="7"/>
      <c r="Z532" s="5"/>
      <c r="AA532" s="7"/>
      <c r="AB532" s="7"/>
      <c r="AC532" s="7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5"/>
      <c r="W533" s="7"/>
      <c r="X533" s="7"/>
      <c r="Y533" s="7"/>
      <c r="Z533" s="5"/>
      <c r="AA533" s="7"/>
      <c r="AB533" s="7"/>
      <c r="AC533" s="7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5"/>
      <c r="W534" s="7"/>
      <c r="X534" s="7"/>
      <c r="Y534" s="7"/>
      <c r="Z534" s="5"/>
      <c r="AA534" s="7"/>
      <c r="AB534" s="7"/>
      <c r="AC534" s="7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5"/>
      <c r="W535" s="7"/>
      <c r="X535" s="7"/>
      <c r="Y535" s="7"/>
      <c r="Z535" s="5"/>
      <c r="AA535" s="7"/>
      <c r="AB535" s="7"/>
      <c r="AC535" s="7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5"/>
      <c r="W536" s="7"/>
      <c r="X536" s="7"/>
      <c r="Y536" s="7"/>
      <c r="Z536" s="5"/>
      <c r="AA536" s="7"/>
      <c r="AB536" s="7"/>
      <c r="AC536" s="7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5"/>
      <c r="W537" s="7"/>
      <c r="X537" s="7"/>
      <c r="Y537" s="7"/>
      <c r="Z537" s="5"/>
      <c r="AA537" s="7"/>
      <c r="AB537" s="7"/>
      <c r="AC537" s="7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5"/>
      <c r="W538" s="7"/>
      <c r="X538" s="7"/>
      <c r="Y538" s="7"/>
      <c r="Z538" s="5"/>
      <c r="AA538" s="7"/>
      <c r="AB538" s="7"/>
      <c r="AC538" s="7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5"/>
      <c r="W539" s="7"/>
      <c r="X539" s="7"/>
      <c r="Y539" s="7"/>
      <c r="Z539" s="5"/>
      <c r="AA539" s="7"/>
      <c r="AB539" s="7"/>
      <c r="AC539" s="7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5"/>
      <c r="W540" s="7"/>
      <c r="X540" s="7"/>
      <c r="Y540" s="7"/>
      <c r="Z540" s="5"/>
      <c r="AA540" s="7"/>
      <c r="AB540" s="7"/>
      <c r="AC540" s="7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5"/>
      <c r="W541" s="7"/>
      <c r="X541" s="7"/>
      <c r="Y541" s="7"/>
      <c r="Z541" s="5"/>
      <c r="AA541" s="7"/>
      <c r="AB541" s="7"/>
      <c r="AC541" s="7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5"/>
      <c r="W542" s="7"/>
      <c r="X542" s="7"/>
      <c r="Y542" s="7"/>
      <c r="Z542" s="5"/>
      <c r="AA542" s="7"/>
      <c r="AB542" s="7"/>
      <c r="AC542" s="7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5"/>
      <c r="W543" s="7"/>
      <c r="X543" s="7"/>
      <c r="Y543" s="7"/>
      <c r="Z543" s="5"/>
      <c r="AA543" s="7"/>
      <c r="AB543" s="7"/>
      <c r="AC543" s="7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5"/>
      <c r="W544" s="7"/>
      <c r="X544" s="7"/>
      <c r="Y544" s="7"/>
      <c r="Z544" s="5"/>
      <c r="AA544" s="7"/>
      <c r="AB544" s="7"/>
      <c r="AC544" s="7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5"/>
      <c r="W545" s="7"/>
      <c r="X545" s="7"/>
      <c r="Y545" s="7"/>
      <c r="Z545" s="5"/>
      <c r="AA545" s="7"/>
      <c r="AB545" s="7"/>
      <c r="AC545" s="7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5"/>
      <c r="W546" s="7"/>
      <c r="X546" s="7"/>
      <c r="Y546" s="7"/>
      <c r="Z546" s="5"/>
      <c r="AA546" s="7"/>
      <c r="AB546" s="7"/>
      <c r="AC546" s="7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5"/>
      <c r="W547" s="7"/>
      <c r="X547" s="7"/>
      <c r="Y547" s="7"/>
      <c r="Z547" s="5"/>
      <c r="AA547" s="7"/>
      <c r="AB547" s="7"/>
      <c r="AC547" s="7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5"/>
      <c r="W548" s="7"/>
      <c r="X548" s="7"/>
      <c r="Y548" s="7"/>
      <c r="Z548" s="5"/>
      <c r="AA548" s="7"/>
      <c r="AB548" s="7"/>
      <c r="AC548" s="7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5"/>
      <c r="W549" s="7"/>
      <c r="X549" s="7"/>
      <c r="Y549" s="7"/>
      <c r="Z549" s="5"/>
      <c r="AA549" s="7"/>
      <c r="AB549" s="7"/>
      <c r="AC549" s="7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5"/>
      <c r="W550" s="7"/>
      <c r="X550" s="7"/>
      <c r="Y550" s="7"/>
      <c r="Z550" s="5"/>
      <c r="AA550" s="7"/>
      <c r="AB550" s="7"/>
      <c r="AC550" s="7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5"/>
      <c r="W551" s="7"/>
      <c r="X551" s="7"/>
      <c r="Y551" s="7"/>
      <c r="Z551" s="5"/>
      <c r="AA551" s="7"/>
      <c r="AB551" s="7"/>
      <c r="AC551" s="7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5"/>
      <c r="W552" s="7"/>
      <c r="X552" s="7"/>
      <c r="Y552" s="7"/>
      <c r="Z552" s="5"/>
      <c r="AA552" s="7"/>
      <c r="AB552" s="7"/>
      <c r="AC552" s="7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5"/>
      <c r="W553" s="7"/>
      <c r="X553" s="7"/>
      <c r="Y553" s="7"/>
      <c r="Z553" s="5"/>
      <c r="AA553" s="7"/>
      <c r="AB553" s="7"/>
      <c r="AC553" s="7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5"/>
      <c r="W554" s="7"/>
      <c r="X554" s="7"/>
      <c r="Y554" s="7"/>
      <c r="Z554" s="5"/>
      <c r="AA554" s="7"/>
      <c r="AB554" s="7"/>
      <c r="AC554" s="7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5"/>
      <c r="W555" s="7"/>
      <c r="X555" s="7"/>
      <c r="Y555" s="7"/>
      <c r="Z555" s="5"/>
      <c r="AA555" s="7"/>
      <c r="AB555" s="7"/>
      <c r="AC555" s="7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5"/>
      <c r="W556" s="7"/>
      <c r="X556" s="7"/>
      <c r="Y556" s="7"/>
      <c r="Z556" s="5"/>
      <c r="AA556" s="7"/>
      <c r="AB556" s="7"/>
      <c r="AC556" s="7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5"/>
      <c r="W557" s="7"/>
      <c r="X557" s="7"/>
      <c r="Y557" s="7"/>
      <c r="Z557" s="5"/>
      <c r="AA557" s="7"/>
      <c r="AB557" s="7"/>
      <c r="AC557" s="7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5"/>
      <c r="W558" s="7"/>
      <c r="X558" s="7"/>
      <c r="Y558" s="7"/>
      <c r="Z558" s="5"/>
      <c r="AA558" s="7"/>
      <c r="AB558" s="7"/>
      <c r="AC558" s="7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5"/>
      <c r="W559" s="7"/>
      <c r="X559" s="7"/>
      <c r="Y559" s="7"/>
      <c r="Z559" s="5"/>
      <c r="AA559" s="7"/>
      <c r="AB559" s="7"/>
      <c r="AC559" s="7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5"/>
      <c r="W560" s="7"/>
      <c r="X560" s="7"/>
      <c r="Y560" s="7"/>
      <c r="Z560" s="5"/>
      <c r="AA560" s="7"/>
      <c r="AB560" s="7"/>
      <c r="AC560" s="7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5"/>
      <c r="W561" s="7"/>
      <c r="X561" s="7"/>
      <c r="Y561" s="7"/>
      <c r="Z561" s="5"/>
      <c r="AA561" s="7"/>
      <c r="AB561" s="7"/>
      <c r="AC561" s="7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5"/>
      <c r="W562" s="7"/>
      <c r="X562" s="7"/>
      <c r="Y562" s="7"/>
      <c r="Z562" s="5"/>
      <c r="AA562" s="7"/>
      <c r="AB562" s="7"/>
      <c r="AC562" s="7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5"/>
      <c r="W563" s="7"/>
      <c r="X563" s="7"/>
      <c r="Y563" s="7"/>
      <c r="Z563" s="5"/>
      <c r="AA563" s="7"/>
      <c r="AB563" s="7"/>
      <c r="AC563" s="7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5"/>
      <c r="W564" s="7"/>
      <c r="X564" s="7"/>
      <c r="Y564" s="7"/>
      <c r="Z564" s="5"/>
      <c r="AA564" s="7"/>
      <c r="AB564" s="7"/>
      <c r="AC564" s="7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5"/>
      <c r="W565" s="7"/>
      <c r="X565" s="7"/>
      <c r="Y565" s="7"/>
      <c r="Z565" s="5"/>
      <c r="AA565" s="7"/>
      <c r="AB565" s="7"/>
      <c r="AC565" s="7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5"/>
      <c r="W566" s="7"/>
      <c r="X566" s="7"/>
      <c r="Y566" s="7"/>
      <c r="Z566" s="5"/>
      <c r="AA566" s="7"/>
      <c r="AB566" s="7"/>
      <c r="AC566" s="7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5"/>
      <c r="W567" s="7"/>
      <c r="X567" s="7"/>
      <c r="Y567" s="7"/>
      <c r="Z567" s="5"/>
      <c r="AA567" s="7"/>
      <c r="AB567" s="7"/>
      <c r="AC567" s="7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5"/>
      <c r="W568" s="7"/>
      <c r="X568" s="7"/>
      <c r="Y568" s="7"/>
      <c r="Z568" s="5"/>
      <c r="AA568" s="7"/>
      <c r="AB568" s="7"/>
      <c r="AC568" s="7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5"/>
      <c r="W569" s="7"/>
      <c r="X569" s="7"/>
      <c r="Y569" s="7"/>
      <c r="Z569" s="5"/>
      <c r="AA569" s="7"/>
      <c r="AB569" s="7"/>
      <c r="AC569" s="7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5"/>
      <c r="W570" s="7"/>
      <c r="X570" s="7"/>
      <c r="Y570" s="7"/>
      <c r="Z570" s="5"/>
      <c r="AA570" s="7"/>
      <c r="AB570" s="7"/>
      <c r="AC570" s="7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5"/>
      <c r="W571" s="7"/>
      <c r="X571" s="7"/>
      <c r="Y571" s="7"/>
      <c r="Z571" s="5"/>
      <c r="AA571" s="7"/>
      <c r="AB571" s="7"/>
      <c r="AC571" s="7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5"/>
      <c r="W572" s="7"/>
      <c r="X572" s="7"/>
      <c r="Y572" s="7"/>
      <c r="Z572" s="5"/>
      <c r="AA572" s="7"/>
      <c r="AB572" s="7"/>
      <c r="AC572" s="7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5"/>
      <c r="W573" s="7"/>
      <c r="X573" s="7"/>
      <c r="Y573" s="7"/>
      <c r="Z573" s="5"/>
      <c r="AA573" s="7"/>
      <c r="AB573" s="7"/>
      <c r="AC573" s="7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5"/>
      <c r="W574" s="7"/>
      <c r="X574" s="7"/>
      <c r="Y574" s="7"/>
      <c r="Z574" s="5"/>
      <c r="AA574" s="7"/>
      <c r="AB574" s="7"/>
      <c r="AC574" s="7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5"/>
      <c r="W575" s="7"/>
      <c r="X575" s="7"/>
      <c r="Y575" s="7"/>
      <c r="Z575" s="5"/>
      <c r="AA575" s="7"/>
      <c r="AB575" s="7"/>
      <c r="AC575" s="7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5"/>
      <c r="W576" s="7"/>
      <c r="X576" s="7"/>
      <c r="Y576" s="7"/>
      <c r="Z576" s="5"/>
      <c r="AA576" s="7"/>
      <c r="AB576" s="7"/>
      <c r="AC576" s="7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5"/>
      <c r="W577" s="7"/>
      <c r="X577" s="7"/>
      <c r="Y577" s="7"/>
      <c r="Z577" s="5"/>
      <c r="AA577" s="7"/>
      <c r="AB577" s="7"/>
      <c r="AC577" s="7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5"/>
      <c r="W578" s="7"/>
      <c r="X578" s="7"/>
      <c r="Y578" s="7"/>
      <c r="Z578" s="5"/>
      <c r="AA578" s="7"/>
      <c r="AB578" s="7"/>
      <c r="AC578" s="7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5"/>
      <c r="W579" s="7"/>
      <c r="X579" s="7"/>
      <c r="Y579" s="7"/>
      <c r="Z579" s="5"/>
      <c r="AA579" s="7"/>
      <c r="AB579" s="7"/>
      <c r="AC579" s="7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5"/>
      <c r="W580" s="7"/>
      <c r="X580" s="7"/>
      <c r="Y580" s="7"/>
      <c r="Z580" s="5"/>
      <c r="AA580" s="7"/>
      <c r="AB580" s="7"/>
      <c r="AC580" s="7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5"/>
      <c r="W581" s="7"/>
      <c r="X581" s="7"/>
      <c r="Y581" s="7"/>
      <c r="Z581" s="5"/>
      <c r="AA581" s="7"/>
      <c r="AB581" s="7"/>
      <c r="AC581" s="7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5"/>
      <c r="W582" s="7"/>
      <c r="X582" s="7"/>
      <c r="Y582" s="7"/>
      <c r="Z582" s="5"/>
      <c r="AA582" s="7"/>
      <c r="AB582" s="7"/>
      <c r="AC582" s="7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5"/>
      <c r="W583" s="7"/>
      <c r="X583" s="7"/>
      <c r="Y583" s="7"/>
      <c r="Z583" s="5"/>
      <c r="AA583" s="7"/>
      <c r="AB583" s="7"/>
      <c r="AC583" s="7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5"/>
      <c r="W584" s="7"/>
      <c r="X584" s="7"/>
      <c r="Y584" s="7"/>
      <c r="Z584" s="5"/>
      <c r="AA584" s="7"/>
      <c r="AB584" s="7"/>
      <c r="AC584" s="7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5"/>
      <c r="W585" s="7"/>
      <c r="X585" s="7"/>
      <c r="Y585" s="7"/>
      <c r="Z585" s="5"/>
      <c r="AA585" s="7"/>
      <c r="AB585" s="7"/>
      <c r="AC585" s="7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5"/>
      <c r="W586" s="7"/>
      <c r="X586" s="7"/>
      <c r="Y586" s="7"/>
      <c r="Z586" s="5"/>
      <c r="AA586" s="7"/>
      <c r="AB586" s="7"/>
      <c r="AC586" s="7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5"/>
      <c r="W587" s="7"/>
      <c r="X587" s="7"/>
      <c r="Y587" s="7"/>
      <c r="Z587" s="5"/>
      <c r="AA587" s="7"/>
      <c r="AB587" s="7"/>
      <c r="AC587" s="7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5"/>
      <c r="W588" s="7"/>
      <c r="X588" s="7"/>
      <c r="Y588" s="7"/>
      <c r="Z588" s="5"/>
      <c r="AA588" s="7"/>
      <c r="AB588" s="7"/>
      <c r="AC588" s="7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5"/>
      <c r="W589" s="7"/>
      <c r="X589" s="7"/>
      <c r="Y589" s="7"/>
      <c r="Z589" s="5"/>
      <c r="AA589" s="7"/>
      <c r="AB589" s="7"/>
      <c r="AC589" s="7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5"/>
      <c r="W590" s="7"/>
      <c r="X590" s="7"/>
      <c r="Y590" s="7"/>
      <c r="Z590" s="5"/>
      <c r="AA590" s="7"/>
      <c r="AB590" s="7"/>
      <c r="AC590" s="7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5"/>
      <c r="W591" s="7"/>
      <c r="X591" s="7"/>
      <c r="Y591" s="7"/>
      <c r="Z591" s="5"/>
      <c r="AA591" s="7"/>
      <c r="AB591" s="7"/>
      <c r="AC591" s="7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5"/>
      <c r="W592" s="7"/>
      <c r="X592" s="7"/>
      <c r="Y592" s="7"/>
      <c r="Z592" s="5"/>
      <c r="AA592" s="7"/>
      <c r="AB592" s="7"/>
      <c r="AC592" s="7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5"/>
      <c r="W593" s="7"/>
      <c r="X593" s="7"/>
      <c r="Y593" s="7"/>
      <c r="Z593" s="5"/>
      <c r="AA593" s="7"/>
      <c r="AB593" s="7"/>
      <c r="AC593" s="7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5"/>
      <c r="W594" s="7"/>
      <c r="X594" s="7"/>
      <c r="Y594" s="7"/>
      <c r="Z594" s="5"/>
      <c r="AA594" s="7"/>
      <c r="AB594" s="7"/>
      <c r="AC594" s="7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5"/>
      <c r="W595" s="7"/>
      <c r="X595" s="7"/>
      <c r="Y595" s="7"/>
      <c r="Z595" s="5"/>
      <c r="AA595" s="7"/>
      <c r="AB595" s="7"/>
      <c r="AC595" s="7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5"/>
      <c r="W596" s="7"/>
      <c r="X596" s="7"/>
      <c r="Y596" s="7"/>
      <c r="Z596" s="5"/>
      <c r="AA596" s="7"/>
      <c r="AB596" s="7"/>
      <c r="AC596" s="7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5"/>
      <c r="W597" s="7"/>
      <c r="X597" s="7"/>
      <c r="Y597" s="7"/>
      <c r="Z597" s="5"/>
      <c r="AA597" s="7"/>
      <c r="AB597" s="7"/>
      <c r="AC597" s="7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5"/>
      <c r="W598" s="7"/>
      <c r="X598" s="7"/>
      <c r="Y598" s="7"/>
      <c r="Z598" s="5"/>
      <c r="AA598" s="7"/>
      <c r="AB598" s="7"/>
      <c r="AC598" s="7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5"/>
      <c r="W599" s="7"/>
      <c r="X599" s="7"/>
      <c r="Y599" s="7"/>
      <c r="Z599" s="5"/>
      <c r="AA599" s="7"/>
      <c r="AB599" s="7"/>
      <c r="AC599" s="7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5"/>
      <c r="W600" s="7"/>
      <c r="X600" s="7"/>
      <c r="Y600" s="7"/>
      <c r="Z600" s="5"/>
      <c r="AA600" s="7"/>
      <c r="AB600" s="7"/>
      <c r="AC600" s="7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5"/>
      <c r="W601" s="7"/>
      <c r="X601" s="7"/>
      <c r="Y601" s="7"/>
      <c r="Z601" s="5"/>
      <c r="AA601" s="7"/>
      <c r="AB601" s="7"/>
      <c r="AC601" s="7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5"/>
      <c r="W602" s="7"/>
      <c r="X602" s="7"/>
      <c r="Y602" s="7"/>
      <c r="Z602" s="5"/>
      <c r="AA602" s="7"/>
      <c r="AB602" s="7"/>
      <c r="AC602" s="7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5"/>
      <c r="W603" s="7"/>
      <c r="X603" s="7"/>
      <c r="Y603" s="7"/>
      <c r="Z603" s="5"/>
      <c r="AA603" s="7"/>
      <c r="AB603" s="7"/>
      <c r="AC603" s="7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5"/>
      <c r="W604" s="7"/>
      <c r="X604" s="7"/>
      <c r="Y604" s="7"/>
      <c r="Z604" s="5"/>
      <c r="AA604" s="7"/>
      <c r="AB604" s="7"/>
      <c r="AC604" s="7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5"/>
      <c r="W605" s="7"/>
      <c r="X605" s="7"/>
      <c r="Y605" s="7"/>
      <c r="Z605" s="5"/>
      <c r="AA605" s="7"/>
      <c r="AB605" s="7"/>
      <c r="AC605" s="7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5"/>
      <c r="W606" s="7"/>
      <c r="X606" s="7"/>
      <c r="Y606" s="7"/>
      <c r="Z606" s="5"/>
      <c r="AA606" s="7"/>
      <c r="AB606" s="7"/>
      <c r="AC606" s="7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5"/>
      <c r="W607" s="7"/>
      <c r="X607" s="7"/>
      <c r="Y607" s="7"/>
      <c r="Z607" s="5"/>
      <c r="AA607" s="7"/>
      <c r="AB607" s="7"/>
      <c r="AC607" s="7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5"/>
      <c r="W608" s="7"/>
      <c r="X608" s="7"/>
      <c r="Y608" s="7"/>
      <c r="Z608" s="5"/>
      <c r="AA608" s="7"/>
      <c r="AB608" s="7"/>
      <c r="AC608" s="7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5"/>
      <c r="W609" s="7"/>
      <c r="X609" s="7"/>
      <c r="Y609" s="7"/>
      <c r="Z609" s="5"/>
      <c r="AA609" s="7"/>
      <c r="AB609" s="7"/>
      <c r="AC609" s="7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5"/>
      <c r="W610" s="7"/>
      <c r="X610" s="7"/>
      <c r="Y610" s="7"/>
      <c r="Z610" s="5"/>
      <c r="AA610" s="7"/>
      <c r="AB610" s="7"/>
      <c r="AC610" s="7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5"/>
      <c r="W611" s="7"/>
      <c r="X611" s="7"/>
      <c r="Y611" s="7"/>
      <c r="Z611" s="5"/>
      <c r="AA611" s="7"/>
      <c r="AB611" s="7"/>
      <c r="AC611" s="7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5"/>
      <c r="W612" s="7"/>
      <c r="X612" s="7"/>
      <c r="Y612" s="7"/>
      <c r="Z612" s="5"/>
      <c r="AA612" s="7"/>
      <c r="AB612" s="7"/>
      <c r="AC612" s="7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5"/>
      <c r="W613" s="7"/>
      <c r="X613" s="7"/>
      <c r="Y613" s="7"/>
      <c r="Z613" s="5"/>
      <c r="AA613" s="7"/>
      <c r="AB613" s="7"/>
      <c r="AC613" s="7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5"/>
      <c r="W614" s="7"/>
      <c r="X614" s="7"/>
      <c r="Y614" s="7"/>
      <c r="Z614" s="5"/>
      <c r="AA614" s="7"/>
      <c r="AB614" s="7"/>
      <c r="AC614" s="7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5"/>
      <c r="W615" s="7"/>
      <c r="X615" s="7"/>
      <c r="Y615" s="7"/>
      <c r="Z615" s="5"/>
      <c r="AA615" s="7"/>
      <c r="AB615" s="7"/>
      <c r="AC615" s="7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5"/>
      <c r="W616" s="7"/>
      <c r="X616" s="7"/>
      <c r="Y616" s="7"/>
      <c r="Z616" s="5"/>
      <c r="AA616" s="7"/>
      <c r="AB616" s="7"/>
      <c r="AC616" s="7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5"/>
      <c r="W617" s="7"/>
      <c r="X617" s="7"/>
      <c r="Y617" s="7"/>
      <c r="Z617" s="5"/>
      <c r="AA617" s="7"/>
      <c r="AB617" s="7"/>
      <c r="AC617" s="7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5"/>
      <c r="W618" s="7"/>
      <c r="X618" s="7"/>
      <c r="Y618" s="7"/>
      <c r="Z618" s="5"/>
      <c r="AA618" s="7"/>
      <c r="AB618" s="7"/>
      <c r="AC618" s="7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5"/>
      <c r="W619" s="7"/>
      <c r="X619" s="7"/>
      <c r="Y619" s="7"/>
      <c r="Z619" s="5"/>
      <c r="AA619" s="7"/>
      <c r="AB619" s="7"/>
      <c r="AC619" s="7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5"/>
      <c r="W620" s="7"/>
      <c r="X620" s="7"/>
      <c r="Y620" s="7"/>
      <c r="Z620" s="5"/>
      <c r="AA620" s="7"/>
      <c r="AB620" s="7"/>
      <c r="AC620" s="7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5"/>
      <c r="W621" s="7"/>
      <c r="X621" s="7"/>
      <c r="Y621" s="7"/>
      <c r="Z621" s="5"/>
      <c r="AA621" s="7"/>
      <c r="AB621" s="7"/>
      <c r="AC621" s="7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5"/>
      <c r="W622" s="7"/>
      <c r="X622" s="7"/>
      <c r="Y622" s="7"/>
      <c r="Z622" s="5"/>
      <c r="AA622" s="7"/>
      <c r="AB622" s="7"/>
      <c r="AC622" s="7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5"/>
      <c r="W623" s="7"/>
      <c r="X623" s="7"/>
      <c r="Y623" s="7"/>
      <c r="Z623" s="5"/>
      <c r="AA623" s="7"/>
      <c r="AB623" s="7"/>
      <c r="AC623" s="7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5"/>
      <c r="W624" s="7"/>
      <c r="X624" s="7"/>
      <c r="Y624" s="7"/>
      <c r="Z624" s="5"/>
      <c r="AA624" s="7"/>
      <c r="AB624" s="7"/>
      <c r="AC624" s="7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5"/>
      <c r="W625" s="7"/>
      <c r="X625" s="7"/>
      <c r="Y625" s="7"/>
      <c r="Z625" s="5"/>
      <c r="AA625" s="7"/>
      <c r="AB625" s="7"/>
      <c r="AC625" s="7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5"/>
      <c r="W626" s="7"/>
      <c r="X626" s="7"/>
      <c r="Y626" s="7"/>
      <c r="Z626" s="5"/>
      <c r="AA626" s="7"/>
      <c r="AB626" s="7"/>
      <c r="AC626" s="7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5"/>
      <c r="W627" s="7"/>
      <c r="X627" s="7"/>
      <c r="Y627" s="7"/>
      <c r="Z627" s="5"/>
      <c r="AA627" s="7"/>
      <c r="AB627" s="7"/>
      <c r="AC627" s="7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5"/>
      <c r="W628" s="7"/>
      <c r="X628" s="7"/>
      <c r="Y628" s="7"/>
      <c r="Z628" s="5"/>
      <c r="AA628" s="7"/>
      <c r="AB628" s="7"/>
      <c r="AC628" s="7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5"/>
      <c r="W629" s="7"/>
      <c r="X629" s="7"/>
      <c r="Y629" s="7"/>
      <c r="Z629" s="5"/>
      <c r="AA629" s="7"/>
      <c r="AB629" s="7"/>
      <c r="AC629" s="7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5"/>
      <c r="W630" s="7"/>
      <c r="X630" s="7"/>
      <c r="Y630" s="7"/>
      <c r="Z630" s="5"/>
      <c r="AA630" s="7"/>
      <c r="AB630" s="7"/>
      <c r="AC630" s="7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5"/>
      <c r="W631" s="7"/>
      <c r="X631" s="7"/>
      <c r="Y631" s="7"/>
      <c r="Z631" s="5"/>
      <c r="AA631" s="7"/>
      <c r="AB631" s="7"/>
      <c r="AC631" s="7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5"/>
      <c r="W632" s="7"/>
      <c r="X632" s="7"/>
      <c r="Y632" s="7"/>
      <c r="Z632" s="5"/>
      <c r="AA632" s="7"/>
      <c r="AB632" s="7"/>
      <c r="AC632" s="7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5"/>
      <c r="W633" s="7"/>
      <c r="X633" s="7"/>
      <c r="Y633" s="7"/>
      <c r="Z633" s="5"/>
      <c r="AA633" s="7"/>
      <c r="AB633" s="7"/>
      <c r="AC633" s="7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5"/>
      <c r="W634" s="7"/>
      <c r="X634" s="7"/>
      <c r="Y634" s="7"/>
      <c r="Z634" s="5"/>
      <c r="AA634" s="7"/>
      <c r="AB634" s="7"/>
      <c r="AC634" s="7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5"/>
      <c r="W635" s="7"/>
      <c r="X635" s="7"/>
      <c r="Y635" s="7"/>
      <c r="Z635" s="5"/>
      <c r="AA635" s="7"/>
      <c r="AB635" s="7"/>
      <c r="AC635" s="7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5"/>
      <c r="W636" s="7"/>
      <c r="X636" s="7"/>
      <c r="Y636" s="7"/>
      <c r="Z636" s="5"/>
      <c r="AA636" s="7"/>
      <c r="AB636" s="7"/>
      <c r="AC636" s="7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5"/>
      <c r="W637" s="7"/>
      <c r="X637" s="7"/>
      <c r="Y637" s="7"/>
      <c r="Z637" s="5"/>
      <c r="AA637" s="7"/>
      <c r="AB637" s="7"/>
      <c r="AC637" s="7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5"/>
      <c r="W638" s="7"/>
      <c r="X638" s="7"/>
      <c r="Y638" s="7"/>
      <c r="Z638" s="5"/>
      <c r="AA638" s="7"/>
      <c r="AB638" s="7"/>
      <c r="AC638" s="7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5"/>
      <c r="W639" s="7"/>
      <c r="X639" s="7"/>
      <c r="Y639" s="7"/>
      <c r="Z639" s="5"/>
      <c r="AA639" s="7"/>
      <c r="AB639" s="7"/>
      <c r="AC639" s="7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5"/>
      <c r="W640" s="7"/>
      <c r="X640" s="7"/>
      <c r="Y640" s="7"/>
      <c r="Z640" s="5"/>
      <c r="AA640" s="7"/>
      <c r="AB640" s="7"/>
      <c r="AC640" s="7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5"/>
      <c r="W641" s="7"/>
      <c r="X641" s="7"/>
      <c r="Y641" s="7"/>
      <c r="Z641" s="5"/>
      <c r="AA641" s="7"/>
      <c r="AB641" s="7"/>
      <c r="AC641" s="7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5"/>
      <c r="W642" s="7"/>
      <c r="X642" s="7"/>
      <c r="Y642" s="7"/>
      <c r="Z642" s="5"/>
      <c r="AA642" s="7"/>
      <c r="AB642" s="7"/>
      <c r="AC642" s="7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5"/>
      <c r="W643" s="7"/>
      <c r="X643" s="7"/>
      <c r="Y643" s="7"/>
      <c r="Z643" s="5"/>
      <c r="AA643" s="7"/>
      <c r="AB643" s="7"/>
      <c r="AC643" s="7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5"/>
      <c r="W644" s="7"/>
      <c r="X644" s="7"/>
      <c r="Y644" s="7"/>
      <c r="Z644" s="5"/>
      <c r="AA644" s="7"/>
      <c r="AB644" s="7"/>
      <c r="AC644" s="7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5"/>
      <c r="W645" s="7"/>
      <c r="X645" s="7"/>
      <c r="Y645" s="7"/>
      <c r="Z645" s="5"/>
      <c r="AA645" s="7"/>
      <c r="AB645" s="7"/>
      <c r="AC645" s="7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5"/>
      <c r="W646" s="7"/>
      <c r="X646" s="7"/>
      <c r="Y646" s="7"/>
      <c r="Z646" s="5"/>
      <c r="AA646" s="7"/>
      <c r="AB646" s="7"/>
      <c r="AC646" s="7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5"/>
      <c r="W647" s="7"/>
      <c r="X647" s="7"/>
      <c r="Y647" s="7"/>
      <c r="Z647" s="5"/>
      <c r="AA647" s="7"/>
      <c r="AB647" s="7"/>
      <c r="AC647" s="7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5"/>
      <c r="W648" s="7"/>
      <c r="X648" s="7"/>
      <c r="Y648" s="7"/>
      <c r="Z648" s="5"/>
      <c r="AA648" s="7"/>
      <c r="AB648" s="7"/>
      <c r="AC648" s="7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5"/>
      <c r="W649" s="7"/>
      <c r="X649" s="7"/>
      <c r="Y649" s="7"/>
      <c r="Z649" s="5"/>
      <c r="AA649" s="7"/>
      <c r="AB649" s="7"/>
      <c r="AC649" s="7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5"/>
      <c r="W650" s="7"/>
      <c r="X650" s="7"/>
      <c r="Y650" s="7"/>
      <c r="Z650" s="5"/>
      <c r="AA650" s="7"/>
      <c r="AB650" s="7"/>
      <c r="AC650" s="7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5"/>
      <c r="W651" s="7"/>
      <c r="X651" s="7"/>
      <c r="Y651" s="7"/>
      <c r="Z651" s="5"/>
      <c r="AA651" s="7"/>
      <c r="AB651" s="7"/>
      <c r="AC651" s="7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5"/>
      <c r="W652" s="7"/>
      <c r="X652" s="7"/>
      <c r="Y652" s="7"/>
      <c r="Z652" s="5"/>
      <c r="AA652" s="7"/>
      <c r="AB652" s="7"/>
      <c r="AC652" s="7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5"/>
      <c r="W653" s="7"/>
      <c r="X653" s="7"/>
      <c r="Y653" s="7"/>
      <c r="Z653" s="5"/>
      <c r="AA653" s="7"/>
      <c r="AB653" s="7"/>
      <c r="AC653" s="7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5"/>
      <c r="W654" s="7"/>
      <c r="X654" s="7"/>
      <c r="Y654" s="7"/>
      <c r="Z654" s="5"/>
      <c r="AA654" s="7"/>
      <c r="AB654" s="7"/>
      <c r="AC654" s="7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5"/>
      <c r="W655" s="7"/>
      <c r="X655" s="7"/>
      <c r="Y655" s="7"/>
      <c r="Z655" s="5"/>
      <c r="AA655" s="7"/>
      <c r="AB655" s="7"/>
      <c r="AC655" s="7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5"/>
      <c r="W656" s="7"/>
      <c r="X656" s="7"/>
      <c r="Y656" s="7"/>
      <c r="Z656" s="5"/>
      <c r="AA656" s="7"/>
      <c r="AB656" s="7"/>
      <c r="AC656" s="7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5"/>
      <c r="W657" s="7"/>
      <c r="X657" s="7"/>
      <c r="Y657" s="7"/>
      <c r="Z657" s="5"/>
      <c r="AA657" s="7"/>
      <c r="AB657" s="7"/>
      <c r="AC657" s="7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5"/>
      <c r="W658" s="7"/>
      <c r="X658" s="7"/>
      <c r="Y658" s="7"/>
      <c r="Z658" s="5"/>
      <c r="AA658" s="7"/>
      <c r="AB658" s="7"/>
      <c r="AC658" s="7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5"/>
      <c r="W659" s="7"/>
      <c r="X659" s="7"/>
      <c r="Y659" s="7"/>
      <c r="Z659" s="5"/>
      <c r="AA659" s="7"/>
      <c r="AB659" s="7"/>
      <c r="AC659" s="7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5"/>
      <c r="W660" s="7"/>
      <c r="X660" s="7"/>
      <c r="Y660" s="7"/>
      <c r="Z660" s="5"/>
      <c r="AA660" s="7"/>
      <c r="AB660" s="7"/>
      <c r="AC660" s="7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5"/>
      <c r="W661" s="7"/>
      <c r="X661" s="7"/>
      <c r="Y661" s="7"/>
      <c r="Z661" s="5"/>
      <c r="AA661" s="7"/>
      <c r="AB661" s="7"/>
      <c r="AC661" s="7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5"/>
      <c r="W662" s="7"/>
      <c r="X662" s="7"/>
      <c r="Y662" s="7"/>
      <c r="Z662" s="5"/>
      <c r="AA662" s="7"/>
      <c r="AB662" s="7"/>
      <c r="AC662" s="7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5"/>
      <c r="W663" s="7"/>
      <c r="X663" s="7"/>
      <c r="Y663" s="7"/>
      <c r="Z663" s="5"/>
      <c r="AA663" s="7"/>
      <c r="AB663" s="7"/>
      <c r="AC663" s="7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5"/>
      <c r="W664" s="7"/>
      <c r="X664" s="7"/>
      <c r="Y664" s="7"/>
      <c r="Z664" s="5"/>
      <c r="AA664" s="7"/>
      <c r="AB664" s="7"/>
      <c r="AC664" s="7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5"/>
      <c r="W665" s="7"/>
      <c r="X665" s="7"/>
      <c r="Y665" s="7"/>
      <c r="Z665" s="5"/>
      <c r="AA665" s="7"/>
      <c r="AB665" s="7"/>
      <c r="AC665" s="7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5"/>
      <c r="W666" s="7"/>
      <c r="X666" s="7"/>
      <c r="Y666" s="7"/>
      <c r="Z666" s="5"/>
      <c r="AA666" s="7"/>
      <c r="AB666" s="7"/>
      <c r="AC666" s="7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5"/>
      <c r="W667" s="7"/>
      <c r="X667" s="7"/>
      <c r="Y667" s="7"/>
      <c r="Z667" s="5"/>
      <c r="AA667" s="7"/>
      <c r="AB667" s="7"/>
      <c r="AC667" s="7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5"/>
      <c r="W668" s="7"/>
      <c r="X668" s="7"/>
      <c r="Y668" s="7"/>
      <c r="Z668" s="5"/>
      <c r="AA668" s="7"/>
      <c r="AB668" s="7"/>
      <c r="AC668" s="7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5"/>
      <c r="W669" s="7"/>
      <c r="X669" s="7"/>
      <c r="Y669" s="7"/>
      <c r="Z669" s="5"/>
      <c r="AA669" s="7"/>
      <c r="AB669" s="7"/>
      <c r="AC669" s="7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5"/>
      <c r="W670" s="7"/>
      <c r="X670" s="7"/>
      <c r="Y670" s="7"/>
      <c r="Z670" s="5"/>
      <c r="AA670" s="7"/>
      <c r="AB670" s="7"/>
      <c r="AC670" s="7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5"/>
      <c r="W671" s="7"/>
      <c r="X671" s="7"/>
      <c r="Y671" s="7"/>
      <c r="Z671" s="5"/>
      <c r="AA671" s="7"/>
      <c r="AB671" s="7"/>
      <c r="AC671" s="7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5"/>
      <c r="W672" s="7"/>
      <c r="X672" s="7"/>
      <c r="Y672" s="7"/>
      <c r="Z672" s="5"/>
      <c r="AA672" s="7"/>
      <c r="AB672" s="7"/>
      <c r="AC672" s="7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5"/>
      <c r="W673" s="7"/>
      <c r="X673" s="7"/>
      <c r="Y673" s="7"/>
      <c r="Z673" s="5"/>
      <c r="AA673" s="7"/>
      <c r="AB673" s="7"/>
      <c r="AC673" s="7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5"/>
      <c r="W674" s="7"/>
      <c r="X674" s="7"/>
      <c r="Y674" s="7"/>
      <c r="Z674" s="5"/>
      <c r="AA674" s="7"/>
      <c r="AB674" s="7"/>
      <c r="AC674" s="7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5"/>
      <c r="W675" s="7"/>
      <c r="X675" s="7"/>
      <c r="Y675" s="7"/>
      <c r="Z675" s="5"/>
      <c r="AA675" s="7"/>
      <c r="AB675" s="7"/>
      <c r="AC675" s="7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5"/>
      <c r="W676" s="7"/>
      <c r="X676" s="7"/>
      <c r="Y676" s="7"/>
      <c r="Z676" s="5"/>
      <c r="AA676" s="7"/>
      <c r="AB676" s="7"/>
      <c r="AC676" s="7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5"/>
      <c r="W677" s="7"/>
      <c r="X677" s="7"/>
      <c r="Y677" s="7"/>
      <c r="Z677" s="5"/>
      <c r="AA677" s="7"/>
      <c r="AB677" s="7"/>
      <c r="AC677" s="7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5"/>
      <c r="W678" s="7"/>
      <c r="X678" s="7"/>
      <c r="Y678" s="7"/>
      <c r="Z678" s="5"/>
      <c r="AA678" s="7"/>
      <c r="AB678" s="7"/>
      <c r="AC678" s="7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5"/>
      <c r="W679" s="7"/>
      <c r="X679" s="7"/>
      <c r="Y679" s="7"/>
      <c r="Z679" s="5"/>
      <c r="AA679" s="7"/>
      <c r="AB679" s="7"/>
      <c r="AC679" s="7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5"/>
      <c r="W680" s="7"/>
      <c r="X680" s="7"/>
      <c r="Y680" s="7"/>
      <c r="Z680" s="5"/>
      <c r="AA680" s="7"/>
      <c r="AB680" s="7"/>
      <c r="AC680" s="7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5"/>
      <c r="W681" s="7"/>
      <c r="X681" s="7"/>
      <c r="Y681" s="7"/>
      <c r="Z681" s="5"/>
      <c r="AA681" s="7"/>
      <c r="AB681" s="7"/>
      <c r="AC681" s="7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5"/>
      <c r="W682" s="7"/>
      <c r="X682" s="7"/>
      <c r="Y682" s="7"/>
      <c r="Z682" s="5"/>
      <c r="AA682" s="7"/>
      <c r="AB682" s="7"/>
      <c r="AC682" s="7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5"/>
      <c r="W683" s="7"/>
      <c r="X683" s="7"/>
      <c r="Y683" s="7"/>
      <c r="Z683" s="5"/>
      <c r="AA683" s="7"/>
      <c r="AB683" s="7"/>
      <c r="AC683" s="7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5"/>
      <c r="W684" s="7"/>
      <c r="X684" s="7"/>
      <c r="Y684" s="7"/>
      <c r="Z684" s="5"/>
      <c r="AA684" s="7"/>
      <c r="AB684" s="7"/>
      <c r="AC684" s="7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5"/>
      <c r="W685" s="7"/>
      <c r="X685" s="7"/>
      <c r="Y685" s="7"/>
      <c r="Z685" s="5"/>
      <c r="AA685" s="7"/>
      <c r="AB685" s="7"/>
      <c r="AC685" s="7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5"/>
      <c r="W686" s="7"/>
      <c r="X686" s="7"/>
      <c r="Y686" s="7"/>
      <c r="Z686" s="5"/>
      <c r="AA686" s="7"/>
      <c r="AB686" s="7"/>
      <c r="AC686" s="7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5"/>
      <c r="W687" s="7"/>
      <c r="X687" s="7"/>
      <c r="Y687" s="7"/>
      <c r="Z687" s="5"/>
      <c r="AA687" s="7"/>
      <c r="AB687" s="7"/>
      <c r="AC687" s="7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5"/>
      <c r="W688" s="7"/>
      <c r="X688" s="7"/>
      <c r="Y688" s="7"/>
      <c r="Z688" s="5"/>
      <c r="AA688" s="7"/>
      <c r="AB688" s="7"/>
      <c r="AC688" s="7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5"/>
      <c r="W689" s="7"/>
      <c r="X689" s="7"/>
      <c r="Y689" s="7"/>
      <c r="Z689" s="5"/>
      <c r="AA689" s="7"/>
      <c r="AB689" s="7"/>
      <c r="AC689" s="7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5"/>
      <c r="W690" s="7"/>
      <c r="X690" s="7"/>
      <c r="Y690" s="7"/>
      <c r="Z690" s="5"/>
      <c r="AA690" s="7"/>
      <c r="AB690" s="7"/>
      <c r="AC690" s="7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5"/>
      <c r="W691" s="7"/>
      <c r="X691" s="7"/>
      <c r="Y691" s="7"/>
      <c r="Z691" s="5"/>
      <c r="AA691" s="7"/>
      <c r="AB691" s="7"/>
      <c r="AC691" s="7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5"/>
      <c r="W692" s="7"/>
      <c r="X692" s="7"/>
      <c r="Y692" s="7"/>
      <c r="Z692" s="5"/>
      <c r="AA692" s="7"/>
      <c r="AB692" s="7"/>
      <c r="AC692" s="7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5"/>
      <c r="W693" s="7"/>
      <c r="X693" s="7"/>
      <c r="Y693" s="7"/>
      <c r="Z693" s="5"/>
      <c r="AA693" s="7"/>
      <c r="AB693" s="7"/>
      <c r="AC693" s="7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5"/>
      <c r="W694" s="7"/>
      <c r="X694" s="7"/>
      <c r="Y694" s="7"/>
      <c r="Z694" s="5"/>
      <c r="AA694" s="7"/>
      <c r="AB694" s="7"/>
      <c r="AC694" s="7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5"/>
      <c r="W695" s="7"/>
      <c r="X695" s="7"/>
      <c r="Y695" s="7"/>
      <c r="Z695" s="5"/>
      <c r="AA695" s="7"/>
      <c r="AB695" s="7"/>
      <c r="AC695" s="7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5"/>
      <c r="W696" s="7"/>
      <c r="X696" s="7"/>
      <c r="Y696" s="7"/>
      <c r="Z696" s="5"/>
      <c r="AA696" s="7"/>
      <c r="AB696" s="7"/>
      <c r="AC696" s="7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5"/>
      <c r="W697" s="7"/>
      <c r="X697" s="7"/>
      <c r="Y697" s="7"/>
      <c r="Z697" s="5"/>
      <c r="AA697" s="7"/>
      <c r="AB697" s="7"/>
      <c r="AC697" s="7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5"/>
      <c r="W698" s="7"/>
      <c r="X698" s="7"/>
      <c r="Y698" s="7"/>
      <c r="Z698" s="5"/>
      <c r="AA698" s="7"/>
      <c r="AB698" s="7"/>
      <c r="AC698" s="7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5"/>
      <c r="W699" s="7"/>
      <c r="X699" s="7"/>
      <c r="Y699" s="7"/>
      <c r="Z699" s="5"/>
      <c r="AA699" s="7"/>
      <c r="AB699" s="7"/>
      <c r="AC699" s="7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5"/>
      <c r="W700" s="7"/>
      <c r="X700" s="7"/>
      <c r="Y700" s="7"/>
      <c r="Z700" s="5"/>
      <c r="AA700" s="7"/>
      <c r="AB700" s="7"/>
      <c r="AC700" s="7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5"/>
      <c r="W701" s="7"/>
      <c r="X701" s="7"/>
      <c r="Y701" s="7"/>
      <c r="Z701" s="5"/>
      <c r="AA701" s="7"/>
      <c r="AB701" s="7"/>
      <c r="AC701" s="7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5"/>
      <c r="W702" s="7"/>
      <c r="X702" s="7"/>
      <c r="Y702" s="7"/>
      <c r="Z702" s="5"/>
      <c r="AA702" s="7"/>
      <c r="AB702" s="7"/>
      <c r="AC702" s="7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5"/>
      <c r="W703" s="7"/>
      <c r="X703" s="7"/>
      <c r="Y703" s="7"/>
      <c r="Z703" s="5"/>
      <c r="AA703" s="7"/>
      <c r="AB703" s="7"/>
      <c r="AC703" s="7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5"/>
      <c r="W704" s="7"/>
      <c r="X704" s="7"/>
      <c r="Y704" s="7"/>
      <c r="Z704" s="5"/>
      <c r="AA704" s="7"/>
      <c r="AB704" s="7"/>
      <c r="AC704" s="7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5"/>
      <c r="W705" s="7"/>
      <c r="X705" s="7"/>
      <c r="Y705" s="7"/>
      <c r="Z705" s="5"/>
      <c r="AA705" s="7"/>
      <c r="AB705" s="7"/>
      <c r="AC705" s="7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5"/>
      <c r="W706" s="7"/>
      <c r="X706" s="7"/>
      <c r="Y706" s="7"/>
      <c r="Z706" s="5"/>
      <c r="AA706" s="7"/>
      <c r="AB706" s="7"/>
      <c r="AC706" s="7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5"/>
      <c r="W707" s="7"/>
      <c r="X707" s="7"/>
      <c r="Y707" s="7"/>
      <c r="Z707" s="5"/>
      <c r="AA707" s="7"/>
      <c r="AB707" s="7"/>
      <c r="AC707" s="7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5"/>
      <c r="W708" s="7"/>
      <c r="X708" s="7"/>
      <c r="Y708" s="7"/>
      <c r="Z708" s="5"/>
      <c r="AA708" s="7"/>
      <c r="AB708" s="7"/>
      <c r="AC708" s="7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5"/>
      <c r="W709" s="7"/>
      <c r="X709" s="7"/>
      <c r="Y709" s="7"/>
      <c r="Z709" s="5"/>
      <c r="AA709" s="7"/>
      <c r="AB709" s="7"/>
      <c r="AC709" s="7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5"/>
      <c r="W710" s="7"/>
      <c r="X710" s="7"/>
      <c r="Y710" s="7"/>
      <c r="Z710" s="5"/>
      <c r="AA710" s="7"/>
      <c r="AB710" s="7"/>
      <c r="AC710" s="7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5"/>
      <c r="W711" s="7"/>
      <c r="X711" s="7"/>
      <c r="Y711" s="7"/>
      <c r="Z711" s="5"/>
      <c r="AA711" s="7"/>
      <c r="AB711" s="7"/>
      <c r="AC711" s="7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5"/>
      <c r="W712" s="7"/>
      <c r="X712" s="7"/>
      <c r="Y712" s="7"/>
      <c r="Z712" s="5"/>
      <c r="AA712" s="7"/>
      <c r="AB712" s="7"/>
      <c r="AC712" s="7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5"/>
      <c r="W713" s="7"/>
      <c r="X713" s="7"/>
      <c r="Y713" s="7"/>
      <c r="Z713" s="5"/>
      <c r="AA713" s="7"/>
      <c r="AB713" s="7"/>
      <c r="AC713" s="7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5"/>
      <c r="W714" s="7"/>
      <c r="X714" s="7"/>
      <c r="Y714" s="7"/>
      <c r="Z714" s="5"/>
      <c r="AA714" s="7"/>
      <c r="AB714" s="7"/>
      <c r="AC714" s="7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5"/>
      <c r="W715" s="7"/>
      <c r="X715" s="7"/>
      <c r="Y715" s="7"/>
      <c r="Z715" s="5"/>
      <c r="AA715" s="7"/>
      <c r="AB715" s="7"/>
      <c r="AC715" s="7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5"/>
      <c r="W716" s="7"/>
      <c r="X716" s="7"/>
      <c r="Y716" s="7"/>
      <c r="Z716" s="5"/>
      <c r="AA716" s="7"/>
      <c r="AB716" s="7"/>
      <c r="AC716" s="7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5"/>
      <c r="W717" s="7"/>
      <c r="X717" s="7"/>
      <c r="Y717" s="7"/>
      <c r="Z717" s="5"/>
      <c r="AA717" s="7"/>
      <c r="AB717" s="7"/>
      <c r="AC717" s="7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5"/>
      <c r="W718" s="7"/>
      <c r="X718" s="7"/>
      <c r="Y718" s="7"/>
      <c r="Z718" s="5"/>
      <c r="AA718" s="7"/>
      <c r="AB718" s="7"/>
      <c r="AC718" s="7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5"/>
      <c r="W719" s="7"/>
      <c r="X719" s="7"/>
      <c r="Y719" s="7"/>
      <c r="Z719" s="5"/>
      <c r="AA719" s="7"/>
      <c r="AB719" s="7"/>
      <c r="AC719" s="7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5"/>
      <c r="W720" s="7"/>
      <c r="X720" s="7"/>
      <c r="Y720" s="7"/>
      <c r="Z720" s="5"/>
      <c r="AA720" s="7"/>
      <c r="AB720" s="7"/>
      <c r="AC720" s="7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5"/>
      <c r="W721" s="7"/>
      <c r="X721" s="7"/>
      <c r="Y721" s="7"/>
      <c r="Z721" s="5"/>
      <c r="AA721" s="7"/>
      <c r="AB721" s="7"/>
      <c r="AC721" s="7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5"/>
      <c r="W722" s="7"/>
      <c r="X722" s="7"/>
      <c r="Y722" s="7"/>
      <c r="Z722" s="5"/>
      <c r="AA722" s="7"/>
      <c r="AB722" s="7"/>
      <c r="AC722" s="7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5"/>
      <c r="W723" s="7"/>
      <c r="X723" s="7"/>
      <c r="Y723" s="7"/>
      <c r="Z723" s="5"/>
      <c r="AA723" s="7"/>
      <c r="AB723" s="7"/>
      <c r="AC723" s="7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5"/>
      <c r="W724" s="7"/>
      <c r="X724" s="7"/>
      <c r="Y724" s="7"/>
      <c r="Z724" s="5"/>
      <c r="AA724" s="7"/>
      <c r="AB724" s="7"/>
      <c r="AC724" s="7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5"/>
      <c r="W725" s="7"/>
      <c r="X725" s="7"/>
      <c r="Y725" s="7"/>
      <c r="Z725" s="5"/>
      <c r="AA725" s="7"/>
      <c r="AB725" s="7"/>
      <c r="AC725" s="7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5"/>
      <c r="W726" s="7"/>
      <c r="X726" s="7"/>
      <c r="Y726" s="7"/>
      <c r="Z726" s="5"/>
      <c r="AA726" s="7"/>
      <c r="AB726" s="7"/>
      <c r="AC726" s="7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5"/>
      <c r="W727" s="7"/>
      <c r="X727" s="7"/>
      <c r="Y727" s="7"/>
      <c r="Z727" s="5"/>
      <c r="AA727" s="7"/>
      <c r="AB727" s="7"/>
      <c r="AC727" s="7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5"/>
      <c r="W728" s="7"/>
      <c r="X728" s="7"/>
      <c r="Y728" s="7"/>
      <c r="Z728" s="5"/>
      <c r="AA728" s="7"/>
      <c r="AB728" s="7"/>
      <c r="AC728" s="7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5"/>
      <c r="W729" s="7"/>
      <c r="X729" s="7"/>
      <c r="Y729" s="7"/>
      <c r="Z729" s="5"/>
      <c r="AA729" s="7"/>
      <c r="AB729" s="7"/>
      <c r="AC729" s="7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5"/>
      <c r="W730" s="7"/>
      <c r="X730" s="7"/>
      <c r="Y730" s="7"/>
      <c r="Z730" s="5"/>
      <c r="AA730" s="7"/>
      <c r="AB730" s="7"/>
      <c r="AC730" s="7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5"/>
      <c r="W731" s="7"/>
      <c r="X731" s="7"/>
      <c r="Y731" s="7"/>
      <c r="Z731" s="5"/>
      <c r="AA731" s="7"/>
      <c r="AB731" s="7"/>
      <c r="AC731" s="7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5"/>
      <c r="W732" s="7"/>
      <c r="X732" s="7"/>
      <c r="Y732" s="7"/>
      <c r="Z732" s="5"/>
      <c r="AA732" s="7"/>
      <c r="AB732" s="7"/>
      <c r="AC732" s="7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5"/>
      <c r="W733" s="7"/>
      <c r="X733" s="7"/>
      <c r="Y733" s="7"/>
      <c r="Z733" s="5"/>
      <c r="AA733" s="7"/>
      <c r="AB733" s="7"/>
      <c r="AC733" s="7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5"/>
      <c r="W734" s="7"/>
      <c r="X734" s="7"/>
      <c r="Y734" s="7"/>
      <c r="Z734" s="5"/>
      <c r="AA734" s="7"/>
      <c r="AB734" s="7"/>
      <c r="AC734" s="7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5"/>
      <c r="W735" s="7"/>
      <c r="X735" s="7"/>
      <c r="Y735" s="7"/>
      <c r="Z735" s="5"/>
      <c r="AA735" s="7"/>
      <c r="AB735" s="7"/>
      <c r="AC735" s="7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5"/>
      <c r="W736" s="7"/>
      <c r="X736" s="7"/>
      <c r="Y736" s="7"/>
      <c r="Z736" s="5"/>
      <c r="AA736" s="7"/>
      <c r="AB736" s="7"/>
      <c r="AC736" s="7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5"/>
      <c r="W737" s="7"/>
      <c r="X737" s="7"/>
      <c r="Y737" s="7"/>
      <c r="Z737" s="5"/>
      <c r="AA737" s="7"/>
      <c r="AB737" s="7"/>
      <c r="AC737" s="7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5"/>
      <c r="W738" s="7"/>
      <c r="X738" s="7"/>
      <c r="Y738" s="7"/>
      <c r="Z738" s="5"/>
      <c r="AA738" s="7"/>
      <c r="AB738" s="7"/>
      <c r="AC738" s="7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5"/>
      <c r="W739" s="7"/>
      <c r="X739" s="7"/>
      <c r="Y739" s="7"/>
      <c r="Z739" s="5"/>
      <c r="AA739" s="7"/>
      <c r="AB739" s="7"/>
      <c r="AC739" s="7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5"/>
      <c r="W740" s="7"/>
      <c r="X740" s="7"/>
      <c r="Y740" s="7"/>
      <c r="Z740" s="5"/>
      <c r="AA740" s="7"/>
      <c r="AB740" s="7"/>
      <c r="AC740" s="7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5"/>
      <c r="W741" s="7"/>
      <c r="X741" s="7"/>
      <c r="Y741" s="7"/>
      <c r="Z741" s="5"/>
      <c r="AA741" s="7"/>
      <c r="AB741" s="7"/>
      <c r="AC741" s="7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5"/>
      <c r="W742" s="7"/>
      <c r="X742" s="7"/>
      <c r="Y742" s="7"/>
      <c r="Z742" s="5"/>
      <c r="AA742" s="7"/>
      <c r="AB742" s="7"/>
      <c r="AC742" s="7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5"/>
      <c r="W743" s="7"/>
      <c r="X743" s="7"/>
      <c r="Y743" s="7"/>
      <c r="Z743" s="5"/>
      <c r="AA743" s="7"/>
      <c r="AB743" s="7"/>
      <c r="AC743" s="7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5"/>
      <c r="W744" s="7"/>
      <c r="X744" s="7"/>
      <c r="Y744" s="7"/>
      <c r="Z744" s="5"/>
      <c r="AA744" s="7"/>
      <c r="AB744" s="7"/>
      <c r="AC744" s="7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5"/>
      <c r="W745" s="7"/>
      <c r="X745" s="7"/>
      <c r="Y745" s="7"/>
      <c r="Z745" s="5"/>
      <c r="AA745" s="7"/>
      <c r="AB745" s="7"/>
      <c r="AC745" s="7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5"/>
      <c r="W746" s="7"/>
      <c r="X746" s="7"/>
      <c r="Y746" s="7"/>
      <c r="Z746" s="5"/>
      <c r="AA746" s="7"/>
      <c r="AB746" s="7"/>
      <c r="AC746" s="7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5"/>
      <c r="W747" s="7"/>
      <c r="X747" s="7"/>
      <c r="Y747" s="7"/>
      <c r="Z747" s="5"/>
      <c r="AA747" s="7"/>
      <c r="AB747" s="7"/>
      <c r="AC747" s="7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5"/>
      <c r="W748" s="7"/>
      <c r="X748" s="7"/>
      <c r="Y748" s="7"/>
      <c r="Z748" s="5"/>
      <c r="AA748" s="7"/>
      <c r="AB748" s="7"/>
      <c r="AC748" s="7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5"/>
      <c r="W749" s="7"/>
      <c r="X749" s="7"/>
      <c r="Y749" s="7"/>
      <c r="Z749" s="5"/>
      <c r="AA749" s="7"/>
      <c r="AB749" s="7"/>
      <c r="AC749" s="7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5"/>
      <c r="W750" s="7"/>
      <c r="X750" s="7"/>
      <c r="Y750" s="7"/>
      <c r="Z750" s="5"/>
      <c r="AA750" s="7"/>
      <c r="AB750" s="7"/>
      <c r="AC750" s="7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5"/>
      <c r="W751" s="7"/>
      <c r="X751" s="7"/>
      <c r="Y751" s="7"/>
      <c r="Z751" s="5"/>
      <c r="AA751" s="7"/>
      <c r="AB751" s="7"/>
      <c r="AC751" s="7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5"/>
      <c r="W752" s="7"/>
      <c r="X752" s="7"/>
      <c r="Y752" s="7"/>
      <c r="Z752" s="5"/>
      <c r="AA752" s="7"/>
      <c r="AB752" s="7"/>
      <c r="AC752" s="7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5"/>
      <c r="W753" s="7"/>
      <c r="X753" s="7"/>
      <c r="Y753" s="7"/>
      <c r="Z753" s="5"/>
      <c r="AA753" s="7"/>
      <c r="AB753" s="7"/>
      <c r="AC753" s="7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5"/>
      <c r="W754" s="7"/>
      <c r="X754" s="7"/>
      <c r="Y754" s="7"/>
      <c r="Z754" s="5"/>
      <c r="AA754" s="7"/>
      <c r="AB754" s="7"/>
      <c r="AC754" s="7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5"/>
      <c r="W755" s="7"/>
      <c r="X755" s="7"/>
      <c r="Y755" s="7"/>
      <c r="Z755" s="5"/>
      <c r="AA755" s="7"/>
      <c r="AB755" s="7"/>
      <c r="AC755" s="7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5"/>
      <c r="W756" s="7"/>
      <c r="X756" s="7"/>
      <c r="Y756" s="7"/>
      <c r="Z756" s="5"/>
      <c r="AA756" s="7"/>
      <c r="AB756" s="7"/>
      <c r="AC756" s="7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5"/>
      <c r="W757" s="7"/>
      <c r="X757" s="7"/>
      <c r="Y757" s="7"/>
      <c r="Z757" s="5"/>
      <c r="AA757" s="7"/>
      <c r="AB757" s="7"/>
      <c r="AC757" s="7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5"/>
      <c r="W758" s="7"/>
      <c r="X758" s="7"/>
      <c r="Y758" s="7"/>
      <c r="Z758" s="5"/>
      <c r="AA758" s="7"/>
      <c r="AB758" s="7"/>
      <c r="AC758" s="7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5"/>
      <c r="W759" s="7"/>
      <c r="X759" s="7"/>
      <c r="Y759" s="7"/>
      <c r="Z759" s="5"/>
      <c r="AA759" s="7"/>
      <c r="AB759" s="7"/>
      <c r="AC759" s="7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5"/>
      <c r="W760" s="7"/>
      <c r="X760" s="7"/>
      <c r="Y760" s="7"/>
      <c r="Z760" s="5"/>
      <c r="AA760" s="7"/>
      <c r="AB760" s="7"/>
      <c r="AC760" s="7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5"/>
      <c r="W761" s="7"/>
      <c r="X761" s="7"/>
      <c r="Y761" s="7"/>
      <c r="Z761" s="5"/>
      <c r="AA761" s="7"/>
      <c r="AB761" s="7"/>
      <c r="AC761" s="7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5"/>
      <c r="W762" s="7"/>
      <c r="X762" s="7"/>
      <c r="Y762" s="7"/>
      <c r="Z762" s="5"/>
      <c r="AA762" s="7"/>
      <c r="AB762" s="7"/>
      <c r="AC762" s="7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5"/>
      <c r="W763" s="7"/>
      <c r="X763" s="7"/>
      <c r="Y763" s="7"/>
      <c r="Z763" s="5"/>
      <c r="AA763" s="7"/>
      <c r="AB763" s="7"/>
      <c r="AC763" s="7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5"/>
      <c r="W764" s="7"/>
      <c r="X764" s="7"/>
      <c r="Y764" s="7"/>
      <c r="Z764" s="5"/>
      <c r="AA764" s="7"/>
      <c r="AB764" s="7"/>
      <c r="AC764" s="7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5"/>
      <c r="W765" s="7"/>
      <c r="X765" s="7"/>
      <c r="Y765" s="7"/>
      <c r="Z765" s="5"/>
      <c r="AA765" s="7"/>
      <c r="AB765" s="7"/>
      <c r="AC765" s="7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5"/>
      <c r="W766" s="7"/>
      <c r="X766" s="7"/>
      <c r="Y766" s="7"/>
      <c r="Z766" s="5"/>
      <c r="AA766" s="7"/>
      <c r="AB766" s="7"/>
      <c r="AC766" s="7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5"/>
      <c r="W767" s="7"/>
      <c r="X767" s="7"/>
      <c r="Y767" s="7"/>
      <c r="Z767" s="5"/>
      <c r="AA767" s="7"/>
      <c r="AB767" s="7"/>
      <c r="AC767" s="7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5"/>
      <c r="W768" s="7"/>
      <c r="X768" s="7"/>
      <c r="Y768" s="7"/>
      <c r="Z768" s="5"/>
      <c r="AA768" s="7"/>
      <c r="AB768" s="7"/>
      <c r="AC768" s="7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5"/>
      <c r="W769" s="7"/>
      <c r="X769" s="7"/>
      <c r="Y769" s="7"/>
      <c r="Z769" s="5"/>
      <c r="AA769" s="7"/>
      <c r="AB769" s="7"/>
      <c r="AC769" s="7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5"/>
      <c r="W770" s="7"/>
      <c r="X770" s="7"/>
      <c r="Y770" s="7"/>
      <c r="Z770" s="5"/>
      <c r="AA770" s="7"/>
      <c r="AB770" s="7"/>
      <c r="AC770" s="7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5"/>
      <c r="W771" s="7"/>
      <c r="X771" s="7"/>
      <c r="Y771" s="7"/>
      <c r="Z771" s="5"/>
      <c r="AA771" s="7"/>
      <c r="AB771" s="7"/>
      <c r="AC771" s="7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5"/>
      <c r="W772" s="7"/>
      <c r="X772" s="7"/>
      <c r="Y772" s="7"/>
      <c r="Z772" s="5"/>
      <c r="AA772" s="7"/>
      <c r="AB772" s="7"/>
      <c r="AC772" s="7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5"/>
      <c r="W773" s="7"/>
      <c r="X773" s="7"/>
      <c r="Y773" s="7"/>
      <c r="Z773" s="5"/>
      <c r="AA773" s="7"/>
      <c r="AB773" s="7"/>
      <c r="AC773" s="7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5"/>
      <c r="W774" s="7"/>
      <c r="X774" s="7"/>
      <c r="Y774" s="7"/>
      <c r="Z774" s="5"/>
      <c r="AA774" s="7"/>
      <c r="AB774" s="7"/>
      <c r="AC774" s="7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5"/>
      <c r="W775" s="7"/>
      <c r="X775" s="7"/>
      <c r="Y775" s="7"/>
      <c r="Z775" s="5"/>
      <c r="AA775" s="7"/>
      <c r="AB775" s="7"/>
      <c r="AC775" s="7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5"/>
      <c r="W776" s="7"/>
      <c r="X776" s="7"/>
      <c r="Y776" s="7"/>
      <c r="Z776" s="5"/>
      <c r="AA776" s="7"/>
      <c r="AB776" s="7"/>
      <c r="AC776" s="7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5"/>
      <c r="W777" s="7"/>
      <c r="X777" s="7"/>
      <c r="Y777" s="7"/>
      <c r="Z777" s="5"/>
      <c r="AA777" s="7"/>
      <c r="AB777" s="7"/>
      <c r="AC777" s="7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5"/>
      <c r="W778" s="7"/>
      <c r="X778" s="7"/>
      <c r="Y778" s="7"/>
      <c r="Z778" s="5"/>
      <c r="AA778" s="7"/>
      <c r="AB778" s="7"/>
      <c r="AC778" s="7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5"/>
      <c r="W779" s="7"/>
      <c r="X779" s="7"/>
      <c r="Y779" s="7"/>
      <c r="Z779" s="5"/>
      <c r="AA779" s="7"/>
      <c r="AB779" s="7"/>
      <c r="AC779" s="7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5"/>
      <c r="W780" s="7"/>
      <c r="X780" s="7"/>
      <c r="Y780" s="7"/>
      <c r="Z780" s="5"/>
      <c r="AA780" s="7"/>
      <c r="AB780" s="7"/>
      <c r="AC780" s="7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5"/>
      <c r="W781" s="7"/>
      <c r="X781" s="7"/>
      <c r="Y781" s="7"/>
      <c r="Z781" s="5"/>
      <c r="AA781" s="7"/>
      <c r="AB781" s="7"/>
      <c r="AC781" s="7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5"/>
      <c r="W782" s="7"/>
      <c r="X782" s="7"/>
      <c r="Y782" s="7"/>
      <c r="Z782" s="5"/>
      <c r="AA782" s="7"/>
      <c r="AB782" s="7"/>
      <c r="AC782" s="7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5"/>
      <c r="W783" s="7"/>
      <c r="X783" s="7"/>
      <c r="Y783" s="7"/>
      <c r="Z783" s="5"/>
      <c r="AA783" s="7"/>
      <c r="AB783" s="7"/>
      <c r="AC783" s="7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5"/>
      <c r="W784" s="7"/>
      <c r="X784" s="7"/>
      <c r="Y784" s="7"/>
      <c r="Z784" s="5"/>
      <c r="AA784" s="7"/>
      <c r="AB784" s="7"/>
      <c r="AC784" s="7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5"/>
      <c r="W785" s="7"/>
      <c r="X785" s="7"/>
      <c r="Y785" s="7"/>
      <c r="Z785" s="5"/>
      <c r="AA785" s="7"/>
      <c r="AB785" s="7"/>
      <c r="AC785" s="7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5"/>
      <c r="W786" s="7"/>
      <c r="X786" s="7"/>
      <c r="Y786" s="7"/>
      <c r="Z786" s="5"/>
      <c r="AA786" s="7"/>
      <c r="AB786" s="7"/>
      <c r="AC786" s="7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5"/>
      <c r="W787" s="7"/>
      <c r="X787" s="7"/>
      <c r="Y787" s="7"/>
      <c r="Z787" s="5"/>
      <c r="AA787" s="7"/>
      <c r="AB787" s="7"/>
      <c r="AC787" s="7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5"/>
      <c r="W788" s="7"/>
      <c r="X788" s="7"/>
      <c r="Y788" s="7"/>
      <c r="Z788" s="5"/>
      <c r="AA788" s="7"/>
      <c r="AB788" s="7"/>
      <c r="AC788" s="7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5"/>
      <c r="W789" s="7"/>
      <c r="X789" s="7"/>
      <c r="Y789" s="7"/>
      <c r="Z789" s="5"/>
      <c r="AA789" s="7"/>
      <c r="AB789" s="7"/>
      <c r="AC789" s="7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5"/>
      <c r="W790" s="7"/>
      <c r="X790" s="7"/>
      <c r="Y790" s="7"/>
      <c r="Z790" s="5"/>
      <c r="AA790" s="7"/>
      <c r="AB790" s="7"/>
      <c r="AC790" s="7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5"/>
      <c r="W791" s="7"/>
      <c r="X791" s="7"/>
      <c r="Y791" s="7"/>
      <c r="Z791" s="5"/>
      <c r="AA791" s="7"/>
      <c r="AB791" s="7"/>
      <c r="AC791" s="7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5"/>
      <c r="W792" s="7"/>
      <c r="X792" s="7"/>
      <c r="Y792" s="7"/>
      <c r="Z792" s="5"/>
      <c r="AA792" s="7"/>
      <c r="AB792" s="7"/>
      <c r="AC792" s="7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5"/>
      <c r="W793" s="7"/>
      <c r="X793" s="7"/>
      <c r="Y793" s="7"/>
      <c r="Z793" s="5"/>
      <c r="AA793" s="7"/>
      <c r="AB793" s="7"/>
      <c r="AC793" s="7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5"/>
      <c r="W794" s="7"/>
      <c r="X794" s="7"/>
      <c r="Y794" s="7"/>
      <c r="Z794" s="5"/>
      <c r="AA794" s="7"/>
      <c r="AB794" s="7"/>
      <c r="AC794" s="7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5"/>
      <c r="W795" s="7"/>
      <c r="X795" s="7"/>
      <c r="Y795" s="7"/>
      <c r="Z795" s="5"/>
      <c r="AA795" s="7"/>
      <c r="AB795" s="7"/>
      <c r="AC795" s="7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5"/>
      <c r="W796" s="7"/>
      <c r="X796" s="7"/>
      <c r="Y796" s="7"/>
      <c r="Z796" s="5"/>
      <c r="AA796" s="7"/>
      <c r="AB796" s="7"/>
      <c r="AC796" s="7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5"/>
      <c r="W797" s="7"/>
      <c r="X797" s="7"/>
      <c r="Y797" s="7"/>
      <c r="Z797" s="5"/>
      <c r="AA797" s="7"/>
      <c r="AB797" s="7"/>
      <c r="AC797" s="7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5"/>
      <c r="W798" s="7"/>
      <c r="X798" s="7"/>
      <c r="Y798" s="7"/>
      <c r="Z798" s="5"/>
      <c r="AA798" s="7"/>
      <c r="AB798" s="7"/>
      <c r="AC798" s="7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5"/>
      <c r="W799" s="7"/>
      <c r="X799" s="7"/>
      <c r="Y799" s="7"/>
      <c r="Z799" s="5"/>
      <c r="AA799" s="7"/>
      <c r="AB799" s="7"/>
      <c r="AC799" s="7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5"/>
      <c r="W800" s="7"/>
      <c r="X800" s="7"/>
      <c r="Y800" s="7"/>
      <c r="Z800" s="5"/>
      <c r="AA800" s="7"/>
      <c r="AB800" s="7"/>
      <c r="AC800" s="7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5"/>
      <c r="W801" s="7"/>
      <c r="X801" s="7"/>
      <c r="Y801" s="7"/>
      <c r="Z801" s="5"/>
      <c r="AA801" s="7"/>
      <c r="AB801" s="7"/>
      <c r="AC801" s="7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5"/>
      <c r="W802" s="7"/>
      <c r="X802" s="7"/>
      <c r="Y802" s="7"/>
      <c r="Z802" s="5"/>
      <c r="AA802" s="7"/>
      <c r="AB802" s="7"/>
      <c r="AC802" s="7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5"/>
      <c r="W803" s="7"/>
      <c r="X803" s="7"/>
      <c r="Y803" s="7"/>
      <c r="Z803" s="5"/>
      <c r="AA803" s="7"/>
      <c r="AB803" s="7"/>
      <c r="AC803" s="7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5"/>
      <c r="W804" s="7"/>
      <c r="X804" s="7"/>
      <c r="Y804" s="7"/>
      <c r="Z804" s="5"/>
      <c r="AA804" s="7"/>
      <c r="AB804" s="7"/>
      <c r="AC804" s="7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5"/>
      <c r="W805" s="7"/>
      <c r="X805" s="7"/>
      <c r="Y805" s="7"/>
      <c r="Z805" s="5"/>
      <c r="AA805" s="7"/>
      <c r="AB805" s="7"/>
      <c r="AC805" s="7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5"/>
      <c r="W806" s="7"/>
      <c r="X806" s="7"/>
      <c r="Y806" s="7"/>
      <c r="Z806" s="5"/>
      <c r="AA806" s="7"/>
      <c r="AB806" s="7"/>
      <c r="AC806" s="7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5"/>
      <c r="W807" s="7"/>
      <c r="X807" s="7"/>
      <c r="Y807" s="7"/>
      <c r="Z807" s="5"/>
      <c r="AA807" s="7"/>
      <c r="AB807" s="7"/>
      <c r="AC807" s="7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5"/>
      <c r="W808" s="7"/>
      <c r="X808" s="7"/>
      <c r="Y808" s="7"/>
      <c r="Z808" s="5"/>
      <c r="AA808" s="7"/>
      <c r="AB808" s="7"/>
      <c r="AC808" s="7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5"/>
      <c r="W809" s="7"/>
      <c r="X809" s="7"/>
      <c r="Y809" s="7"/>
      <c r="Z809" s="5"/>
      <c r="AA809" s="7"/>
      <c r="AB809" s="7"/>
      <c r="AC809" s="7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5"/>
      <c r="W810" s="7"/>
      <c r="X810" s="7"/>
      <c r="Y810" s="7"/>
      <c r="Z810" s="5"/>
      <c r="AA810" s="7"/>
      <c r="AB810" s="7"/>
      <c r="AC810" s="7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5"/>
      <c r="W811" s="7"/>
      <c r="X811" s="7"/>
      <c r="Y811" s="7"/>
      <c r="Z811" s="5"/>
      <c r="AA811" s="7"/>
      <c r="AB811" s="7"/>
      <c r="AC811" s="7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5"/>
      <c r="W812" s="7"/>
      <c r="X812" s="7"/>
      <c r="Y812" s="7"/>
      <c r="Z812" s="5"/>
      <c r="AA812" s="7"/>
      <c r="AB812" s="7"/>
      <c r="AC812" s="7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5"/>
      <c r="W813" s="7"/>
      <c r="X813" s="7"/>
      <c r="Y813" s="7"/>
      <c r="Z813" s="5"/>
      <c r="AA813" s="7"/>
      <c r="AB813" s="7"/>
      <c r="AC813" s="7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5"/>
      <c r="W814" s="7"/>
      <c r="X814" s="7"/>
      <c r="Y814" s="7"/>
      <c r="Z814" s="5"/>
      <c r="AA814" s="7"/>
      <c r="AB814" s="7"/>
      <c r="AC814" s="7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5"/>
      <c r="W815" s="7"/>
      <c r="X815" s="7"/>
      <c r="Y815" s="7"/>
      <c r="Z815" s="5"/>
      <c r="AA815" s="7"/>
      <c r="AB815" s="7"/>
      <c r="AC815" s="7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5"/>
      <c r="W816" s="7"/>
      <c r="X816" s="7"/>
      <c r="Y816" s="7"/>
      <c r="Z816" s="5"/>
      <c r="AA816" s="7"/>
      <c r="AB816" s="7"/>
      <c r="AC816" s="7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5"/>
      <c r="W817" s="7"/>
      <c r="X817" s="7"/>
      <c r="Y817" s="7"/>
      <c r="Z817" s="5"/>
      <c r="AA817" s="7"/>
      <c r="AB817" s="7"/>
      <c r="AC817" s="7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5"/>
      <c r="W818" s="7"/>
      <c r="X818" s="7"/>
      <c r="Y818" s="7"/>
      <c r="Z818" s="5"/>
      <c r="AA818" s="7"/>
      <c r="AB818" s="7"/>
      <c r="AC818" s="7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5"/>
      <c r="W819" s="7"/>
      <c r="X819" s="7"/>
      <c r="Y819" s="7"/>
      <c r="Z819" s="5"/>
      <c r="AA819" s="7"/>
      <c r="AB819" s="7"/>
      <c r="AC819" s="7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5"/>
      <c r="W820" s="7"/>
      <c r="X820" s="7"/>
      <c r="Y820" s="7"/>
      <c r="Z820" s="5"/>
      <c r="AA820" s="7"/>
      <c r="AB820" s="7"/>
      <c r="AC820" s="7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5"/>
      <c r="W821" s="7"/>
      <c r="X821" s="7"/>
      <c r="Y821" s="7"/>
      <c r="Z821" s="5"/>
      <c r="AA821" s="7"/>
      <c r="AB821" s="7"/>
      <c r="AC821" s="7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5"/>
      <c r="W822" s="7"/>
      <c r="X822" s="7"/>
      <c r="Y822" s="7"/>
      <c r="Z822" s="5"/>
      <c r="AA822" s="7"/>
      <c r="AB822" s="7"/>
      <c r="AC822" s="7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5"/>
      <c r="W823" s="7"/>
      <c r="X823" s="7"/>
      <c r="Y823" s="7"/>
      <c r="Z823" s="5"/>
      <c r="AA823" s="7"/>
      <c r="AB823" s="7"/>
      <c r="AC823" s="7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5"/>
      <c r="W824" s="7"/>
      <c r="X824" s="7"/>
      <c r="Y824" s="7"/>
      <c r="Z824" s="5"/>
      <c r="AA824" s="7"/>
      <c r="AB824" s="7"/>
      <c r="AC824" s="7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5"/>
      <c r="W825" s="7"/>
      <c r="X825" s="7"/>
      <c r="Y825" s="7"/>
      <c r="Z825" s="5"/>
      <c r="AA825" s="7"/>
      <c r="AB825" s="7"/>
      <c r="AC825" s="7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5"/>
      <c r="W826" s="7"/>
      <c r="X826" s="7"/>
      <c r="Y826" s="7"/>
      <c r="Z826" s="5"/>
      <c r="AA826" s="7"/>
      <c r="AB826" s="7"/>
      <c r="AC826" s="7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5"/>
      <c r="W827" s="7"/>
      <c r="X827" s="7"/>
      <c r="Y827" s="7"/>
      <c r="Z827" s="5"/>
      <c r="AA827" s="7"/>
      <c r="AB827" s="7"/>
      <c r="AC827" s="7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5"/>
      <c r="W828" s="7"/>
      <c r="X828" s="7"/>
      <c r="Y828" s="7"/>
      <c r="Z828" s="5"/>
      <c r="AA828" s="7"/>
      <c r="AB828" s="7"/>
      <c r="AC828" s="7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5"/>
      <c r="W829" s="7"/>
      <c r="X829" s="7"/>
      <c r="Y829" s="7"/>
      <c r="Z829" s="5"/>
      <c r="AA829" s="7"/>
      <c r="AB829" s="7"/>
      <c r="AC829" s="7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5"/>
      <c r="W830" s="7"/>
      <c r="X830" s="7"/>
      <c r="Y830" s="7"/>
      <c r="Z830" s="5"/>
      <c r="AA830" s="7"/>
      <c r="AB830" s="7"/>
      <c r="AC830" s="7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5"/>
      <c r="W831" s="7"/>
      <c r="X831" s="7"/>
      <c r="Y831" s="7"/>
      <c r="Z831" s="5"/>
      <c r="AA831" s="7"/>
      <c r="AB831" s="7"/>
      <c r="AC831" s="7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5"/>
      <c r="W832" s="7"/>
      <c r="X832" s="7"/>
      <c r="Y832" s="7"/>
      <c r="Z832" s="5"/>
      <c r="AA832" s="7"/>
      <c r="AB832" s="7"/>
      <c r="AC832" s="7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5"/>
      <c r="W833" s="7"/>
      <c r="X833" s="7"/>
      <c r="Y833" s="7"/>
      <c r="Z833" s="5"/>
      <c r="AA833" s="7"/>
      <c r="AB833" s="7"/>
      <c r="AC833" s="7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5"/>
      <c r="W834" s="7"/>
      <c r="X834" s="7"/>
      <c r="Y834" s="7"/>
      <c r="Z834" s="5"/>
      <c r="AA834" s="7"/>
      <c r="AB834" s="7"/>
      <c r="AC834" s="7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5"/>
      <c r="W835" s="7"/>
      <c r="X835" s="7"/>
      <c r="Y835" s="7"/>
      <c r="Z835" s="5"/>
      <c r="AA835" s="7"/>
      <c r="AB835" s="7"/>
      <c r="AC835" s="7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5"/>
      <c r="W836" s="7"/>
      <c r="X836" s="7"/>
      <c r="Y836" s="7"/>
      <c r="Z836" s="5"/>
      <c r="AA836" s="7"/>
      <c r="AB836" s="7"/>
      <c r="AC836" s="7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5"/>
      <c r="W837" s="7"/>
      <c r="X837" s="7"/>
      <c r="Y837" s="7"/>
      <c r="Z837" s="5"/>
      <c r="AA837" s="7"/>
      <c r="AB837" s="7"/>
      <c r="AC837" s="7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5"/>
      <c r="W838" s="7"/>
      <c r="X838" s="7"/>
      <c r="Y838" s="7"/>
      <c r="Z838" s="5"/>
      <c r="AA838" s="7"/>
      <c r="AB838" s="7"/>
      <c r="AC838" s="7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5"/>
      <c r="W839" s="7"/>
      <c r="X839" s="7"/>
      <c r="Y839" s="7"/>
      <c r="Z839" s="5"/>
      <c r="AA839" s="7"/>
      <c r="AB839" s="7"/>
      <c r="AC839" s="7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5"/>
      <c r="W840" s="7"/>
      <c r="X840" s="7"/>
      <c r="Y840" s="7"/>
      <c r="Z840" s="5"/>
      <c r="AA840" s="7"/>
      <c r="AB840" s="7"/>
      <c r="AC840" s="7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5"/>
      <c r="W841" s="7"/>
      <c r="X841" s="7"/>
      <c r="Y841" s="7"/>
      <c r="Z841" s="5"/>
      <c r="AA841" s="7"/>
      <c r="AB841" s="7"/>
      <c r="AC841" s="7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5"/>
      <c r="W842" s="7"/>
      <c r="X842" s="7"/>
      <c r="Y842" s="7"/>
      <c r="Z842" s="5"/>
      <c r="AA842" s="7"/>
      <c r="AB842" s="7"/>
      <c r="AC842" s="7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5"/>
      <c r="W843" s="7"/>
      <c r="X843" s="7"/>
      <c r="Y843" s="7"/>
      <c r="Z843" s="5"/>
      <c r="AA843" s="7"/>
      <c r="AB843" s="7"/>
      <c r="AC843" s="7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5"/>
      <c r="W844" s="7"/>
      <c r="X844" s="7"/>
      <c r="Y844" s="7"/>
      <c r="Z844" s="5"/>
      <c r="AA844" s="7"/>
      <c r="AB844" s="7"/>
      <c r="AC844" s="7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5"/>
      <c r="W845" s="7"/>
      <c r="X845" s="7"/>
      <c r="Y845" s="7"/>
      <c r="Z845" s="5"/>
      <c r="AA845" s="7"/>
      <c r="AB845" s="7"/>
      <c r="AC845" s="7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5"/>
      <c r="W846" s="7"/>
      <c r="X846" s="7"/>
      <c r="Y846" s="7"/>
      <c r="Z846" s="5"/>
      <c r="AA846" s="7"/>
      <c r="AB846" s="7"/>
      <c r="AC846" s="7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5"/>
      <c r="W847" s="7"/>
      <c r="X847" s="7"/>
      <c r="Y847" s="7"/>
      <c r="Z847" s="5"/>
      <c r="AA847" s="7"/>
      <c r="AB847" s="7"/>
      <c r="AC847" s="7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5"/>
      <c r="W848" s="7"/>
      <c r="X848" s="7"/>
      <c r="Y848" s="7"/>
      <c r="Z848" s="5"/>
      <c r="AA848" s="7"/>
      <c r="AB848" s="7"/>
      <c r="AC848" s="7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5"/>
      <c r="W849" s="7"/>
      <c r="X849" s="7"/>
      <c r="Y849" s="7"/>
      <c r="Z849" s="5"/>
      <c r="AA849" s="7"/>
      <c r="AB849" s="7"/>
      <c r="AC849" s="7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5"/>
      <c r="W850" s="7"/>
      <c r="X850" s="7"/>
      <c r="Y850" s="7"/>
      <c r="Z850" s="5"/>
      <c r="AA850" s="7"/>
      <c r="AB850" s="7"/>
      <c r="AC850" s="7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5"/>
      <c r="W851" s="7"/>
      <c r="X851" s="7"/>
      <c r="Y851" s="7"/>
      <c r="Z851" s="5"/>
      <c r="AA851" s="7"/>
      <c r="AB851" s="7"/>
      <c r="AC851" s="7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5"/>
      <c r="W852" s="7"/>
      <c r="X852" s="7"/>
      <c r="Y852" s="7"/>
      <c r="Z852" s="5"/>
      <c r="AA852" s="7"/>
      <c r="AB852" s="7"/>
      <c r="AC852" s="7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5"/>
      <c r="W853" s="7"/>
      <c r="X853" s="7"/>
      <c r="Y853" s="7"/>
      <c r="Z853" s="5"/>
      <c r="AA853" s="7"/>
      <c r="AB853" s="7"/>
      <c r="AC853" s="7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5"/>
      <c r="W854" s="7"/>
      <c r="X854" s="7"/>
      <c r="Y854" s="7"/>
      <c r="Z854" s="5"/>
      <c r="AA854" s="7"/>
      <c r="AB854" s="7"/>
      <c r="AC854" s="7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5"/>
      <c r="W855" s="7"/>
      <c r="X855" s="7"/>
      <c r="Y855" s="7"/>
      <c r="Z855" s="5"/>
      <c r="AA855" s="7"/>
      <c r="AB855" s="7"/>
      <c r="AC855" s="7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5"/>
      <c r="W856" s="7"/>
      <c r="X856" s="7"/>
      <c r="Y856" s="7"/>
      <c r="Z856" s="5"/>
      <c r="AA856" s="7"/>
      <c r="AB856" s="7"/>
      <c r="AC856" s="7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5"/>
      <c r="W857" s="7"/>
      <c r="X857" s="7"/>
      <c r="Y857" s="7"/>
      <c r="Z857" s="5"/>
      <c r="AA857" s="7"/>
      <c r="AB857" s="7"/>
      <c r="AC857" s="7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5"/>
      <c r="W858" s="7"/>
      <c r="X858" s="7"/>
      <c r="Y858" s="7"/>
      <c r="Z858" s="5"/>
      <c r="AA858" s="7"/>
      <c r="AB858" s="7"/>
      <c r="AC858" s="7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5"/>
      <c r="W859" s="7"/>
      <c r="X859" s="7"/>
      <c r="Y859" s="7"/>
      <c r="Z859" s="5"/>
      <c r="AA859" s="7"/>
      <c r="AB859" s="7"/>
      <c r="AC859" s="7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5"/>
      <c r="W860" s="7"/>
      <c r="X860" s="7"/>
      <c r="Y860" s="7"/>
      <c r="Z860" s="5"/>
      <c r="AA860" s="7"/>
      <c r="AB860" s="7"/>
      <c r="AC860" s="7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5"/>
      <c r="W861" s="7"/>
      <c r="X861" s="7"/>
      <c r="Y861" s="7"/>
      <c r="Z861" s="5"/>
      <c r="AA861" s="7"/>
      <c r="AB861" s="7"/>
      <c r="AC861" s="7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5"/>
      <c r="W862" s="7"/>
      <c r="X862" s="7"/>
      <c r="Y862" s="7"/>
      <c r="Z862" s="5"/>
      <c r="AA862" s="7"/>
      <c r="AB862" s="7"/>
      <c r="AC862" s="7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5"/>
      <c r="W863" s="7"/>
      <c r="X863" s="7"/>
      <c r="Y863" s="7"/>
      <c r="Z863" s="5"/>
      <c r="AA863" s="7"/>
      <c r="AB863" s="7"/>
      <c r="AC863" s="7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5"/>
      <c r="W864" s="7"/>
      <c r="X864" s="7"/>
      <c r="Y864" s="7"/>
      <c r="Z864" s="5"/>
      <c r="AA864" s="7"/>
      <c r="AB864" s="7"/>
      <c r="AC864" s="7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5"/>
      <c r="W865" s="7"/>
      <c r="X865" s="7"/>
      <c r="Y865" s="7"/>
      <c r="Z865" s="5"/>
      <c r="AA865" s="7"/>
      <c r="AB865" s="7"/>
      <c r="AC865" s="7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5"/>
      <c r="W866" s="7"/>
      <c r="X866" s="7"/>
      <c r="Y866" s="7"/>
      <c r="Z866" s="5"/>
      <c r="AA866" s="7"/>
      <c r="AB866" s="7"/>
      <c r="AC866" s="7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5"/>
      <c r="W867" s="7"/>
      <c r="X867" s="7"/>
      <c r="Y867" s="7"/>
      <c r="Z867" s="5"/>
      <c r="AA867" s="7"/>
      <c r="AB867" s="7"/>
      <c r="AC867" s="7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5"/>
      <c r="W868" s="7"/>
      <c r="X868" s="7"/>
      <c r="Y868" s="7"/>
      <c r="Z868" s="5"/>
      <c r="AA868" s="7"/>
      <c r="AB868" s="7"/>
      <c r="AC868" s="7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5"/>
      <c r="W869" s="7"/>
      <c r="X869" s="7"/>
      <c r="Y869" s="7"/>
      <c r="Z869" s="5"/>
      <c r="AA869" s="7"/>
      <c r="AB869" s="7"/>
      <c r="AC869" s="7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5"/>
      <c r="W870" s="7"/>
      <c r="X870" s="7"/>
      <c r="Y870" s="7"/>
      <c r="Z870" s="5"/>
      <c r="AA870" s="7"/>
      <c r="AB870" s="7"/>
      <c r="AC870" s="7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5"/>
      <c r="W871" s="7"/>
      <c r="X871" s="7"/>
      <c r="Y871" s="7"/>
      <c r="Z871" s="5"/>
      <c r="AA871" s="7"/>
      <c r="AB871" s="7"/>
      <c r="AC871" s="7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5"/>
      <c r="W872" s="7"/>
      <c r="X872" s="7"/>
      <c r="Y872" s="7"/>
      <c r="Z872" s="5"/>
      <c r="AA872" s="7"/>
      <c r="AB872" s="7"/>
      <c r="AC872" s="7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5"/>
      <c r="W873" s="7"/>
      <c r="X873" s="7"/>
      <c r="Y873" s="7"/>
      <c r="Z873" s="5"/>
      <c r="AA873" s="7"/>
      <c r="AB873" s="7"/>
      <c r="AC873" s="7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5"/>
      <c r="W874" s="7"/>
      <c r="X874" s="7"/>
      <c r="Y874" s="7"/>
      <c r="Z874" s="5"/>
      <c r="AA874" s="7"/>
      <c r="AB874" s="7"/>
      <c r="AC874" s="7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5"/>
      <c r="W875" s="7"/>
      <c r="X875" s="7"/>
      <c r="Y875" s="7"/>
      <c r="Z875" s="5"/>
      <c r="AA875" s="7"/>
      <c r="AB875" s="7"/>
      <c r="AC875" s="7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5"/>
      <c r="W876" s="7"/>
      <c r="X876" s="7"/>
      <c r="Y876" s="7"/>
      <c r="Z876" s="5"/>
      <c r="AA876" s="7"/>
      <c r="AB876" s="7"/>
      <c r="AC876" s="7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5"/>
      <c r="W877" s="7"/>
      <c r="X877" s="7"/>
      <c r="Y877" s="7"/>
      <c r="Z877" s="5"/>
      <c r="AA877" s="7"/>
      <c r="AB877" s="7"/>
      <c r="AC877" s="7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5"/>
      <c r="W878" s="7"/>
      <c r="X878" s="7"/>
      <c r="Y878" s="7"/>
      <c r="Z878" s="5"/>
      <c r="AA878" s="7"/>
      <c r="AB878" s="7"/>
      <c r="AC878" s="7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5"/>
      <c r="W879" s="7"/>
      <c r="X879" s="7"/>
      <c r="Y879" s="7"/>
      <c r="Z879" s="5"/>
      <c r="AA879" s="7"/>
      <c r="AB879" s="7"/>
      <c r="AC879" s="7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5"/>
      <c r="W880" s="7"/>
      <c r="X880" s="7"/>
      <c r="Y880" s="7"/>
      <c r="Z880" s="5"/>
      <c r="AA880" s="7"/>
      <c r="AB880" s="7"/>
      <c r="AC880" s="7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5"/>
      <c r="W881" s="7"/>
      <c r="X881" s="7"/>
      <c r="Y881" s="7"/>
      <c r="Z881" s="5"/>
      <c r="AA881" s="7"/>
      <c r="AB881" s="7"/>
      <c r="AC881" s="7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5"/>
      <c r="W882" s="7"/>
      <c r="X882" s="7"/>
      <c r="Y882" s="7"/>
      <c r="Z882" s="5"/>
      <c r="AA882" s="7"/>
      <c r="AB882" s="7"/>
      <c r="AC882" s="7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5"/>
      <c r="W883" s="7"/>
      <c r="X883" s="7"/>
      <c r="Y883" s="7"/>
      <c r="Z883" s="5"/>
      <c r="AA883" s="7"/>
      <c r="AB883" s="7"/>
      <c r="AC883" s="7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5"/>
      <c r="W884" s="7"/>
      <c r="X884" s="7"/>
      <c r="Y884" s="7"/>
      <c r="Z884" s="5"/>
      <c r="AA884" s="7"/>
      <c r="AB884" s="7"/>
      <c r="AC884" s="7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5"/>
      <c r="W885" s="7"/>
      <c r="X885" s="7"/>
      <c r="Y885" s="7"/>
      <c r="Z885" s="5"/>
      <c r="AA885" s="7"/>
      <c r="AB885" s="7"/>
      <c r="AC885" s="7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5"/>
      <c r="W886" s="7"/>
      <c r="X886" s="7"/>
      <c r="Y886" s="7"/>
      <c r="Z886" s="5"/>
      <c r="AA886" s="7"/>
      <c r="AB886" s="7"/>
      <c r="AC886" s="7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5"/>
      <c r="W887" s="7"/>
      <c r="X887" s="7"/>
      <c r="Y887" s="7"/>
      <c r="Z887" s="5"/>
      <c r="AA887" s="7"/>
      <c r="AB887" s="7"/>
      <c r="AC887" s="7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5"/>
      <c r="W888" s="7"/>
      <c r="X888" s="7"/>
      <c r="Y888" s="7"/>
      <c r="Z888" s="5"/>
      <c r="AA888" s="7"/>
      <c r="AB888" s="7"/>
      <c r="AC888" s="7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5"/>
      <c r="W889" s="7"/>
      <c r="X889" s="7"/>
      <c r="Y889" s="7"/>
      <c r="Z889" s="5"/>
      <c r="AA889" s="7"/>
      <c r="AB889" s="7"/>
      <c r="AC889" s="7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5"/>
      <c r="W890" s="7"/>
      <c r="X890" s="7"/>
      <c r="Y890" s="7"/>
      <c r="Z890" s="5"/>
      <c r="AA890" s="7"/>
      <c r="AB890" s="7"/>
      <c r="AC890" s="7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5"/>
      <c r="W891" s="7"/>
      <c r="X891" s="7"/>
      <c r="Y891" s="7"/>
      <c r="Z891" s="5"/>
      <c r="AA891" s="7"/>
      <c r="AB891" s="7"/>
      <c r="AC891" s="7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5"/>
      <c r="W892" s="7"/>
      <c r="X892" s="7"/>
      <c r="Y892" s="7"/>
      <c r="Z892" s="5"/>
      <c r="AA892" s="7"/>
      <c r="AB892" s="7"/>
      <c r="AC892" s="7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5"/>
      <c r="W893" s="7"/>
      <c r="X893" s="7"/>
      <c r="Y893" s="7"/>
      <c r="Z893" s="5"/>
      <c r="AA893" s="7"/>
      <c r="AB893" s="7"/>
      <c r="AC893" s="7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5"/>
      <c r="W894" s="7"/>
      <c r="X894" s="7"/>
      <c r="Y894" s="7"/>
      <c r="Z894" s="5"/>
      <c r="AA894" s="7"/>
      <c r="AB894" s="7"/>
      <c r="AC894" s="7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5"/>
      <c r="W895" s="7"/>
      <c r="X895" s="7"/>
      <c r="Y895" s="7"/>
      <c r="Z895" s="5"/>
      <c r="AA895" s="7"/>
      <c r="AB895" s="7"/>
      <c r="AC895" s="7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5"/>
      <c r="W896" s="7"/>
      <c r="X896" s="7"/>
      <c r="Y896" s="7"/>
      <c r="Z896" s="5"/>
      <c r="AA896" s="7"/>
      <c r="AB896" s="7"/>
      <c r="AC896" s="7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5"/>
      <c r="W897" s="7"/>
      <c r="X897" s="7"/>
      <c r="Y897" s="7"/>
      <c r="Z897" s="5"/>
      <c r="AA897" s="7"/>
      <c r="AB897" s="7"/>
      <c r="AC897" s="7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5"/>
      <c r="W898" s="7"/>
      <c r="X898" s="7"/>
      <c r="Y898" s="7"/>
      <c r="Z898" s="5"/>
      <c r="AA898" s="7"/>
      <c r="AB898" s="7"/>
      <c r="AC898" s="7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5"/>
      <c r="W899" s="7"/>
      <c r="X899" s="7"/>
      <c r="Y899" s="7"/>
      <c r="Z899" s="5"/>
      <c r="AA899" s="7"/>
      <c r="AB899" s="7"/>
      <c r="AC899" s="7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5"/>
      <c r="W900" s="7"/>
      <c r="X900" s="7"/>
      <c r="Y900" s="7"/>
      <c r="Z900" s="5"/>
      <c r="AA900" s="7"/>
      <c r="AB900" s="7"/>
      <c r="AC900" s="7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5"/>
      <c r="W901" s="7"/>
      <c r="X901" s="7"/>
      <c r="Y901" s="7"/>
      <c r="Z901" s="5"/>
      <c r="AA901" s="7"/>
      <c r="AB901" s="7"/>
      <c r="AC901" s="7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5"/>
      <c r="W902" s="7"/>
      <c r="X902" s="7"/>
      <c r="Y902" s="7"/>
      <c r="Z902" s="5"/>
      <c r="AA902" s="7"/>
      <c r="AB902" s="7"/>
      <c r="AC902" s="7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5"/>
      <c r="W903" s="7"/>
      <c r="X903" s="7"/>
      <c r="Y903" s="7"/>
      <c r="Z903" s="5"/>
      <c r="AA903" s="7"/>
      <c r="AB903" s="7"/>
      <c r="AC903" s="7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5"/>
      <c r="W904" s="7"/>
      <c r="X904" s="7"/>
      <c r="Y904" s="7"/>
      <c r="Z904" s="5"/>
      <c r="AA904" s="7"/>
      <c r="AB904" s="7"/>
      <c r="AC904" s="7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5"/>
      <c r="W905" s="7"/>
      <c r="X905" s="7"/>
      <c r="Y905" s="7"/>
      <c r="Z905" s="5"/>
      <c r="AA905" s="7"/>
      <c r="AB905" s="7"/>
      <c r="AC905" s="7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5"/>
      <c r="W906" s="7"/>
      <c r="X906" s="7"/>
      <c r="Y906" s="7"/>
      <c r="Z906" s="5"/>
      <c r="AA906" s="7"/>
      <c r="AB906" s="7"/>
      <c r="AC906" s="7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5"/>
      <c r="W907" s="7"/>
      <c r="X907" s="7"/>
      <c r="Y907" s="7"/>
      <c r="Z907" s="5"/>
      <c r="AA907" s="7"/>
      <c r="AB907" s="7"/>
      <c r="AC907" s="7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5"/>
      <c r="W908" s="7"/>
      <c r="X908" s="7"/>
      <c r="Y908" s="7"/>
      <c r="Z908" s="5"/>
      <c r="AA908" s="7"/>
      <c r="AB908" s="7"/>
      <c r="AC908" s="7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5"/>
      <c r="W909" s="7"/>
      <c r="X909" s="7"/>
      <c r="Y909" s="7"/>
      <c r="Z909" s="5"/>
      <c r="AA909" s="7"/>
      <c r="AB909" s="7"/>
      <c r="AC909" s="7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5"/>
      <c r="W910" s="7"/>
      <c r="X910" s="7"/>
      <c r="Y910" s="7"/>
      <c r="Z910" s="5"/>
      <c r="AA910" s="7"/>
      <c r="AB910" s="7"/>
      <c r="AC910" s="7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5"/>
      <c r="W911" s="7"/>
      <c r="X911" s="7"/>
      <c r="Y911" s="7"/>
      <c r="Z911" s="5"/>
      <c r="AA911" s="7"/>
      <c r="AB911" s="7"/>
      <c r="AC911" s="7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5"/>
      <c r="W912" s="7"/>
      <c r="X912" s="7"/>
      <c r="Y912" s="7"/>
      <c r="Z912" s="5"/>
      <c r="AA912" s="7"/>
      <c r="AB912" s="7"/>
      <c r="AC912" s="7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5"/>
      <c r="W913" s="7"/>
      <c r="X913" s="7"/>
      <c r="Y913" s="7"/>
      <c r="Z913" s="5"/>
      <c r="AA913" s="7"/>
      <c r="AB913" s="7"/>
      <c r="AC913" s="7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5"/>
      <c r="W914" s="7"/>
      <c r="X914" s="7"/>
      <c r="Y914" s="7"/>
      <c r="Z914" s="5"/>
      <c r="AA914" s="7"/>
      <c r="AB914" s="7"/>
      <c r="AC914" s="7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5"/>
      <c r="W915" s="7"/>
      <c r="X915" s="7"/>
      <c r="Y915" s="7"/>
      <c r="Z915" s="5"/>
      <c r="AA915" s="7"/>
      <c r="AB915" s="7"/>
      <c r="AC915" s="7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5"/>
      <c r="W916" s="7"/>
      <c r="X916" s="7"/>
      <c r="Y916" s="7"/>
      <c r="Z916" s="5"/>
      <c r="AA916" s="7"/>
      <c r="AB916" s="7"/>
      <c r="AC916" s="7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5"/>
      <c r="W917" s="7"/>
      <c r="X917" s="7"/>
      <c r="Y917" s="7"/>
      <c r="Z917" s="5"/>
      <c r="AA917" s="7"/>
      <c r="AB917" s="7"/>
      <c r="AC917" s="7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5"/>
      <c r="W918" s="7"/>
      <c r="X918" s="7"/>
      <c r="Y918" s="7"/>
      <c r="Z918" s="5"/>
      <c r="AA918" s="7"/>
      <c r="AB918" s="7"/>
      <c r="AC918" s="7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5"/>
      <c r="W919" s="7"/>
      <c r="X919" s="7"/>
      <c r="Y919" s="7"/>
      <c r="Z919" s="5"/>
      <c r="AA919" s="7"/>
      <c r="AB919" s="7"/>
      <c r="AC919" s="7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5"/>
      <c r="W920" s="7"/>
      <c r="X920" s="7"/>
      <c r="Y920" s="7"/>
      <c r="Z920" s="5"/>
      <c r="AA920" s="7"/>
      <c r="AB920" s="7"/>
      <c r="AC920" s="7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5"/>
      <c r="W921" s="7"/>
      <c r="X921" s="7"/>
      <c r="Y921" s="7"/>
      <c r="Z921" s="5"/>
      <c r="AA921" s="7"/>
      <c r="AB921" s="7"/>
      <c r="AC921" s="7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5"/>
      <c r="W922" s="7"/>
      <c r="X922" s="7"/>
      <c r="Y922" s="7"/>
      <c r="Z922" s="5"/>
      <c r="AA922" s="7"/>
      <c r="AB922" s="7"/>
      <c r="AC922" s="7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5"/>
      <c r="W923" s="7"/>
      <c r="X923" s="7"/>
      <c r="Y923" s="7"/>
      <c r="Z923" s="5"/>
      <c r="AA923" s="7"/>
      <c r="AB923" s="7"/>
      <c r="AC923" s="7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5"/>
      <c r="W924" s="7"/>
      <c r="X924" s="7"/>
      <c r="Y924" s="7"/>
      <c r="Z924" s="5"/>
      <c r="AA924" s="7"/>
      <c r="AB924" s="7"/>
      <c r="AC924" s="7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5"/>
      <c r="W925" s="7"/>
      <c r="X925" s="7"/>
      <c r="Y925" s="7"/>
      <c r="Z925" s="5"/>
      <c r="AA925" s="7"/>
      <c r="AB925" s="7"/>
      <c r="AC925" s="7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5"/>
      <c r="W926" s="7"/>
      <c r="X926" s="7"/>
      <c r="Y926" s="7"/>
      <c r="Z926" s="5"/>
      <c r="AA926" s="7"/>
      <c r="AB926" s="7"/>
      <c r="AC926" s="7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5"/>
      <c r="W927" s="7"/>
      <c r="X927" s="7"/>
      <c r="Y927" s="7"/>
      <c r="Z927" s="5"/>
      <c r="AA927" s="7"/>
      <c r="AB927" s="7"/>
      <c r="AC927" s="7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5"/>
      <c r="W928" s="7"/>
      <c r="X928" s="7"/>
      <c r="Y928" s="7"/>
      <c r="Z928" s="5"/>
      <c r="AA928" s="7"/>
      <c r="AB928" s="7"/>
      <c r="AC928" s="7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5"/>
      <c r="W929" s="7"/>
      <c r="X929" s="7"/>
      <c r="Y929" s="7"/>
      <c r="Z929" s="5"/>
      <c r="AA929" s="7"/>
      <c r="AB929" s="7"/>
      <c r="AC929" s="7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5"/>
      <c r="W930" s="7"/>
      <c r="X930" s="7"/>
      <c r="Y930" s="7"/>
      <c r="Z930" s="5"/>
      <c r="AA930" s="7"/>
      <c r="AB930" s="7"/>
      <c r="AC930" s="7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5"/>
      <c r="W931" s="7"/>
      <c r="X931" s="7"/>
      <c r="Y931" s="7"/>
      <c r="Z931" s="5"/>
      <c r="AA931" s="7"/>
      <c r="AB931" s="7"/>
      <c r="AC931" s="7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5"/>
      <c r="W932" s="7"/>
      <c r="X932" s="7"/>
      <c r="Y932" s="7"/>
      <c r="Z932" s="5"/>
      <c r="AA932" s="7"/>
      <c r="AB932" s="7"/>
      <c r="AC932" s="7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5"/>
      <c r="W933" s="7"/>
      <c r="X933" s="7"/>
      <c r="Y933" s="7"/>
      <c r="Z933" s="5"/>
      <c r="AA933" s="7"/>
      <c r="AB933" s="7"/>
      <c r="AC933" s="7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5"/>
      <c r="W934" s="7"/>
      <c r="X934" s="7"/>
      <c r="Y934" s="7"/>
      <c r="Z934" s="5"/>
      <c r="AA934" s="7"/>
      <c r="AB934" s="7"/>
      <c r="AC934" s="7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5"/>
      <c r="W935" s="7"/>
      <c r="X935" s="7"/>
      <c r="Y935" s="7"/>
      <c r="Z935" s="5"/>
      <c r="AA935" s="7"/>
      <c r="AB935" s="7"/>
      <c r="AC935" s="7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5"/>
      <c r="W936" s="7"/>
      <c r="X936" s="7"/>
      <c r="Y936" s="7"/>
      <c r="Z936" s="5"/>
      <c r="AA936" s="7"/>
      <c r="AB936" s="7"/>
      <c r="AC936" s="7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5"/>
      <c r="W937" s="7"/>
      <c r="X937" s="7"/>
      <c r="Y937" s="7"/>
      <c r="Z937" s="5"/>
      <c r="AA937" s="7"/>
      <c r="AB937" s="7"/>
      <c r="AC937" s="7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5"/>
      <c r="W938" s="7"/>
      <c r="X938" s="7"/>
      <c r="Y938" s="7"/>
      <c r="Z938" s="5"/>
      <c r="AA938" s="7"/>
      <c r="AB938" s="7"/>
      <c r="AC938" s="7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5"/>
      <c r="W939" s="7"/>
      <c r="X939" s="7"/>
      <c r="Y939" s="7"/>
      <c r="Z939" s="5"/>
      <c r="AA939" s="7"/>
      <c r="AB939" s="7"/>
      <c r="AC939" s="7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5"/>
      <c r="W940" s="7"/>
      <c r="X940" s="7"/>
      <c r="Y940" s="7"/>
      <c r="Z940" s="5"/>
      <c r="AA940" s="7"/>
      <c r="AB940" s="7"/>
      <c r="AC940" s="7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5"/>
      <c r="W941" s="7"/>
      <c r="X941" s="7"/>
      <c r="Y941" s="7"/>
      <c r="Z941" s="5"/>
      <c r="AA941" s="7"/>
      <c r="AB941" s="7"/>
      <c r="AC941" s="7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5"/>
      <c r="W942" s="7"/>
      <c r="X942" s="7"/>
      <c r="Y942" s="7"/>
      <c r="Z942" s="5"/>
      <c r="AA942" s="7"/>
      <c r="AB942" s="7"/>
      <c r="AC942" s="7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5"/>
      <c r="W943" s="7"/>
      <c r="X943" s="7"/>
      <c r="Y943" s="7"/>
      <c r="Z943" s="5"/>
      <c r="AA943" s="7"/>
      <c r="AB943" s="7"/>
      <c r="AC943" s="7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5"/>
      <c r="W944" s="7"/>
      <c r="X944" s="7"/>
      <c r="Y944" s="7"/>
      <c r="Z944" s="5"/>
      <c r="AA944" s="7"/>
      <c r="AB944" s="7"/>
      <c r="AC944" s="7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5"/>
      <c r="W945" s="7"/>
      <c r="X945" s="7"/>
      <c r="Y945" s="7"/>
      <c r="Z945" s="5"/>
      <c r="AA945" s="7"/>
      <c r="AB945" s="7"/>
      <c r="AC945" s="7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5"/>
      <c r="W946" s="7"/>
      <c r="X946" s="7"/>
      <c r="Y946" s="7"/>
      <c r="Z946" s="5"/>
      <c r="AA946" s="7"/>
      <c r="AB946" s="7"/>
      <c r="AC946" s="7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5"/>
      <c r="W947" s="7"/>
      <c r="X947" s="7"/>
      <c r="Y947" s="7"/>
      <c r="Z947" s="5"/>
      <c r="AA947" s="7"/>
      <c r="AB947" s="7"/>
      <c r="AC947" s="7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5"/>
      <c r="W948" s="7"/>
      <c r="X948" s="7"/>
      <c r="Y948" s="7"/>
      <c r="Z948" s="5"/>
      <c r="AA948" s="7"/>
      <c r="AB948" s="7"/>
      <c r="AC948" s="7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5"/>
      <c r="W949" s="7"/>
      <c r="X949" s="7"/>
      <c r="Y949" s="7"/>
      <c r="Z949" s="5"/>
      <c r="AA949" s="7"/>
      <c r="AB949" s="7"/>
      <c r="AC949" s="7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5"/>
      <c r="W950" s="7"/>
      <c r="X950" s="7"/>
      <c r="Y950" s="7"/>
      <c r="Z950" s="5"/>
      <c r="AA950" s="7"/>
      <c r="AB950" s="7"/>
      <c r="AC950" s="7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5"/>
      <c r="W951" s="7"/>
      <c r="X951" s="7"/>
      <c r="Y951" s="7"/>
      <c r="Z951" s="5"/>
      <c r="AA951" s="7"/>
      <c r="AB951" s="7"/>
      <c r="AC951" s="7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5"/>
      <c r="W952" s="7"/>
      <c r="X952" s="7"/>
      <c r="Y952" s="7"/>
      <c r="Z952" s="5"/>
      <c r="AA952" s="7"/>
      <c r="AB952" s="7"/>
      <c r="AC952" s="7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5"/>
      <c r="W953" s="7"/>
      <c r="X953" s="7"/>
      <c r="Y953" s="7"/>
      <c r="Z953" s="5"/>
      <c r="AA953" s="7"/>
      <c r="AB953" s="7"/>
      <c r="AC953" s="7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5"/>
      <c r="W954" s="7"/>
      <c r="X954" s="7"/>
      <c r="Y954" s="7"/>
      <c r="Z954" s="5"/>
      <c r="AA954" s="7"/>
      <c r="AB954" s="7"/>
      <c r="AC954" s="7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5"/>
      <c r="W955" s="7"/>
      <c r="X955" s="7"/>
      <c r="Y955" s="7"/>
      <c r="Z955" s="5"/>
      <c r="AA955" s="7"/>
      <c r="AB955" s="7"/>
      <c r="AC955" s="7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5"/>
      <c r="W956" s="7"/>
      <c r="X956" s="7"/>
      <c r="Y956" s="7"/>
      <c r="Z956" s="5"/>
      <c r="AA956" s="7"/>
      <c r="AB956" s="7"/>
      <c r="AC956" s="7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5"/>
      <c r="W957" s="7"/>
      <c r="X957" s="7"/>
      <c r="Y957" s="7"/>
      <c r="Z957" s="5"/>
      <c r="AA957" s="7"/>
      <c r="AB957" s="7"/>
      <c r="AC957" s="7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5"/>
      <c r="W958" s="7"/>
      <c r="X958" s="7"/>
      <c r="Y958" s="7"/>
      <c r="Z958" s="5"/>
      <c r="AA958" s="7"/>
      <c r="AB958" s="7"/>
      <c r="AC958" s="7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5"/>
      <c r="W959" s="7"/>
      <c r="X959" s="7"/>
      <c r="Y959" s="7"/>
      <c r="Z959" s="5"/>
      <c r="AA959" s="7"/>
      <c r="AB959" s="7"/>
      <c r="AC959" s="7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5"/>
      <c r="W960" s="7"/>
      <c r="X960" s="7"/>
      <c r="Y960" s="7"/>
      <c r="Z960" s="5"/>
      <c r="AA960" s="7"/>
      <c r="AB960" s="7"/>
      <c r="AC960" s="7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5"/>
      <c r="W961" s="7"/>
      <c r="X961" s="7"/>
      <c r="Y961" s="7"/>
      <c r="Z961" s="5"/>
      <c r="AA961" s="7"/>
      <c r="AB961" s="7"/>
      <c r="AC961" s="7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5"/>
      <c r="W962" s="7"/>
      <c r="X962" s="7"/>
      <c r="Y962" s="7"/>
      <c r="Z962" s="5"/>
      <c r="AA962" s="7"/>
      <c r="AB962" s="7"/>
      <c r="AC962" s="7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5"/>
      <c r="W963" s="7"/>
      <c r="X963" s="7"/>
      <c r="Y963" s="7"/>
      <c r="Z963" s="5"/>
      <c r="AA963" s="7"/>
      <c r="AB963" s="7"/>
      <c r="AC963" s="7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5"/>
      <c r="W964" s="7"/>
      <c r="X964" s="7"/>
      <c r="Y964" s="7"/>
      <c r="Z964" s="5"/>
      <c r="AA964" s="7"/>
      <c r="AB964" s="7"/>
      <c r="AC964" s="7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5"/>
      <c r="W965" s="7"/>
      <c r="X965" s="7"/>
      <c r="Y965" s="7"/>
      <c r="Z965" s="5"/>
      <c r="AA965" s="7"/>
      <c r="AB965" s="7"/>
      <c r="AC965" s="7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5"/>
      <c r="W966" s="7"/>
      <c r="X966" s="7"/>
      <c r="Y966" s="7"/>
      <c r="Z966" s="5"/>
      <c r="AA966" s="7"/>
      <c r="AB966" s="7"/>
      <c r="AC966" s="7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5"/>
      <c r="W967" s="7"/>
      <c r="X967" s="7"/>
      <c r="Y967" s="7"/>
      <c r="Z967" s="5"/>
      <c r="AA967" s="7"/>
      <c r="AB967" s="7"/>
      <c r="AC967" s="7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5"/>
      <c r="W968" s="7"/>
      <c r="X968" s="7"/>
      <c r="Y968" s="7"/>
      <c r="Z968" s="5"/>
      <c r="AA968" s="7"/>
      <c r="AB968" s="7"/>
      <c r="AC968" s="7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5"/>
      <c r="W969" s="7"/>
      <c r="X969" s="7"/>
      <c r="Y969" s="7"/>
      <c r="Z969" s="5"/>
      <c r="AA969" s="7"/>
      <c r="AB969" s="7"/>
      <c r="AC969" s="7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5"/>
      <c r="W970" s="7"/>
      <c r="X970" s="7"/>
      <c r="Y970" s="7"/>
      <c r="Z970" s="5"/>
      <c r="AA970" s="7"/>
      <c r="AB970" s="7"/>
      <c r="AC970" s="7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5"/>
      <c r="W971" s="7"/>
      <c r="X971" s="7"/>
      <c r="Y971" s="7"/>
      <c r="Z971" s="5"/>
      <c r="AA971" s="7"/>
      <c r="AB971" s="7"/>
      <c r="AC971" s="7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5"/>
      <c r="W972" s="7"/>
      <c r="X972" s="7"/>
      <c r="Y972" s="7"/>
      <c r="Z972" s="5"/>
      <c r="AA972" s="7"/>
      <c r="AB972" s="7"/>
      <c r="AC972" s="7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5"/>
      <c r="W973" s="7"/>
      <c r="X973" s="7"/>
      <c r="Y973" s="7"/>
      <c r="Z973" s="5"/>
      <c r="AA973" s="7"/>
      <c r="AB973" s="7"/>
      <c r="AC973" s="7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5"/>
      <c r="W974" s="7"/>
      <c r="X974" s="7"/>
      <c r="Y974" s="7"/>
      <c r="Z974" s="5"/>
      <c r="AA974" s="7"/>
      <c r="AB974" s="7"/>
      <c r="AC974" s="7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5"/>
      <c r="W975" s="7"/>
      <c r="X975" s="7"/>
      <c r="Y975" s="7"/>
      <c r="Z975" s="5"/>
      <c r="AA975" s="7"/>
      <c r="AB975" s="7"/>
      <c r="AC975" s="7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5"/>
      <c r="W976" s="7"/>
      <c r="X976" s="7"/>
      <c r="Y976" s="7"/>
      <c r="Z976" s="5"/>
      <c r="AA976" s="7"/>
      <c r="AB976" s="7"/>
      <c r="AC976" s="7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5"/>
      <c r="W977" s="7"/>
      <c r="X977" s="7"/>
      <c r="Y977" s="7"/>
      <c r="Z977" s="5"/>
      <c r="AA977" s="7"/>
      <c r="AB977" s="7"/>
      <c r="AC977" s="7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5"/>
      <c r="W978" s="7"/>
      <c r="X978" s="7"/>
      <c r="Y978" s="7"/>
      <c r="Z978" s="5"/>
      <c r="AA978" s="7"/>
      <c r="AB978" s="7"/>
      <c r="AC978" s="7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5"/>
      <c r="W979" s="7"/>
      <c r="X979" s="7"/>
      <c r="Y979" s="7"/>
      <c r="Z979" s="5"/>
      <c r="AA979" s="7"/>
      <c r="AB979" s="7"/>
      <c r="AC979" s="7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5"/>
      <c r="W980" s="7"/>
      <c r="X980" s="7"/>
      <c r="Y980" s="7"/>
      <c r="Z980" s="5"/>
      <c r="AA980" s="7"/>
      <c r="AB980" s="7"/>
      <c r="AC980" s="7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5"/>
      <c r="W981" s="7"/>
      <c r="X981" s="7"/>
      <c r="Y981" s="7"/>
      <c r="Z981" s="5"/>
      <c r="AA981" s="7"/>
      <c r="AB981" s="7"/>
      <c r="AC981" s="7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5"/>
      <c r="W982" s="7"/>
      <c r="X982" s="7"/>
      <c r="Y982" s="7"/>
      <c r="Z982" s="5"/>
      <c r="AA982" s="7"/>
      <c r="AB982" s="7"/>
      <c r="AC982" s="7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5"/>
      <c r="W983" s="7"/>
      <c r="X983" s="7"/>
      <c r="Y983" s="7"/>
      <c r="Z983" s="5"/>
      <c r="AA983" s="7"/>
      <c r="AB983" s="7"/>
      <c r="AC983" s="7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5"/>
      <c r="W984" s="7"/>
      <c r="X984" s="7"/>
      <c r="Y984" s="7"/>
      <c r="Z984" s="5"/>
      <c r="AA984" s="7"/>
      <c r="AB984" s="7"/>
      <c r="AC984" s="7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5"/>
      <c r="W985" s="7"/>
      <c r="X985" s="7"/>
      <c r="Y985" s="7"/>
      <c r="Z985" s="5"/>
      <c r="AA985" s="7"/>
      <c r="AB985" s="7"/>
      <c r="AC985" s="7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5"/>
      <c r="W986" s="7"/>
      <c r="X986" s="7"/>
      <c r="Y986" s="7"/>
      <c r="Z986" s="5"/>
      <c r="AA986" s="7"/>
      <c r="AB986" s="7"/>
      <c r="AC986" s="7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5"/>
      <c r="W987" s="7"/>
      <c r="X987" s="7"/>
      <c r="Y987" s="7"/>
      <c r="Z987" s="5"/>
      <c r="AA987" s="7"/>
      <c r="AB987" s="7"/>
      <c r="AC987" s="7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5"/>
      <c r="W988" s="7"/>
      <c r="X988" s="7"/>
      <c r="Y988" s="7"/>
      <c r="Z988" s="5"/>
      <c r="AA988" s="7"/>
      <c r="AB988" s="7"/>
      <c r="AC988" s="7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5"/>
      <c r="W989" s="7"/>
      <c r="X989" s="7"/>
      <c r="Y989" s="7"/>
      <c r="Z989" s="5"/>
      <c r="AA989" s="7"/>
      <c r="AB989" s="7"/>
      <c r="AC989" s="7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5"/>
      <c r="W990" s="7"/>
      <c r="X990" s="7"/>
      <c r="Y990" s="7"/>
      <c r="Z990" s="5"/>
      <c r="AA990" s="7"/>
      <c r="AB990" s="7"/>
      <c r="AC990" s="7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5"/>
      <c r="W991" s="7"/>
      <c r="X991" s="7"/>
      <c r="Y991" s="7"/>
      <c r="Z991" s="5"/>
      <c r="AA991" s="7"/>
      <c r="AB991" s="7"/>
      <c r="AC991" s="7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5"/>
      <c r="W992" s="7"/>
      <c r="X992" s="7"/>
      <c r="Y992" s="7"/>
      <c r="Z992" s="5"/>
      <c r="AA992" s="7"/>
      <c r="AB992" s="7"/>
      <c r="AC992" s="7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5"/>
      <c r="W993" s="7"/>
      <c r="X993" s="7"/>
      <c r="Y993" s="7"/>
      <c r="Z993" s="5"/>
      <c r="AA993" s="7"/>
      <c r="AB993" s="7"/>
      <c r="AC993" s="7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5"/>
      <c r="W994" s="7"/>
      <c r="X994" s="7"/>
      <c r="Y994" s="7"/>
      <c r="Z994" s="5"/>
      <c r="AA994" s="7"/>
      <c r="AB994" s="7"/>
      <c r="AC994" s="7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5"/>
      <c r="W995" s="7"/>
      <c r="X995" s="7"/>
      <c r="Y995" s="7"/>
      <c r="Z995" s="5"/>
      <c r="AA995" s="7"/>
      <c r="AB995" s="7"/>
      <c r="AC995" s="7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5"/>
      <c r="W996" s="7"/>
      <c r="X996" s="7"/>
      <c r="Y996" s="7"/>
      <c r="Z996" s="5"/>
      <c r="AA996" s="7"/>
      <c r="AB996" s="7"/>
      <c r="AC996" s="7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5"/>
      <c r="W997" s="7"/>
      <c r="X997" s="7"/>
      <c r="Y997" s="7"/>
      <c r="Z997" s="5"/>
      <c r="AA997" s="7"/>
      <c r="AB997" s="7"/>
      <c r="AC997" s="7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5"/>
      <c r="W998" s="7"/>
      <c r="X998" s="7"/>
      <c r="Y998" s="7"/>
      <c r="Z998" s="5"/>
      <c r="AA998" s="7"/>
      <c r="AB998" s="7"/>
      <c r="AC998" s="7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5"/>
      <c r="W999" s="7"/>
      <c r="X999" s="7"/>
      <c r="Y999" s="7"/>
      <c r="Z999" s="5"/>
      <c r="AA999" s="7"/>
      <c r="AB999" s="7"/>
      <c r="AC999" s="7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5"/>
      <c r="W1000" s="7"/>
      <c r="X1000" s="7"/>
      <c r="Y1000" s="7"/>
      <c r="Z1000" s="5"/>
      <c r="AA1000" s="7"/>
      <c r="AB1000" s="7"/>
      <c r="AC1000" s="7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5"/>
      <c r="W1001" s="7"/>
      <c r="X1001" s="7"/>
      <c r="Y1001" s="7"/>
      <c r="Z1001" s="5"/>
      <c r="AA1001" s="7"/>
      <c r="AB1001" s="7"/>
      <c r="AC1001" s="7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5"/>
      <c r="W1002" s="7"/>
      <c r="X1002" s="7"/>
      <c r="Y1002" s="7"/>
      <c r="Z1002" s="5"/>
      <c r="AA1002" s="7"/>
      <c r="AB1002" s="7"/>
      <c r="AC1002" s="7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5"/>
      <c r="W1003" s="7"/>
      <c r="X1003" s="7"/>
      <c r="Y1003" s="7"/>
      <c r="Z1003" s="5"/>
      <c r="AA1003" s="7"/>
      <c r="AB1003" s="7"/>
      <c r="AC1003" s="7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5"/>
      <c r="W1004" s="7"/>
      <c r="X1004" s="7"/>
      <c r="Y1004" s="7"/>
      <c r="Z1004" s="5"/>
      <c r="AA1004" s="7"/>
      <c r="AB1004" s="7"/>
      <c r="AC1004" s="7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5"/>
      <c r="W1005" s="7"/>
      <c r="X1005" s="7"/>
      <c r="Y1005" s="7"/>
      <c r="Z1005" s="5"/>
      <c r="AA1005" s="7"/>
      <c r="AB1005" s="7"/>
      <c r="AC1005" s="7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5"/>
      <c r="W1006" s="7"/>
      <c r="X1006" s="7"/>
      <c r="Y1006" s="7"/>
      <c r="Z1006" s="5"/>
      <c r="AA1006" s="7"/>
      <c r="AB1006" s="7"/>
      <c r="AC1006" s="7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5"/>
      <c r="W1007" s="7"/>
      <c r="X1007" s="7"/>
      <c r="Y1007" s="7"/>
      <c r="Z1007" s="5"/>
      <c r="AA1007" s="7"/>
      <c r="AB1007" s="7"/>
      <c r="AC1007" s="7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5"/>
      <c r="W1008" s="7"/>
      <c r="X1008" s="7"/>
      <c r="Y1008" s="7"/>
      <c r="Z1008" s="5"/>
      <c r="AA1008" s="7"/>
      <c r="AB1008" s="7"/>
      <c r="AC1008" s="7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5"/>
      <c r="W1009" s="7"/>
      <c r="X1009" s="7"/>
      <c r="Y1009" s="7"/>
      <c r="Z1009" s="5"/>
      <c r="AA1009" s="7"/>
      <c r="AB1009" s="7"/>
      <c r="AC1009" s="7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5"/>
      <c r="W1010" s="7"/>
      <c r="X1010" s="7"/>
      <c r="Y1010" s="7"/>
      <c r="Z1010" s="5"/>
      <c r="AA1010" s="7"/>
      <c r="AB1010" s="7"/>
      <c r="AC1010" s="7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5"/>
      <c r="W1011" s="7"/>
      <c r="X1011" s="7"/>
      <c r="Y1011" s="7"/>
      <c r="Z1011" s="5"/>
      <c r="AA1011" s="7"/>
      <c r="AB1011" s="7"/>
      <c r="AC1011" s="7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5"/>
      <c r="W1012" s="7"/>
      <c r="X1012" s="7"/>
      <c r="Y1012" s="7"/>
      <c r="Z1012" s="5"/>
      <c r="AA1012" s="7"/>
      <c r="AB1012" s="7"/>
      <c r="AC1012" s="7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5"/>
      <c r="W1013" s="7"/>
      <c r="X1013" s="7"/>
      <c r="Y1013" s="7"/>
      <c r="Z1013" s="5"/>
      <c r="AA1013" s="7"/>
      <c r="AB1013" s="7"/>
      <c r="AC1013" s="7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5"/>
      <c r="W1014" s="7"/>
      <c r="X1014" s="7"/>
      <c r="Y1014" s="7"/>
      <c r="Z1014" s="5"/>
      <c r="AA1014" s="7"/>
      <c r="AB1014" s="7"/>
      <c r="AC1014" s="7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5"/>
      <c r="W1015" s="7"/>
      <c r="X1015" s="7"/>
      <c r="Y1015" s="7"/>
      <c r="Z1015" s="5"/>
      <c r="AA1015" s="7"/>
      <c r="AB1015" s="7"/>
      <c r="AC1015" s="7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5"/>
      <c r="W1016" s="7"/>
      <c r="X1016" s="7"/>
      <c r="Y1016" s="7"/>
      <c r="Z1016" s="5"/>
      <c r="AA1016" s="7"/>
      <c r="AB1016" s="7"/>
      <c r="AC1016" s="7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5"/>
      <c r="W1017" s="7"/>
      <c r="X1017" s="7"/>
      <c r="Y1017" s="7"/>
      <c r="Z1017" s="5"/>
      <c r="AA1017" s="7"/>
      <c r="AB1017" s="7"/>
      <c r="AC1017" s="7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5"/>
      <c r="W1018" s="7"/>
      <c r="X1018" s="7"/>
      <c r="Y1018" s="7"/>
      <c r="Z1018" s="5"/>
      <c r="AA1018" s="7"/>
      <c r="AB1018" s="7"/>
      <c r="AC1018" s="7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5"/>
      <c r="W1019" s="7"/>
      <c r="X1019" s="7"/>
      <c r="Y1019" s="7"/>
      <c r="Z1019" s="5"/>
      <c r="AA1019" s="7"/>
      <c r="AB1019" s="7"/>
      <c r="AC1019" s="7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5"/>
      <c r="W1020" s="7"/>
      <c r="X1020" s="7"/>
      <c r="Y1020" s="7"/>
      <c r="Z1020" s="5"/>
      <c r="AA1020" s="7"/>
      <c r="AB1020" s="7"/>
      <c r="AC1020" s="7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5"/>
      <c r="W1021" s="7"/>
      <c r="X1021" s="7"/>
      <c r="Y1021" s="7"/>
      <c r="Z1021" s="5"/>
      <c r="AA1021" s="7"/>
      <c r="AB1021" s="7"/>
      <c r="AC1021" s="7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5"/>
      <c r="W1022" s="7"/>
      <c r="X1022" s="7"/>
      <c r="Y1022" s="7"/>
      <c r="Z1022" s="5"/>
      <c r="AA1022" s="7"/>
      <c r="AB1022" s="7"/>
      <c r="AC1022" s="7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5"/>
      <c r="W1023" s="7"/>
      <c r="X1023" s="7"/>
      <c r="Y1023" s="7"/>
      <c r="Z1023" s="5"/>
      <c r="AA1023" s="7"/>
      <c r="AB1023" s="7"/>
      <c r="AC1023" s="7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5"/>
      <c r="W1024" s="7"/>
      <c r="X1024" s="7"/>
      <c r="Y1024" s="7"/>
      <c r="Z1024" s="5"/>
      <c r="AA1024" s="7"/>
      <c r="AB1024" s="7"/>
      <c r="AC1024" s="7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5"/>
      <c r="W1025" s="7"/>
      <c r="X1025" s="7"/>
      <c r="Y1025" s="7"/>
      <c r="Z1025" s="5"/>
      <c r="AA1025" s="7"/>
      <c r="AB1025" s="7"/>
      <c r="AC1025" s="7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5"/>
      <c r="W1026" s="7"/>
      <c r="X1026" s="7"/>
      <c r="Y1026" s="7"/>
      <c r="Z1026" s="5"/>
      <c r="AA1026" s="7"/>
      <c r="AB1026" s="7"/>
      <c r="AC1026" s="7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5"/>
      <c r="W1027" s="7"/>
      <c r="X1027" s="7"/>
      <c r="Y1027" s="7"/>
      <c r="Z1027" s="5"/>
      <c r="AA1027" s="7"/>
      <c r="AB1027" s="7"/>
      <c r="AC1027" s="7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5"/>
      <c r="W1028" s="7"/>
      <c r="X1028" s="7"/>
      <c r="Y1028" s="7"/>
      <c r="Z1028" s="5"/>
      <c r="AA1028" s="7"/>
      <c r="AB1028" s="7"/>
      <c r="AC1028" s="7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5"/>
      <c r="W1029" s="7"/>
      <c r="X1029" s="7"/>
      <c r="Y1029" s="7"/>
      <c r="Z1029" s="5"/>
      <c r="AA1029" s="7"/>
      <c r="AB1029" s="7"/>
      <c r="AC1029" s="7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5"/>
      <c r="W1030" s="7"/>
      <c r="X1030" s="7"/>
      <c r="Y1030" s="7"/>
      <c r="Z1030" s="5"/>
      <c r="AA1030" s="7"/>
      <c r="AB1030" s="7"/>
      <c r="AC1030" s="7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5"/>
      <c r="W1031" s="7"/>
      <c r="X1031" s="7"/>
      <c r="Y1031" s="7"/>
      <c r="Z1031" s="5"/>
      <c r="AA1031" s="7"/>
      <c r="AB1031" s="7"/>
      <c r="AC1031" s="7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5"/>
      <c r="W1032" s="7"/>
      <c r="X1032" s="7"/>
      <c r="Y1032" s="7"/>
      <c r="Z1032" s="5"/>
      <c r="AA1032" s="7"/>
      <c r="AB1032" s="7"/>
      <c r="AC1032" s="7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5"/>
      <c r="W1033" s="7"/>
      <c r="X1033" s="7"/>
      <c r="Y1033" s="7"/>
      <c r="Z1033" s="5"/>
      <c r="AA1033" s="7"/>
      <c r="AB1033" s="7"/>
      <c r="AC1033" s="7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5"/>
      <c r="W1034" s="7"/>
      <c r="X1034" s="7"/>
      <c r="Y1034" s="7"/>
      <c r="Z1034" s="5"/>
      <c r="AA1034" s="7"/>
      <c r="AB1034" s="7"/>
      <c r="AC1034" s="7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5"/>
      <c r="W1035" s="7"/>
      <c r="X1035" s="7"/>
      <c r="Y1035" s="7"/>
      <c r="Z1035" s="5"/>
      <c r="AA1035" s="7"/>
      <c r="AB1035" s="7"/>
      <c r="AC1035" s="7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5"/>
      <c r="W1036" s="7"/>
      <c r="X1036" s="7"/>
      <c r="Y1036" s="7"/>
      <c r="Z1036" s="5"/>
      <c r="AA1036" s="7"/>
      <c r="AB1036" s="7"/>
      <c r="AC1036" s="7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5"/>
      <c r="W1037" s="7"/>
      <c r="X1037" s="7"/>
      <c r="Y1037" s="7"/>
      <c r="Z1037" s="5"/>
      <c r="AA1037" s="7"/>
      <c r="AB1037" s="7"/>
      <c r="AC1037" s="7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5"/>
      <c r="W1038" s="7"/>
      <c r="X1038" s="7"/>
      <c r="Y1038" s="7"/>
      <c r="Z1038" s="5"/>
      <c r="AA1038" s="7"/>
      <c r="AB1038" s="7"/>
      <c r="AC1038" s="7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5"/>
      <c r="W1039" s="7"/>
      <c r="X1039" s="7"/>
      <c r="Y1039" s="7"/>
      <c r="Z1039" s="5"/>
      <c r="AA1039" s="7"/>
      <c r="AB1039" s="7"/>
      <c r="AC1039" s="7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5"/>
      <c r="W1040" s="7"/>
      <c r="X1040" s="7"/>
      <c r="Y1040" s="7"/>
      <c r="Z1040" s="5"/>
      <c r="AA1040" s="7"/>
      <c r="AB1040" s="7"/>
      <c r="AC1040" s="7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5"/>
      <c r="W1041" s="7"/>
      <c r="X1041" s="7"/>
      <c r="Y1041" s="7"/>
      <c r="Z1041" s="5"/>
      <c r="AA1041" s="7"/>
      <c r="AB1041" s="7"/>
      <c r="AC1041" s="7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5"/>
      <c r="W1042" s="7"/>
      <c r="X1042" s="7"/>
      <c r="Y1042" s="7"/>
      <c r="Z1042" s="5"/>
      <c r="AA1042" s="7"/>
      <c r="AB1042" s="7"/>
      <c r="AC1042" s="7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5"/>
      <c r="W1043" s="7"/>
      <c r="X1043" s="7"/>
      <c r="Y1043" s="7"/>
      <c r="Z1043" s="5"/>
      <c r="AA1043" s="7"/>
      <c r="AB1043" s="7"/>
      <c r="AC1043" s="7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5"/>
      <c r="W1044" s="7"/>
      <c r="X1044" s="7"/>
      <c r="Y1044" s="7"/>
      <c r="Z1044" s="5"/>
      <c r="AA1044" s="7"/>
      <c r="AB1044" s="7"/>
      <c r="AC1044" s="7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5"/>
      <c r="W1045" s="7"/>
      <c r="X1045" s="7"/>
      <c r="Y1045" s="7"/>
      <c r="Z1045" s="5"/>
      <c r="AA1045" s="7"/>
      <c r="AB1045" s="7"/>
      <c r="AC1045" s="7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5"/>
      <c r="W1046" s="7"/>
      <c r="X1046" s="7"/>
      <c r="Y1046" s="7"/>
      <c r="Z1046" s="5"/>
      <c r="AA1046" s="7"/>
      <c r="AB1046" s="7"/>
      <c r="AC1046" s="7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5"/>
      <c r="W1047" s="7"/>
      <c r="X1047" s="7"/>
      <c r="Y1047" s="7"/>
      <c r="Z1047" s="5"/>
      <c r="AA1047" s="7"/>
      <c r="AB1047" s="7"/>
      <c r="AC1047" s="7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5"/>
      <c r="W1048" s="7"/>
      <c r="X1048" s="7"/>
      <c r="Y1048" s="7"/>
      <c r="Z1048" s="5"/>
      <c r="AA1048" s="7"/>
      <c r="AB1048" s="7"/>
      <c r="AC1048" s="7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5"/>
      <c r="W1049" s="7"/>
      <c r="X1049" s="7"/>
      <c r="Y1049" s="7"/>
      <c r="Z1049" s="5"/>
      <c r="AA1049" s="7"/>
      <c r="AB1049" s="7"/>
      <c r="AC1049" s="7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5"/>
      <c r="W1050" s="7"/>
      <c r="X1050" s="7"/>
      <c r="Y1050" s="7"/>
      <c r="Z1050" s="5"/>
      <c r="AA1050" s="7"/>
      <c r="AB1050" s="7"/>
      <c r="AC1050" s="7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5"/>
      <c r="W1051" s="7"/>
      <c r="X1051" s="7"/>
      <c r="Y1051" s="7"/>
      <c r="Z1051" s="5"/>
      <c r="AA1051" s="7"/>
      <c r="AB1051" s="7"/>
      <c r="AC1051" s="7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5"/>
      <c r="W1052" s="7"/>
      <c r="X1052" s="7"/>
      <c r="Y1052" s="7"/>
      <c r="Z1052" s="5"/>
      <c r="AA1052" s="7"/>
      <c r="AB1052" s="7"/>
      <c r="AC1052" s="7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5"/>
      <c r="W1053" s="7"/>
      <c r="X1053" s="7"/>
      <c r="Y1053" s="7"/>
      <c r="Z1053" s="5"/>
      <c r="AA1053" s="7"/>
      <c r="AB1053" s="7"/>
      <c r="AC1053" s="7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5"/>
      <c r="W1054" s="7"/>
      <c r="X1054" s="7"/>
      <c r="Y1054" s="7"/>
      <c r="Z1054" s="5"/>
      <c r="AA1054" s="7"/>
      <c r="AB1054" s="7"/>
      <c r="AC1054" s="7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5"/>
      <c r="W1055" s="7"/>
      <c r="X1055" s="7"/>
      <c r="Y1055" s="7"/>
      <c r="Z1055" s="5"/>
      <c r="AA1055" s="7"/>
      <c r="AB1055" s="7"/>
      <c r="AC1055" s="7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5"/>
      <c r="W1056" s="7"/>
      <c r="X1056" s="7"/>
      <c r="Y1056" s="7"/>
      <c r="Z1056" s="5"/>
      <c r="AA1056" s="7"/>
      <c r="AB1056" s="7"/>
      <c r="AC1056" s="7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5"/>
      <c r="W1057" s="7"/>
      <c r="X1057" s="7"/>
      <c r="Y1057" s="7"/>
      <c r="Z1057" s="5"/>
      <c r="AA1057" s="7"/>
      <c r="AB1057" s="7"/>
      <c r="AC1057" s="7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5"/>
      <c r="W1058" s="7"/>
      <c r="X1058" s="7"/>
      <c r="Y1058" s="7"/>
      <c r="Z1058" s="5"/>
      <c r="AA1058" s="7"/>
      <c r="AB1058" s="7"/>
      <c r="AC1058" s="7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5"/>
      <c r="W1059" s="7"/>
      <c r="X1059" s="7"/>
      <c r="Y1059" s="7"/>
      <c r="Z1059" s="5"/>
      <c r="AA1059" s="7"/>
      <c r="AB1059" s="7"/>
      <c r="AC1059" s="7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5"/>
      <c r="W1060" s="7"/>
      <c r="X1060" s="7"/>
      <c r="Y1060" s="7"/>
      <c r="Z1060" s="5"/>
      <c r="AA1060" s="7"/>
      <c r="AB1060" s="7"/>
      <c r="AC1060" s="7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5"/>
      <c r="W1061" s="7"/>
      <c r="X1061" s="7"/>
      <c r="Y1061" s="7"/>
      <c r="Z1061" s="5"/>
      <c r="AA1061" s="7"/>
      <c r="AB1061" s="7"/>
      <c r="AC1061" s="7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5"/>
      <c r="W1062" s="7"/>
      <c r="X1062" s="7"/>
      <c r="Y1062" s="7"/>
      <c r="Z1062" s="5"/>
      <c r="AA1062" s="7"/>
      <c r="AB1062" s="7"/>
      <c r="AC1062" s="7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5"/>
      <c r="W1063" s="7"/>
      <c r="X1063" s="7"/>
      <c r="Y1063" s="7"/>
      <c r="Z1063" s="5"/>
      <c r="AA1063" s="7"/>
      <c r="AB1063" s="7"/>
      <c r="AC1063" s="7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5"/>
      <c r="W1064" s="7"/>
      <c r="X1064" s="7"/>
      <c r="Y1064" s="7"/>
      <c r="Z1064" s="5"/>
      <c r="AA1064" s="7"/>
      <c r="AB1064" s="7"/>
      <c r="AC1064" s="7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5"/>
      <c r="W1065" s="7"/>
      <c r="X1065" s="7"/>
      <c r="Y1065" s="7"/>
      <c r="Z1065" s="5"/>
      <c r="AA1065" s="7"/>
      <c r="AB1065" s="7"/>
      <c r="AC1065" s="7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5"/>
      <c r="W1066" s="7"/>
      <c r="X1066" s="7"/>
      <c r="Y1066" s="7"/>
      <c r="Z1066" s="5"/>
      <c r="AA1066" s="7"/>
      <c r="AB1066" s="7"/>
      <c r="AC1066" s="7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5"/>
      <c r="W1067" s="7"/>
      <c r="X1067" s="7"/>
      <c r="Y1067" s="7"/>
      <c r="Z1067" s="5"/>
      <c r="AA1067" s="7"/>
      <c r="AB1067" s="7"/>
      <c r="AC1067" s="7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5"/>
      <c r="W1068" s="7"/>
      <c r="X1068" s="7"/>
      <c r="Y1068" s="7"/>
      <c r="Z1068" s="5"/>
      <c r="AA1068" s="7"/>
      <c r="AB1068" s="7"/>
      <c r="AC1068" s="7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5"/>
      <c r="W1069" s="7"/>
      <c r="X1069" s="7"/>
      <c r="Y1069" s="7"/>
      <c r="Z1069" s="5"/>
      <c r="AA1069" s="7"/>
      <c r="AB1069" s="7"/>
      <c r="AC1069" s="7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5"/>
      <c r="W1070" s="7"/>
      <c r="X1070" s="7"/>
      <c r="Y1070" s="7"/>
      <c r="Z1070" s="5"/>
      <c r="AA1070" s="7"/>
      <c r="AB1070" s="7"/>
      <c r="AC1070" s="7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5"/>
      <c r="W1071" s="7"/>
      <c r="X1071" s="7"/>
      <c r="Y1071" s="7"/>
      <c r="Z1071" s="5"/>
      <c r="AA1071" s="7"/>
      <c r="AB1071" s="7"/>
      <c r="AC1071" s="7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</row>
  </sheetData>
  <mergeCells count="18">
    <mergeCell ref="F3:I3"/>
    <mergeCell ref="U4:U5"/>
    <mergeCell ref="W4:Y4"/>
    <mergeCell ref="H5:H6"/>
    <mergeCell ref="J5:J6"/>
    <mergeCell ref="N5:O5"/>
    <mergeCell ref="AA13:AA15"/>
    <mergeCell ref="D209:G209"/>
    <mergeCell ref="D227:G227"/>
    <mergeCell ref="D245:G245"/>
    <mergeCell ref="D263:G263"/>
    <mergeCell ref="D50:E50"/>
    <mergeCell ref="D78:E78"/>
    <mergeCell ref="D83:E83"/>
    <mergeCell ref="F102:H102"/>
    <mergeCell ref="J102:K102"/>
    <mergeCell ref="J149:K149"/>
    <mergeCell ref="J173:K173"/>
  </mergeCells>
  <dataValidations>
    <dataValidation type="list" allowBlank="1" sqref="J43:U43">
      <formula1>$J$7:$J$9</formula1>
    </dataValidation>
    <dataValidation type="list" allowBlank="1" sqref="J42:U42">
      <formula1>$AO$4:$AO$5</formula1>
    </dataValidation>
    <dataValidation type="list" allowBlank="1" sqref="J44:U44">
      <formula1>$AP$4:$AP$6</formula1>
    </dataValidation>
    <dataValidation type="list" allowBlank="1" sqref="H21:H40">
      <formula1>$AQ$4:$AQ$6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tr">
        <f>'Copy of Supplier 2 Inputs'!W5</f>
        <v>SkyRockets</v>
      </c>
      <c r="N2" s="1" t="str">
        <f>'Copy of Supplier 2 Inputs'!X5</f>
        <v>Steady Eddy</v>
      </c>
      <c r="O2" s="1" t="str">
        <f>'Copy of Supplier 2 Inputs'!Y5</f>
        <v>Slow Burn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8">
        <f>'Copy of Supplier 2 Inputs'!U7</f>
        <v>30</v>
      </c>
      <c r="M3" s="10">
        <f>'Copy of Supplier 2 Inputs'!W7</f>
        <v>0.4</v>
      </c>
      <c r="N3" s="10">
        <f>'Copy of Supplier 2 Inputs'!X7</f>
        <v>0.2</v>
      </c>
      <c r="O3" s="10">
        <f>'Copy of Supplier 2 Inputs'!Y7</f>
        <v>0.1</v>
      </c>
      <c r="P3" s="10">
        <f t="shared" ref="P3:P9" si="1">100%-sum(M3:O3)</f>
        <v>0.3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8">
        <f>'Copy of Supplier 2 Inputs'!U8</f>
        <v>60</v>
      </c>
      <c r="M4" s="10">
        <f>'Copy of Supplier 2 Inputs'!W8</f>
        <v>0.25</v>
      </c>
      <c r="N4" s="10">
        <f>'Copy of Supplier 2 Inputs'!X8</f>
        <v>0.3</v>
      </c>
      <c r="O4" s="10">
        <f>'Copy of Supplier 2 Inputs'!Y8</f>
        <v>0.3</v>
      </c>
      <c r="P4" s="10">
        <f t="shared" si="1"/>
        <v>0.15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8">
        <f>'Copy of Supplier 2 Inputs'!U9</f>
        <v>90</v>
      </c>
      <c r="M5" s="10">
        <f>'Copy of Supplier 2 Inputs'!W9</f>
        <v>0.2</v>
      </c>
      <c r="N5" s="10">
        <f>'Copy of Supplier 2 Inputs'!X9</f>
        <v>0.2</v>
      </c>
      <c r="O5" s="10">
        <f>'Copy of Supplier 2 Inputs'!Y9</f>
        <v>0.4</v>
      </c>
      <c r="P5" s="10">
        <f t="shared" si="1"/>
        <v>0.2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8">
        <f>'Copy of Supplier 2 Inputs'!U10</f>
        <v>120</v>
      </c>
      <c r="M6" s="10">
        <f>'Copy of Supplier 2 Inputs'!W10</f>
        <v>0.15</v>
      </c>
      <c r="N6" s="10">
        <f>'Copy of Supplier 2 Inputs'!X10</f>
        <v>0.3</v>
      </c>
      <c r="O6" s="10">
        <f>'Copy of Supplier 2 Inputs'!Y10</f>
        <v>0.2</v>
      </c>
      <c r="P6" s="10">
        <f t="shared" si="1"/>
        <v>0.35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20">
        <v>150.0</v>
      </c>
      <c r="M7" s="21">
        <v>0.2</v>
      </c>
      <c r="N7" s="21">
        <v>0.4</v>
      </c>
      <c r="O7" s="21">
        <v>0.4</v>
      </c>
      <c r="P7" s="10">
        <f t="shared" si="1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0">
        <v>180.0</v>
      </c>
      <c r="M8" s="21">
        <v>0.4</v>
      </c>
      <c r="N8" s="21">
        <v>0.3</v>
      </c>
      <c r="O8" s="21">
        <v>0.3</v>
      </c>
      <c r="P8" s="10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0" t="s">
        <v>12</v>
      </c>
      <c r="M9" s="21">
        <v>0.15</v>
      </c>
      <c r="N9" s="21">
        <v>0.55</v>
      </c>
      <c r="O9" s="21">
        <v>0.3</v>
      </c>
      <c r="P9" s="10">
        <f t="shared" si="1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27">
        <v>30.0</v>
      </c>
      <c r="E13" s="27">
        <v>60.0</v>
      </c>
      <c r="F13" s="27">
        <v>90.0</v>
      </c>
      <c r="G13" s="27">
        <v>120.0</v>
      </c>
      <c r="H13" s="27">
        <v>150.0</v>
      </c>
      <c r="I13" s="27">
        <v>180.0</v>
      </c>
      <c r="J13" s="27">
        <v>210.0</v>
      </c>
      <c r="K13" s="27">
        <v>240.0</v>
      </c>
      <c r="L13" s="27">
        <v>270.0</v>
      </c>
      <c r="M13" s="27">
        <v>300.0</v>
      </c>
      <c r="N13" s="27">
        <v>330.0</v>
      </c>
      <c r="O13" s="27">
        <v>360.0</v>
      </c>
      <c r="P13" s="27">
        <v>390.0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3" width="1.88"/>
    <col customWidth="1" min="4" max="4" width="16.25"/>
    <col customWidth="1" min="5" max="5" width="1.88"/>
    <col customWidth="1" min="6" max="28" width="9.63"/>
    <col customWidth="1" min="29" max="29" width="2.38"/>
    <col customWidth="1" min="31" max="31" width="2.25"/>
    <col customWidth="1" min="32" max="32" width="1.88"/>
    <col customWidth="1" min="36" max="36" width="64.0"/>
  </cols>
  <sheetData>
    <row r="1" ht="9.0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80"/>
      <c r="AT1" s="80"/>
      <c r="AU1" s="80"/>
      <c r="AV1" s="80"/>
      <c r="AW1" s="80"/>
      <c r="AX1" s="80"/>
      <c r="AY1" s="80"/>
    </row>
    <row r="2" ht="9.0" customHeight="1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</row>
    <row r="3" ht="9.0" customHeight="1">
      <c r="A3" s="79"/>
      <c r="B3" s="80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80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80"/>
      <c r="AS3" s="80"/>
      <c r="AT3" s="80"/>
      <c r="AU3" s="80"/>
      <c r="AV3" s="80"/>
      <c r="AW3" s="80"/>
      <c r="AX3" s="80"/>
      <c r="AY3" s="80"/>
    </row>
    <row r="4">
      <c r="A4" s="79"/>
      <c r="B4" s="80"/>
      <c r="C4" s="79"/>
      <c r="D4" s="81" t="s">
        <v>90</v>
      </c>
      <c r="E4" s="79"/>
      <c r="F4" s="82" t="s">
        <v>91</v>
      </c>
      <c r="G4" s="82" t="s">
        <v>92</v>
      </c>
      <c r="H4" s="82" t="s">
        <v>92</v>
      </c>
      <c r="I4" s="82" t="s">
        <v>93</v>
      </c>
      <c r="J4" s="82" t="s">
        <v>93</v>
      </c>
      <c r="K4" s="82" t="s">
        <v>91</v>
      </c>
      <c r="L4" s="82" t="s">
        <v>91</v>
      </c>
      <c r="M4" s="82" t="s">
        <v>93</v>
      </c>
      <c r="N4" s="82" t="s">
        <v>92</v>
      </c>
      <c r="O4" s="82" t="s">
        <v>93</v>
      </c>
      <c r="P4" s="82" t="s">
        <v>92</v>
      </c>
      <c r="Q4" s="82" t="s">
        <v>92</v>
      </c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80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80"/>
      <c r="AS4" s="80"/>
      <c r="AT4" s="80"/>
      <c r="AU4" s="80"/>
      <c r="AV4" s="80"/>
      <c r="AW4" s="80"/>
      <c r="AX4" s="80"/>
      <c r="AY4" s="80"/>
    </row>
    <row r="5" ht="12.75" customHeight="1">
      <c r="A5" s="79"/>
      <c r="B5" s="80"/>
      <c r="C5" s="79"/>
      <c r="D5" s="83" t="s">
        <v>94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80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80"/>
      <c r="AS5" s="80"/>
      <c r="AT5" s="80"/>
      <c r="AU5" s="80"/>
      <c r="AV5" s="80"/>
      <c r="AW5" s="80"/>
      <c r="AX5" s="80"/>
      <c r="AY5" s="80"/>
    </row>
    <row r="6">
      <c r="A6" s="79"/>
      <c r="B6" s="80"/>
      <c r="C6" s="79"/>
      <c r="D6" s="84" t="s">
        <v>95</v>
      </c>
      <c r="E6" s="79"/>
      <c r="F6" s="85">
        <v>20000.0</v>
      </c>
      <c r="G6" s="85">
        <v>20000.0</v>
      </c>
      <c r="H6" s="85">
        <v>20000.0</v>
      </c>
      <c r="I6" s="85">
        <v>20000.0</v>
      </c>
      <c r="J6" s="85">
        <v>20000.0</v>
      </c>
      <c r="K6" s="85">
        <v>20000.0</v>
      </c>
      <c r="L6" s="85">
        <v>20000.0</v>
      </c>
      <c r="M6" s="85">
        <v>20000.0</v>
      </c>
      <c r="N6" s="85">
        <v>20000.0</v>
      </c>
      <c r="O6" s="85">
        <v>20000.0</v>
      </c>
      <c r="P6" s="85">
        <v>20000.0</v>
      </c>
      <c r="Q6" s="85">
        <v>20000.0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79"/>
      <c r="AD6" s="79"/>
      <c r="AE6" s="79"/>
      <c r="AF6" s="80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80"/>
      <c r="AS6" s="80"/>
      <c r="AT6" s="80"/>
      <c r="AU6" s="80"/>
      <c r="AV6" s="80"/>
      <c r="AW6" s="80"/>
      <c r="AX6" s="80"/>
      <c r="AY6" s="80"/>
    </row>
    <row r="7">
      <c r="A7" s="79"/>
      <c r="B7" s="80"/>
      <c r="C7" s="79"/>
      <c r="D7" s="79"/>
      <c r="E7" s="79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79"/>
      <c r="AD7" s="79"/>
      <c r="AE7" s="79"/>
      <c r="AF7" s="80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80"/>
      <c r="AS7" s="80"/>
      <c r="AT7" s="80"/>
      <c r="AU7" s="80"/>
      <c r="AV7" s="80"/>
      <c r="AW7" s="80"/>
      <c r="AX7" s="80"/>
      <c r="AY7" s="80"/>
    </row>
    <row r="8">
      <c r="A8" s="79"/>
      <c r="B8" s="80"/>
      <c r="C8" s="79"/>
      <c r="D8" s="79"/>
      <c r="E8" s="79"/>
      <c r="F8" s="87" t="str">
        <f>'Supplier 1 Inputs'!J279</f>
        <v>Jan</v>
      </c>
      <c r="G8" s="87" t="str">
        <f>'Supplier 1 Inputs'!K279</f>
        <v>Feb</v>
      </c>
      <c r="H8" s="87" t="str">
        <f>'Supplier 1 Inputs'!L279</f>
        <v>Mar</v>
      </c>
      <c r="I8" s="87" t="str">
        <f>'Supplier 1 Inputs'!M279</f>
        <v>Apr</v>
      </c>
      <c r="J8" s="87" t="str">
        <f>'Supplier 1 Inputs'!N279</f>
        <v>May</v>
      </c>
      <c r="K8" s="87" t="str">
        <f>'Supplier 1 Inputs'!O279</f>
        <v>Jun</v>
      </c>
      <c r="L8" s="87" t="str">
        <f>'Supplier 1 Inputs'!P279</f>
        <v>Jul</v>
      </c>
      <c r="M8" s="87" t="str">
        <f>'Supplier 1 Inputs'!Q279</f>
        <v>Aug</v>
      </c>
      <c r="N8" s="87" t="str">
        <f>'Supplier 1 Inputs'!R279</f>
        <v>Sep</v>
      </c>
      <c r="O8" s="87" t="str">
        <f>'Supplier 1 Inputs'!S279</f>
        <v>Oct</v>
      </c>
      <c r="P8" s="87" t="str">
        <f>'Supplier 1 Inputs'!T279</f>
        <v>Nov</v>
      </c>
      <c r="Q8" s="87" t="str">
        <f>'Supplier 1 Inputs'!U279</f>
        <v>Dec</v>
      </c>
      <c r="R8" s="87" t="str">
        <f>'Supplier 1 Inputs'!V279</f>
        <v>Jan</v>
      </c>
      <c r="S8" s="87" t="str">
        <f>'Supplier 1 Inputs'!W279</f>
        <v>Feb</v>
      </c>
      <c r="T8" s="87" t="str">
        <f>'Supplier 1 Inputs'!X279</f>
        <v>Mar</v>
      </c>
      <c r="U8" s="87" t="str">
        <f>'Supplier 1 Inputs'!Y279</f>
        <v>Apr</v>
      </c>
      <c r="V8" s="87" t="str">
        <f>'Supplier 1 Inputs'!Z279</f>
        <v>May</v>
      </c>
      <c r="W8" s="87" t="str">
        <f>'Supplier 1 Inputs'!AA279</f>
        <v>Jun</v>
      </c>
      <c r="X8" s="87" t="str">
        <f>'Supplier 1 Inputs'!AB279</f>
        <v>Jul</v>
      </c>
      <c r="Y8" s="87" t="str">
        <f>'Supplier 1 Inputs'!AC279</f>
        <v>Aug</v>
      </c>
      <c r="Z8" s="87" t="str">
        <f>'Supplier 1 Inputs'!AD279</f>
        <v>Sep</v>
      </c>
      <c r="AA8" s="87" t="str">
        <f>'Supplier 1 Inputs'!AE279</f>
        <v>Oct</v>
      </c>
      <c r="AB8" s="87" t="str">
        <f>'Supplier 1 Inputs'!AF279</f>
        <v>Nov</v>
      </c>
      <c r="AC8" s="79"/>
      <c r="AD8" s="79"/>
      <c r="AE8" s="79"/>
      <c r="AF8" s="80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80"/>
      <c r="AT8" s="80"/>
      <c r="AU8" s="80"/>
      <c r="AV8" s="80"/>
      <c r="AW8" s="80"/>
      <c r="AX8" s="80"/>
      <c r="AY8" s="80"/>
    </row>
    <row r="9" ht="8.25" customHeight="1">
      <c r="A9" s="79"/>
      <c r="B9" s="80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80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80"/>
      <c r="AT9" s="80"/>
      <c r="AU9" s="80"/>
      <c r="AV9" s="80"/>
      <c r="AW9" s="80"/>
      <c r="AX9" s="80"/>
      <c r="AY9" s="80"/>
    </row>
    <row r="10">
      <c r="A10" s="79"/>
      <c r="B10" s="80"/>
      <c r="C10" s="79"/>
      <c r="D10" s="79" t="str">
        <f>'Supplier 1 Inputs'!H12</f>
        <v>Deposit Pmts</v>
      </c>
      <c r="E10" s="79"/>
      <c r="F10" s="88">
        <f>'Supplier 1 Inputs'!J12+'Supplier 2 Inputs'!J12</f>
        <v>129171.6</v>
      </c>
      <c r="G10" s="88">
        <f>'Supplier 1 Inputs'!K12+'Supplier 2 Inputs'!K12</f>
        <v>46759.2</v>
      </c>
      <c r="H10" s="88">
        <f>'Supplier 1 Inputs'!L12+'Supplier 2 Inputs'!L12</f>
        <v>113173.2</v>
      </c>
      <c r="I10" s="88">
        <f>'Supplier 1 Inputs'!M12+'Supplier 2 Inputs'!M12</f>
        <v>67918.8</v>
      </c>
      <c r="J10" s="88">
        <f>'Supplier 1 Inputs'!N12+'Supplier 2 Inputs'!N12</f>
        <v>95007.6</v>
      </c>
      <c r="K10" s="88">
        <f>'Supplier 1 Inputs'!O12+'Supplier 2 Inputs'!O12</f>
        <v>120812.4</v>
      </c>
      <c r="L10" s="88">
        <f>'Supplier 1 Inputs'!P12+'Supplier 2 Inputs'!P12</f>
        <v>35643.6</v>
      </c>
      <c r="M10" s="88">
        <f>'Supplier 1 Inputs'!Q12+'Supplier 2 Inputs'!Q12</f>
        <v>34412.4</v>
      </c>
      <c r="N10" s="88">
        <f>'Supplier 1 Inputs'!R12+'Supplier 2 Inputs'!R12</f>
        <v>94238.4</v>
      </c>
      <c r="O10" s="88">
        <f>'Supplier 1 Inputs'!S12+'Supplier 2 Inputs'!S12</f>
        <v>35499.6</v>
      </c>
      <c r="P10" s="88">
        <f>'Supplier 1 Inputs'!T12+'Supplier 2 Inputs'!T12</f>
        <v>43239.6</v>
      </c>
      <c r="Q10" s="88">
        <f>'Supplier 1 Inputs'!U12+'Supplier 2 Inputs'!U12</f>
        <v>16048.8</v>
      </c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79"/>
      <c r="AD10" s="88">
        <f>sum(F10:AB10)</f>
        <v>831925.2</v>
      </c>
      <c r="AE10" s="79"/>
      <c r="AF10" s="80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80"/>
      <c r="AT10" s="80"/>
      <c r="AU10" s="80"/>
      <c r="AV10" s="80"/>
      <c r="AW10" s="80"/>
      <c r="AX10" s="80"/>
      <c r="AY10" s="80"/>
    </row>
    <row r="11">
      <c r="A11" s="79"/>
      <c r="B11" s="80"/>
      <c r="C11" s="79"/>
      <c r="D11" s="79"/>
      <c r="E11" s="79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79"/>
      <c r="AD11" s="79"/>
      <c r="AE11" s="79"/>
      <c r="AF11" s="80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80"/>
      <c r="AT11" s="80"/>
      <c r="AU11" s="80"/>
      <c r="AV11" s="80"/>
      <c r="AW11" s="80"/>
      <c r="AX11" s="80"/>
      <c r="AY11" s="80"/>
    </row>
    <row r="12">
      <c r="A12" s="79"/>
      <c r="B12" s="80"/>
      <c r="C12" s="79"/>
      <c r="D12" s="79" t="str">
        <f>'Supplier 1 Inputs'!H13</f>
        <v>Balance Pmts</v>
      </c>
      <c r="E12" s="79"/>
      <c r="F12" s="88">
        <f>'Supplier 1 Inputs'!J75+'Supplier 2 Inputs'!J75</f>
        <v>0</v>
      </c>
      <c r="G12" s="88">
        <f>'Supplier 1 Inputs'!K75+'Supplier 2 Inputs'!K75</f>
        <v>0</v>
      </c>
      <c r="H12" s="88">
        <f>'Supplier 1 Inputs'!L75+'Supplier 2 Inputs'!L75</f>
        <v>0</v>
      </c>
      <c r="I12" s="88">
        <f>'Supplier 1 Inputs'!M75+'Supplier 2 Inputs'!M75</f>
        <v>89597.24907</v>
      </c>
      <c r="J12" s="88">
        <f>'Supplier 1 Inputs'!N75+'Supplier 2 Inputs'!N75</f>
        <v>32433.56658</v>
      </c>
      <c r="K12" s="88">
        <f>'Supplier 1 Inputs'!O75+'Supplier 2 Inputs'!O75</f>
        <v>78500.2848</v>
      </c>
      <c r="L12" s="88">
        <f>'Supplier 1 Inputs'!P75+'Supplier 2 Inputs'!P75</f>
        <v>47110.49209</v>
      </c>
      <c r="M12" s="88">
        <f>'Supplier 1 Inputs'!Q75+'Supplier 2 Inputs'!Q75</f>
        <v>65900.0864</v>
      </c>
      <c r="N12" s="88">
        <f>'Supplier 1 Inputs'!R75+'Supplier 2 Inputs'!R75</f>
        <v>83799.06027</v>
      </c>
      <c r="O12" s="88">
        <f>'Supplier 1 Inputs'!S75+'Supplier 2 Inputs'!S75</f>
        <v>24723.45707</v>
      </c>
      <c r="P12" s="88">
        <f>'Supplier 1 Inputs'!T75+'Supplier 2 Inputs'!T75</f>
        <v>23869.46027</v>
      </c>
      <c r="Q12" s="88">
        <f>'Supplier 1 Inputs'!U75+'Supplier 2 Inputs'!U75</f>
        <v>65366.54649</v>
      </c>
      <c r="R12" s="88">
        <f>'Supplier 1 Inputs'!V75+'Supplier 2 Inputs'!V75</f>
        <v>24623.5744</v>
      </c>
      <c r="S12" s="88">
        <f>'Supplier 1 Inputs'!W75+'Supplier 2 Inputs'!W75</f>
        <v>29992.26773</v>
      </c>
      <c r="T12" s="88">
        <f>'Supplier 1 Inputs'!X75+'Supplier 2 Inputs'!X75</f>
        <v>11131.9232</v>
      </c>
      <c r="U12" s="88">
        <f>'Supplier 1 Inputs'!Y75+'Supplier 2 Inputs'!Y75</f>
        <v>0</v>
      </c>
      <c r="V12" s="88">
        <f>'Supplier 1 Inputs'!Z75+'Supplier 2 Inputs'!Z75</f>
        <v>0</v>
      </c>
      <c r="W12" s="88">
        <f>'Supplier 1 Inputs'!AA75+'Supplier 2 Inputs'!AA75</f>
        <v>0</v>
      </c>
      <c r="X12" s="88">
        <f>'Supplier 1 Inputs'!AB75+'Supplier 2 Inputs'!AB75</f>
        <v>0</v>
      </c>
      <c r="Y12" s="88">
        <f>'Supplier 1 Inputs'!AC75+'Supplier 2 Inputs'!AC75</f>
        <v>0</v>
      </c>
      <c r="Z12" s="88">
        <f>'Supplier 1 Inputs'!AD75+'Supplier 2 Inputs'!AD75</f>
        <v>0</v>
      </c>
      <c r="AA12" s="88">
        <f>'Supplier 1 Inputs'!AE75+'Supplier 2 Inputs'!AE75</f>
        <v>0</v>
      </c>
      <c r="AB12" s="88">
        <f>'Supplier 1 Inputs'!AF75+'Supplier 2 Inputs'!AF75</f>
        <v>0</v>
      </c>
      <c r="AC12" s="79"/>
      <c r="AD12" s="88">
        <f>sum(F12:AB12)</f>
        <v>577047.9684</v>
      </c>
      <c r="AE12" s="79"/>
      <c r="AF12" s="80"/>
      <c r="AG12" s="79"/>
      <c r="AH12" s="79"/>
      <c r="AI12" s="79"/>
      <c r="AJ12" s="79"/>
      <c r="AK12" s="79"/>
      <c r="AL12" s="79"/>
      <c r="AM12" s="79"/>
      <c r="AN12" s="79"/>
      <c r="AO12" s="81" t="s">
        <v>97</v>
      </c>
      <c r="AP12" s="88">
        <f>AD10+AD12</f>
        <v>1408973.168</v>
      </c>
      <c r="AQ12" s="79"/>
      <c r="AR12" s="80"/>
      <c r="AS12" s="80"/>
      <c r="AT12" s="80"/>
      <c r="AU12" s="80"/>
      <c r="AV12" s="80"/>
      <c r="AW12" s="80"/>
      <c r="AX12" s="80"/>
      <c r="AY12" s="80"/>
    </row>
    <row r="13">
      <c r="A13" s="79"/>
      <c r="B13" s="80"/>
      <c r="C13" s="79"/>
      <c r="D13" s="79"/>
      <c r="E13" s="79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79"/>
      <c r="AD13" s="79"/>
      <c r="AE13" s="79"/>
      <c r="AF13" s="80"/>
      <c r="AG13" s="79"/>
      <c r="AH13" s="79"/>
      <c r="AI13" s="79"/>
      <c r="AJ13" s="79"/>
      <c r="AK13" s="79"/>
      <c r="AL13" s="79"/>
      <c r="AM13" s="79"/>
      <c r="AN13" s="79"/>
      <c r="AO13" s="81" t="s">
        <v>74</v>
      </c>
      <c r="AP13" s="88">
        <f>AD14</f>
        <v>335250</v>
      </c>
      <c r="AQ13" s="79"/>
      <c r="AR13" s="80"/>
      <c r="AS13" s="80"/>
      <c r="AT13" s="80"/>
      <c r="AU13" s="80"/>
      <c r="AV13" s="80"/>
      <c r="AW13" s="80"/>
      <c r="AX13" s="80"/>
      <c r="AY13" s="80"/>
    </row>
    <row r="14">
      <c r="A14" s="79"/>
      <c r="B14" s="80"/>
      <c r="C14" s="79"/>
      <c r="D14" s="79" t="str">
        <f>'Supplier 1 Inputs'!H47</f>
        <v>Shipping Costs</v>
      </c>
      <c r="E14" s="79"/>
      <c r="F14" s="88">
        <f>'Supplier 1 Inputs'!J98+'Supplier 2 Inputs'!J98</f>
        <v>0</v>
      </c>
      <c r="G14" s="88">
        <f>'Supplier 1 Inputs'!K98+'Supplier 2 Inputs'!K98</f>
        <v>0</v>
      </c>
      <c r="H14" s="88">
        <f>'Supplier 1 Inputs'!L98+'Supplier 2 Inputs'!L98</f>
        <v>0</v>
      </c>
      <c r="I14" s="88">
        <f>'Supplier 1 Inputs'!M98+'Supplier 2 Inputs'!M98</f>
        <v>15000</v>
      </c>
      <c r="J14" s="88">
        <f>'Supplier 1 Inputs'!N98+'Supplier 2 Inputs'!N98</f>
        <v>24000</v>
      </c>
      <c r="K14" s="88">
        <f>'Supplier 1 Inputs'!O98+'Supplier 2 Inputs'!O98</f>
        <v>86000</v>
      </c>
      <c r="L14" s="88">
        <f>'Supplier 1 Inputs'!P98+'Supplier 2 Inputs'!P98</f>
        <v>23000</v>
      </c>
      <c r="M14" s="88">
        <f>'Supplier 1 Inputs'!Q98+'Supplier 2 Inputs'!Q98</f>
        <v>10500</v>
      </c>
      <c r="N14" s="88">
        <f>'Supplier 1 Inputs'!R98+'Supplier 2 Inputs'!R98</f>
        <v>40000</v>
      </c>
      <c r="O14" s="88">
        <f>'Supplier 1 Inputs'!S98+'Supplier 2 Inputs'!S98</f>
        <v>43000</v>
      </c>
      <c r="P14" s="88">
        <f>'Supplier 1 Inputs'!T98+'Supplier 2 Inputs'!T98</f>
        <v>8750</v>
      </c>
      <c r="Q14" s="88">
        <f>'Supplier 1 Inputs'!U98+'Supplier 2 Inputs'!U98</f>
        <v>15000</v>
      </c>
      <c r="R14" s="88">
        <f>'Supplier 1 Inputs'!V98+'Supplier 2 Inputs'!V98</f>
        <v>23000</v>
      </c>
      <c r="S14" s="88">
        <f>'Supplier 1 Inputs'!W98+'Supplier 2 Inputs'!W98</f>
        <v>24000</v>
      </c>
      <c r="T14" s="88">
        <f>'Supplier 1 Inputs'!X98+'Supplier 2 Inputs'!X98</f>
        <v>23000</v>
      </c>
      <c r="U14" s="88">
        <f>'Supplier 1 Inputs'!Y98+'Supplier 2 Inputs'!Y98</f>
        <v>0</v>
      </c>
      <c r="V14" s="88">
        <f>'Supplier 1 Inputs'!Z98+'Supplier 2 Inputs'!Z98</f>
        <v>0</v>
      </c>
      <c r="W14" s="88">
        <f>'Supplier 1 Inputs'!AA98+'Supplier 2 Inputs'!AA98</f>
        <v>0</v>
      </c>
      <c r="X14" s="88">
        <f>'Supplier 1 Inputs'!AB98+'Supplier 2 Inputs'!AB98</f>
        <v>0</v>
      </c>
      <c r="Y14" s="88">
        <f>'Supplier 1 Inputs'!AC98+'Supplier 2 Inputs'!AC98</f>
        <v>0</v>
      </c>
      <c r="Z14" s="88">
        <f>'Supplier 1 Inputs'!AD98+'Supplier 2 Inputs'!AD98</f>
        <v>0</v>
      </c>
      <c r="AA14" s="88">
        <f>'Supplier 1 Inputs'!AE98+'Supplier 2 Inputs'!AE98</f>
        <v>0</v>
      </c>
      <c r="AB14" s="88">
        <f>'Supplier 1 Inputs'!AF98+'Supplier 2 Inputs'!AF98</f>
        <v>0</v>
      </c>
      <c r="AC14" s="79"/>
      <c r="AD14" s="88">
        <f>sum(F14:AB14)</f>
        <v>335250</v>
      </c>
      <c r="AE14" s="79"/>
      <c r="AF14" s="80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80"/>
      <c r="AT14" s="80"/>
      <c r="AU14" s="80"/>
      <c r="AV14" s="80"/>
      <c r="AW14" s="80"/>
      <c r="AX14" s="80"/>
      <c r="AY14" s="80"/>
    </row>
    <row r="15">
      <c r="A15" s="79"/>
      <c r="B15" s="80"/>
      <c r="C15" s="79"/>
      <c r="D15" s="79"/>
      <c r="E15" s="79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79"/>
      <c r="AD15" s="79"/>
      <c r="AE15" s="79"/>
      <c r="AF15" s="80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80"/>
      <c r="AT15" s="80"/>
      <c r="AU15" s="80"/>
      <c r="AV15" s="80"/>
      <c r="AW15" s="80"/>
      <c r="AX15" s="80"/>
      <c r="AY15" s="80"/>
    </row>
    <row r="16">
      <c r="A16" s="79"/>
      <c r="B16" s="80"/>
      <c r="C16" s="79"/>
      <c r="D16" s="81" t="s">
        <v>98</v>
      </c>
      <c r="E16" s="79"/>
      <c r="F16" s="88">
        <f t="shared" ref="F16:AB16" si="1">sum(F10:F14)</f>
        <v>129171.6</v>
      </c>
      <c r="G16" s="88">
        <f t="shared" si="1"/>
        <v>46759.2</v>
      </c>
      <c r="H16" s="88">
        <f t="shared" si="1"/>
        <v>113173.2</v>
      </c>
      <c r="I16" s="88">
        <f t="shared" si="1"/>
        <v>172516.0491</v>
      </c>
      <c r="J16" s="88">
        <f t="shared" si="1"/>
        <v>151441.1666</v>
      </c>
      <c r="K16" s="88">
        <f t="shared" si="1"/>
        <v>285312.6848</v>
      </c>
      <c r="L16" s="88">
        <f t="shared" si="1"/>
        <v>105754.0921</v>
      </c>
      <c r="M16" s="88">
        <f t="shared" si="1"/>
        <v>110812.4864</v>
      </c>
      <c r="N16" s="88">
        <f t="shared" si="1"/>
        <v>218037.4603</v>
      </c>
      <c r="O16" s="88">
        <f t="shared" si="1"/>
        <v>103223.0571</v>
      </c>
      <c r="P16" s="88">
        <f t="shared" si="1"/>
        <v>75859.06027</v>
      </c>
      <c r="Q16" s="88">
        <f t="shared" si="1"/>
        <v>96415.34649</v>
      </c>
      <c r="R16" s="88">
        <f t="shared" si="1"/>
        <v>47623.5744</v>
      </c>
      <c r="S16" s="88">
        <f t="shared" si="1"/>
        <v>53992.26773</v>
      </c>
      <c r="T16" s="88">
        <f t="shared" si="1"/>
        <v>34131.9232</v>
      </c>
      <c r="U16" s="88">
        <f t="shared" si="1"/>
        <v>0</v>
      </c>
      <c r="V16" s="88">
        <f t="shared" si="1"/>
        <v>0</v>
      </c>
      <c r="W16" s="88">
        <f t="shared" si="1"/>
        <v>0</v>
      </c>
      <c r="X16" s="88">
        <f t="shared" si="1"/>
        <v>0</v>
      </c>
      <c r="Y16" s="88">
        <f t="shared" si="1"/>
        <v>0</v>
      </c>
      <c r="Z16" s="88">
        <f t="shared" si="1"/>
        <v>0</v>
      </c>
      <c r="AA16" s="88">
        <f t="shared" si="1"/>
        <v>0</v>
      </c>
      <c r="AB16" s="88">
        <f t="shared" si="1"/>
        <v>0</v>
      </c>
      <c r="AC16" s="79"/>
      <c r="AD16" s="88">
        <f>sum(F16:AB16)</f>
        <v>1744223.168</v>
      </c>
      <c r="AE16" s="79"/>
      <c r="AF16" s="80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80"/>
      <c r="AT16" s="80"/>
      <c r="AU16" s="80"/>
      <c r="AV16" s="80"/>
      <c r="AW16" s="80"/>
      <c r="AX16" s="80"/>
      <c r="AY16" s="80"/>
    </row>
    <row r="17">
      <c r="A17" s="79"/>
      <c r="B17" s="80"/>
      <c r="C17" s="79"/>
      <c r="D17" s="79"/>
      <c r="E17" s="79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79"/>
      <c r="AD17" s="79"/>
      <c r="AE17" s="79"/>
      <c r="AF17" s="80"/>
      <c r="AG17" s="79"/>
      <c r="AH17" s="79"/>
      <c r="AI17" s="79"/>
      <c r="AJ17" s="79"/>
      <c r="AK17" s="79"/>
      <c r="AL17" s="79"/>
      <c r="AM17" s="79"/>
      <c r="AN17" s="79"/>
      <c r="AO17" s="81" t="s">
        <v>99</v>
      </c>
      <c r="AP17" s="88">
        <f>AD18</f>
        <v>3595739.166</v>
      </c>
      <c r="AQ17" s="79"/>
      <c r="AR17" s="80"/>
      <c r="AS17" s="80"/>
      <c r="AT17" s="80"/>
      <c r="AU17" s="80"/>
      <c r="AV17" s="80"/>
      <c r="AW17" s="80"/>
      <c r="AX17" s="80"/>
      <c r="AY17" s="80"/>
    </row>
    <row r="18">
      <c r="A18" s="79"/>
      <c r="B18" s="80"/>
      <c r="C18" s="79"/>
      <c r="D18" s="81" t="s">
        <v>100</v>
      </c>
      <c r="E18" s="79"/>
      <c r="F18" s="88">
        <f>'Supplier 1 Inputs'!J281+'Supplier 2 Inputs'!J281</f>
        <v>0</v>
      </c>
      <c r="G18" s="88">
        <f>'Supplier 1 Inputs'!K281+'Supplier 2 Inputs'!K281</f>
        <v>0</v>
      </c>
      <c r="H18" s="88">
        <f>'Supplier 1 Inputs'!L281+'Supplier 2 Inputs'!L281</f>
        <v>0</v>
      </c>
      <c r="I18" s="88">
        <f>'Supplier 1 Inputs'!M281+'Supplier 2 Inputs'!M281</f>
        <v>0</v>
      </c>
      <c r="J18" s="88">
        <f>'Supplier 1 Inputs'!N281+'Supplier 2 Inputs'!N281</f>
        <v>86041.5</v>
      </c>
      <c r="K18" s="88">
        <f>'Supplier 1 Inputs'!O281+'Supplier 2 Inputs'!O281</f>
        <v>184069.53</v>
      </c>
      <c r="L18" s="88">
        <f>'Supplier 1 Inputs'!P281+'Supplier 2 Inputs'!P281</f>
        <v>284287.092</v>
      </c>
      <c r="M18" s="88">
        <f>'Supplier 1 Inputs'!Q281+'Supplier 2 Inputs'!Q281</f>
        <v>383249.952</v>
      </c>
      <c r="N18" s="88">
        <f>'Supplier 1 Inputs'!R281+'Supplier 2 Inputs'!R281</f>
        <v>303638.994</v>
      </c>
      <c r="O18" s="88">
        <f>'Supplier 1 Inputs'!S281+'Supplier 2 Inputs'!S281</f>
        <v>395085.48</v>
      </c>
      <c r="P18" s="88">
        <f>'Supplier 1 Inputs'!T281+'Supplier 2 Inputs'!T281</f>
        <v>387923.904</v>
      </c>
      <c r="Q18" s="88">
        <f>'Supplier 1 Inputs'!U281+'Supplier 2 Inputs'!U281</f>
        <v>329358.978</v>
      </c>
      <c r="R18" s="88">
        <f>'Supplier 1 Inputs'!V281+'Supplier 2 Inputs'!V281</f>
        <v>334130.262</v>
      </c>
      <c r="S18" s="88">
        <f>'Supplier 1 Inputs'!W281+'Supplier 2 Inputs'!W281</f>
        <v>244258.17</v>
      </c>
      <c r="T18" s="88">
        <f>'Supplier 1 Inputs'!X281+'Supplier 2 Inputs'!X281</f>
        <v>216564.21</v>
      </c>
      <c r="U18" s="88">
        <f>'Supplier 1 Inputs'!Y281+'Supplier 2 Inputs'!Y281</f>
        <v>193251.636</v>
      </c>
      <c r="V18" s="88">
        <f>'Supplier 1 Inputs'!Z281+'Supplier 2 Inputs'!Z281</f>
        <v>120442.422</v>
      </c>
      <c r="W18" s="88">
        <f>'Supplier 1 Inputs'!AA281+'Supplier 2 Inputs'!AA281</f>
        <v>81659.088</v>
      </c>
      <c r="X18" s="88">
        <f>'Supplier 1 Inputs'!AB281+'Supplier 2 Inputs'!AB281</f>
        <v>51777.948</v>
      </c>
      <c r="Y18" s="88">
        <f>'Supplier 1 Inputs'!AC281+'Supplier 2 Inputs'!AC281</f>
        <v>0</v>
      </c>
      <c r="Z18" s="88">
        <f>'Supplier 1 Inputs'!AD281+'Supplier 2 Inputs'!AD281</f>
        <v>0</v>
      </c>
      <c r="AA18" s="88">
        <f>'Supplier 1 Inputs'!AE281+'Supplier 2 Inputs'!AE281</f>
        <v>0</v>
      </c>
      <c r="AB18" s="88">
        <f>'Supplier 1 Inputs'!AF281+'Supplier 2 Inputs'!AF281</f>
        <v>0</v>
      </c>
      <c r="AC18" s="79"/>
      <c r="AD18" s="88">
        <f>sum(F18:AB18)</f>
        <v>3595739.166</v>
      </c>
      <c r="AE18" s="79"/>
      <c r="AF18" s="80"/>
      <c r="AG18" s="79"/>
      <c r="AH18" s="79"/>
      <c r="AI18" s="79"/>
      <c r="AJ18" s="79"/>
      <c r="AK18" s="79"/>
      <c r="AL18" s="79"/>
      <c r="AM18" s="79"/>
      <c r="AN18" s="79"/>
      <c r="AO18" s="81" t="s">
        <v>101</v>
      </c>
      <c r="AP18" s="88">
        <f>AP12+AP13</f>
        <v>1744223.168</v>
      </c>
      <c r="AQ18" s="89">
        <f>AP18/AP17</f>
        <v>0.48508056</v>
      </c>
      <c r="AR18" s="80"/>
      <c r="AS18" s="80"/>
      <c r="AT18" s="80"/>
      <c r="AU18" s="80"/>
      <c r="AV18" s="80"/>
      <c r="AW18" s="80"/>
      <c r="AX18" s="80"/>
      <c r="AY18" s="80"/>
    </row>
    <row r="19">
      <c r="A19" s="79"/>
      <c r="B19" s="80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80"/>
      <c r="AG19" s="79"/>
      <c r="AH19" s="79"/>
      <c r="AI19" s="79"/>
      <c r="AJ19" s="79"/>
      <c r="AK19" s="79"/>
      <c r="AL19" s="79"/>
      <c r="AM19" s="79"/>
      <c r="AN19" s="79"/>
      <c r="AO19" s="79"/>
      <c r="AP19" s="88">
        <f>AP17-AP18</f>
        <v>1851515.998</v>
      </c>
      <c r="AQ19" s="79"/>
      <c r="AR19" s="80"/>
      <c r="AS19" s="80"/>
      <c r="AT19" s="80"/>
      <c r="AU19" s="80"/>
      <c r="AV19" s="80"/>
      <c r="AW19" s="80"/>
      <c r="AX19" s="80"/>
      <c r="AY19" s="80"/>
    </row>
    <row r="20">
      <c r="A20" s="79"/>
      <c r="B20" s="80"/>
      <c r="C20" s="79"/>
      <c r="D20" s="90" t="s">
        <v>102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80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80"/>
      <c r="AT20" s="80"/>
      <c r="AU20" s="80"/>
      <c r="AV20" s="80"/>
      <c r="AW20" s="80"/>
      <c r="AX20" s="80"/>
      <c r="AY20" s="80"/>
    </row>
    <row r="21">
      <c r="A21" s="79"/>
      <c r="B21" s="80"/>
      <c r="C21" s="79"/>
      <c r="E21" s="79"/>
      <c r="F21" s="88">
        <f t="shared" ref="F21:AB21" si="2">F18-(F16+F6)</f>
        <v>-149171.6</v>
      </c>
      <c r="G21" s="88">
        <f t="shared" si="2"/>
        <v>-66759.2</v>
      </c>
      <c r="H21" s="88">
        <f t="shared" si="2"/>
        <v>-133173.2</v>
      </c>
      <c r="I21" s="88">
        <f t="shared" si="2"/>
        <v>-192516.0491</v>
      </c>
      <c r="J21" s="88">
        <f t="shared" si="2"/>
        <v>-85399.66658</v>
      </c>
      <c r="K21" s="88">
        <f t="shared" si="2"/>
        <v>-121243.1548</v>
      </c>
      <c r="L21" s="88">
        <f t="shared" si="2"/>
        <v>158532.9999</v>
      </c>
      <c r="M21" s="88">
        <f t="shared" si="2"/>
        <v>252437.4656</v>
      </c>
      <c r="N21" s="88">
        <f t="shared" si="2"/>
        <v>65601.53373</v>
      </c>
      <c r="O21" s="88">
        <f t="shared" si="2"/>
        <v>271862.4229</v>
      </c>
      <c r="P21" s="88">
        <f t="shared" si="2"/>
        <v>292064.8437</v>
      </c>
      <c r="Q21" s="88">
        <f t="shared" si="2"/>
        <v>212943.6315</v>
      </c>
      <c r="R21" s="88">
        <f t="shared" si="2"/>
        <v>286506.6876</v>
      </c>
      <c r="S21" s="88">
        <f t="shared" si="2"/>
        <v>190265.9023</v>
      </c>
      <c r="T21" s="88">
        <f t="shared" si="2"/>
        <v>182432.2868</v>
      </c>
      <c r="U21" s="88">
        <f t="shared" si="2"/>
        <v>193251.636</v>
      </c>
      <c r="V21" s="88">
        <f t="shared" si="2"/>
        <v>120442.422</v>
      </c>
      <c r="W21" s="88">
        <f t="shared" si="2"/>
        <v>81659.088</v>
      </c>
      <c r="X21" s="88">
        <f t="shared" si="2"/>
        <v>51777.948</v>
      </c>
      <c r="Y21" s="88">
        <f t="shared" si="2"/>
        <v>0</v>
      </c>
      <c r="Z21" s="88">
        <f t="shared" si="2"/>
        <v>0</v>
      </c>
      <c r="AA21" s="88">
        <f t="shared" si="2"/>
        <v>0</v>
      </c>
      <c r="AB21" s="88">
        <f t="shared" si="2"/>
        <v>0</v>
      </c>
      <c r="AC21" s="79"/>
      <c r="AD21" s="79"/>
      <c r="AE21" s="79"/>
      <c r="AF21" s="80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80"/>
      <c r="AS21" s="80"/>
      <c r="AT21" s="80"/>
      <c r="AU21" s="80"/>
      <c r="AV21" s="80"/>
      <c r="AW21" s="80"/>
      <c r="AX21" s="80"/>
      <c r="AY21" s="80"/>
    </row>
    <row r="22" ht="12.0" customHeight="1">
      <c r="A22" s="79"/>
      <c r="B22" s="80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80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80"/>
      <c r="AT22" s="80"/>
      <c r="AU22" s="80"/>
      <c r="AV22" s="80"/>
      <c r="AW22" s="80"/>
      <c r="AX22" s="80"/>
      <c r="AY22" s="80"/>
    </row>
    <row r="23">
      <c r="A23" s="79"/>
      <c r="B23" s="80"/>
      <c r="C23" s="79"/>
      <c r="D23" s="81" t="s">
        <v>103</v>
      </c>
      <c r="E23" s="79"/>
      <c r="F23" s="91">
        <v>1.0</v>
      </c>
      <c r="G23" s="88">
        <f t="shared" ref="G23:AB23" si="3">F25</f>
        <v>-149170.6</v>
      </c>
      <c r="H23" s="88">
        <f t="shared" si="3"/>
        <v>-215929.8</v>
      </c>
      <c r="I23" s="88">
        <f t="shared" si="3"/>
        <v>-349103</v>
      </c>
      <c r="J23" s="88">
        <f t="shared" si="3"/>
        <v>-541619.0491</v>
      </c>
      <c r="K23" s="88">
        <f t="shared" si="3"/>
        <v>-627018.7156</v>
      </c>
      <c r="L23" s="88">
        <f t="shared" si="3"/>
        <v>-748261.8704</v>
      </c>
      <c r="M23" s="88">
        <f t="shared" si="3"/>
        <v>-589728.8705</v>
      </c>
      <c r="N23" s="88">
        <f t="shared" si="3"/>
        <v>-337291.4049</v>
      </c>
      <c r="O23" s="88">
        <f t="shared" si="3"/>
        <v>-271689.8712</v>
      </c>
      <c r="P23" s="88">
        <f t="shared" si="3"/>
        <v>172.5517333</v>
      </c>
      <c r="Q23" s="88">
        <f t="shared" si="3"/>
        <v>292237.3955</v>
      </c>
      <c r="R23" s="88">
        <f t="shared" si="3"/>
        <v>505181.027</v>
      </c>
      <c r="S23" s="88">
        <f t="shared" si="3"/>
        <v>791687.7146</v>
      </c>
      <c r="T23" s="88">
        <f t="shared" si="3"/>
        <v>981953.6168</v>
      </c>
      <c r="U23" s="88">
        <f t="shared" si="3"/>
        <v>1164385.904</v>
      </c>
      <c r="V23" s="88">
        <f t="shared" si="3"/>
        <v>1357637.54</v>
      </c>
      <c r="W23" s="88">
        <f t="shared" si="3"/>
        <v>1478079.962</v>
      </c>
      <c r="X23" s="88">
        <f t="shared" si="3"/>
        <v>1559739.05</v>
      </c>
      <c r="Y23" s="88">
        <f t="shared" si="3"/>
        <v>1611516.998</v>
      </c>
      <c r="Z23" s="88">
        <f t="shared" si="3"/>
        <v>1611516.998</v>
      </c>
      <c r="AA23" s="88">
        <f t="shared" si="3"/>
        <v>1611516.998</v>
      </c>
      <c r="AB23" s="88">
        <f t="shared" si="3"/>
        <v>1611516.998</v>
      </c>
      <c r="AC23" s="79"/>
      <c r="AD23" s="79"/>
      <c r="AE23" s="79"/>
      <c r="AF23" s="80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80"/>
      <c r="AT23" s="80"/>
      <c r="AU23" s="80"/>
      <c r="AV23" s="80"/>
      <c r="AW23" s="80"/>
      <c r="AX23" s="80"/>
      <c r="AY23" s="80"/>
    </row>
    <row r="24">
      <c r="A24" s="79"/>
      <c r="B24" s="80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80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80"/>
      <c r="AT24" s="80"/>
      <c r="AU24" s="80"/>
      <c r="AV24" s="80"/>
      <c r="AW24" s="80"/>
      <c r="AX24" s="80"/>
      <c r="AY24" s="80"/>
    </row>
    <row r="25">
      <c r="A25" s="79"/>
      <c r="B25" s="80"/>
      <c r="C25" s="79"/>
      <c r="D25" s="81" t="s">
        <v>104</v>
      </c>
      <c r="E25" s="79"/>
      <c r="F25" s="88">
        <f>F21+F23</f>
        <v>-149170.6</v>
      </c>
      <c r="G25" s="88">
        <f t="shared" ref="G25:AB25" si="4">G23+G21</f>
        <v>-215929.8</v>
      </c>
      <c r="H25" s="88">
        <f t="shared" si="4"/>
        <v>-349103</v>
      </c>
      <c r="I25" s="88">
        <f t="shared" si="4"/>
        <v>-541619.0491</v>
      </c>
      <c r="J25" s="88">
        <f t="shared" si="4"/>
        <v>-627018.7156</v>
      </c>
      <c r="K25" s="88">
        <f t="shared" si="4"/>
        <v>-748261.8704</v>
      </c>
      <c r="L25" s="88">
        <f t="shared" si="4"/>
        <v>-589728.8705</v>
      </c>
      <c r="M25" s="88">
        <f t="shared" si="4"/>
        <v>-337291.4049</v>
      </c>
      <c r="N25" s="88">
        <f t="shared" si="4"/>
        <v>-271689.8712</v>
      </c>
      <c r="O25" s="88">
        <f t="shared" si="4"/>
        <v>172.5517333</v>
      </c>
      <c r="P25" s="88">
        <f t="shared" si="4"/>
        <v>292237.3955</v>
      </c>
      <c r="Q25" s="88">
        <f t="shared" si="4"/>
        <v>505181.027</v>
      </c>
      <c r="R25" s="88">
        <f t="shared" si="4"/>
        <v>791687.7146</v>
      </c>
      <c r="S25" s="88">
        <f t="shared" si="4"/>
        <v>981953.6168</v>
      </c>
      <c r="T25" s="88">
        <f t="shared" si="4"/>
        <v>1164385.904</v>
      </c>
      <c r="U25" s="88">
        <f t="shared" si="4"/>
        <v>1357637.54</v>
      </c>
      <c r="V25" s="88">
        <f t="shared" si="4"/>
        <v>1478079.962</v>
      </c>
      <c r="W25" s="88">
        <f t="shared" si="4"/>
        <v>1559739.05</v>
      </c>
      <c r="X25" s="88">
        <f t="shared" si="4"/>
        <v>1611516.998</v>
      </c>
      <c r="Y25" s="88">
        <f t="shared" si="4"/>
        <v>1611516.998</v>
      </c>
      <c r="Z25" s="88">
        <f t="shared" si="4"/>
        <v>1611516.998</v>
      </c>
      <c r="AA25" s="88">
        <f t="shared" si="4"/>
        <v>1611516.998</v>
      </c>
      <c r="AB25" s="88">
        <f t="shared" si="4"/>
        <v>1611516.998</v>
      </c>
      <c r="AC25" s="79"/>
      <c r="AD25" s="79"/>
      <c r="AE25" s="79"/>
      <c r="AF25" s="80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80"/>
      <c r="AS25" s="80"/>
      <c r="AT25" s="80"/>
      <c r="AU25" s="80"/>
      <c r="AV25" s="80"/>
      <c r="AW25" s="80"/>
      <c r="AX25" s="80"/>
      <c r="AY25" s="80"/>
    </row>
    <row r="26">
      <c r="A26" s="79"/>
      <c r="B26" s="80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80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80"/>
      <c r="AS26" s="80"/>
      <c r="AT26" s="80"/>
      <c r="AU26" s="80"/>
      <c r="AV26" s="80"/>
      <c r="AW26" s="80"/>
      <c r="AX26" s="80"/>
      <c r="AY26" s="80"/>
    </row>
    <row r="27">
      <c r="A27" s="79"/>
      <c r="B27" s="80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80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80"/>
      <c r="AS27" s="80"/>
      <c r="AT27" s="80"/>
      <c r="AU27" s="80"/>
      <c r="AV27" s="80"/>
      <c r="AW27" s="80"/>
      <c r="AX27" s="80"/>
      <c r="AY27" s="80"/>
    </row>
    <row r="28">
      <c r="A28" s="79"/>
      <c r="B28" s="80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92" t="s">
        <v>99</v>
      </c>
      <c r="Q28" s="93">
        <f>AP17</f>
        <v>3595739.166</v>
      </c>
      <c r="R28" s="17"/>
      <c r="S28" s="18"/>
      <c r="T28" s="79"/>
      <c r="U28" s="94">
        <f>sum(F6:Q6)</f>
        <v>240000</v>
      </c>
      <c r="V28" s="95"/>
      <c r="W28" s="96"/>
      <c r="X28" s="97" t="s">
        <v>105</v>
      </c>
      <c r="Z28" s="79"/>
      <c r="AA28" s="79"/>
      <c r="AB28" s="79"/>
      <c r="AC28" s="79"/>
      <c r="AD28" s="79"/>
      <c r="AE28" s="79"/>
      <c r="AF28" s="80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80"/>
      <c r="AS28" s="80"/>
      <c r="AT28" s="80"/>
      <c r="AU28" s="80"/>
      <c r="AV28" s="80"/>
      <c r="AW28" s="80"/>
      <c r="AX28" s="80"/>
      <c r="AY28" s="80"/>
    </row>
    <row r="29">
      <c r="A29" s="79"/>
      <c r="B29" s="80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Q29" s="98"/>
      <c r="S29" s="47"/>
      <c r="T29" s="79"/>
      <c r="U29" s="99"/>
      <c r="W29" s="100"/>
      <c r="Z29" s="79"/>
      <c r="AA29" s="79"/>
      <c r="AB29" s="79"/>
      <c r="AC29" s="79"/>
      <c r="AD29" s="79"/>
      <c r="AE29" s="79"/>
      <c r="AF29" s="80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80"/>
      <c r="AS29" s="80"/>
      <c r="AT29" s="80"/>
      <c r="AU29" s="80"/>
      <c r="AV29" s="80"/>
      <c r="AW29" s="80"/>
      <c r="AX29" s="80"/>
      <c r="AY29" s="80"/>
    </row>
    <row r="30">
      <c r="A30" s="79"/>
      <c r="B30" s="80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Q30" s="101"/>
      <c r="R30" s="102"/>
      <c r="S30" s="54"/>
      <c r="T30" s="79"/>
      <c r="U30" s="103"/>
      <c r="V30" s="104"/>
      <c r="W30" s="105"/>
      <c r="Z30" s="79"/>
      <c r="AA30" s="79"/>
      <c r="AB30" s="79"/>
      <c r="AC30" s="79"/>
      <c r="AD30" s="79"/>
      <c r="AE30" s="79"/>
      <c r="AF30" s="80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80"/>
      <c r="AS30" s="80"/>
      <c r="AT30" s="80"/>
      <c r="AU30" s="80"/>
      <c r="AV30" s="80"/>
      <c r="AW30" s="80"/>
      <c r="AX30" s="80"/>
      <c r="AY30" s="80"/>
    </row>
    <row r="31">
      <c r="A31" s="79"/>
      <c r="B31" s="80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106" t="s">
        <v>106</v>
      </c>
      <c r="Q31" s="107">
        <f>AP18</f>
        <v>1744223.168</v>
      </c>
      <c r="R31" s="108"/>
      <c r="S31" s="10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80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80"/>
      <c r="AS31" s="80"/>
      <c r="AT31" s="80"/>
      <c r="AU31" s="80"/>
      <c r="AV31" s="80"/>
      <c r="AW31" s="80"/>
      <c r="AX31" s="80"/>
      <c r="AY31" s="80"/>
    </row>
    <row r="32">
      <c r="A32" s="79"/>
      <c r="B32" s="80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110" t="s">
        <v>101</v>
      </c>
      <c r="Q32" s="111">
        <f>AP18+U28</f>
        <v>1984223.168</v>
      </c>
      <c r="R32" s="17"/>
      <c r="S32" s="18"/>
      <c r="T32" s="79"/>
      <c r="U32" s="112">
        <f>Q28-Q32</f>
        <v>1611515.998</v>
      </c>
      <c r="V32" s="113"/>
      <c r="W32" s="114"/>
      <c r="X32" s="115" t="s">
        <v>107</v>
      </c>
      <c r="Z32" s="79"/>
      <c r="AA32" s="79"/>
      <c r="AB32" s="79"/>
      <c r="AC32" s="79"/>
      <c r="AD32" s="79"/>
      <c r="AE32" s="79"/>
      <c r="AF32" s="80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80"/>
      <c r="AS32" s="80"/>
      <c r="AT32" s="80"/>
      <c r="AU32" s="80"/>
      <c r="AV32" s="80"/>
      <c r="AW32" s="80"/>
      <c r="AX32" s="80"/>
      <c r="AY32" s="80"/>
    </row>
    <row r="33">
      <c r="A33" s="79"/>
      <c r="B33" s="80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Q33" s="98"/>
      <c r="S33" s="47"/>
      <c r="T33" s="79"/>
      <c r="U33" s="116"/>
      <c r="W33" s="117"/>
      <c r="Z33" s="79"/>
      <c r="AA33" s="79"/>
      <c r="AB33" s="79"/>
      <c r="AC33" s="79"/>
      <c r="AD33" s="79"/>
      <c r="AE33" s="79"/>
      <c r="AF33" s="80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80"/>
      <c r="AS33" s="80"/>
      <c r="AT33" s="80"/>
      <c r="AU33" s="80"/>
      <c r="AV33" s="80"/>
      <c r="AW33" s="80"/>
      <c r="AX33" s="80"/>
      <c r="AY33" s="80"/>
    </row>
    <row r="34">
      <c r="A34" s="79"/>
      <c r="B34" s="80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Q34" s="101"/>
      <c r="R34" s="102"/>
      <c r="S34" s="54"/>
      <c r="T34" s="79"/>
      <c r="U34" s="118"/>
      <c r="V34" s="119"/>
      <c r="W34" s="120"/>
      <c r="Z34" s="79"/>
      <c r="AA34" s="79"/>
      <c r="AB34" s="79"/>
      <c r="AC34" s="79"/>
      <c r="AD34" s="79"/>
      <c r="AE34" s="79"/>
      <c r="AF34" s="80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80"/>
      <c r="AS34" s="80"/>
      <c r="AT34" s="80"/>
      <c r="AU34" s="80"/>
      <c r="AV34" s="80"/>
      <c r="AW34" s="80"/>
      <c r="AX34" s="80"/>
      <c r="AY34" s="80"/>
    </row>
    <row r="35">
      <c r="A35" s="79"/>
      <c r="B35" s="80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80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80"/>
      <c r="AS35" s="80"/>
      <c r="AT35" s="80"/>
      <c r="AU35" s="80"/>
      <c r="AV35" s="80"/>
      <c r="AW35" s="80"/>
      <c r="AX35" s="80"/>
      <c r="AY35" s="80"/>
    </row>
    <row r="36">
      <c r="A36" s="79"/>
      <c r="B36" s="80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106"/>
      <c r="X36" s="79"/>
      <c r="Y36" s="79"/>
      <c r="Z36" s="79"/>
      <c r="AA36" s="79"/>
      <c r="AB36" s="79"/>
      <c r="AC36" s="79"/>
      <c r="AD36" s="79"/>
      <c r="AE36" s="79"/>
      <c r="AF36" s="80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80"/>
      <c r="AS36" s="80"/>
      <c r="AT36" s="80"/>
      <c r="AU36" s="80"/>
      <c r="AV36" s="80"/>
      <c r="AW36" s="80"/>
      <c r="AX36" s="80"/>
      <c r="AY36" s="80"/>
    </row>
    <row r="37">
      <c r="A37" s="79"/>
      <c r="B37" s="80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121" t="s">
        <v>108</v>
      </c>
      <c r="Q37" s="122">
        <f>AQ18</f>
        <v>0.48508056</v>
      </c>
      <c r="R37" s="17"/>
      <c r="S37" s="18"/>
      <c r="T37" s="79"/>
      <c r="U37" s="122">
        <f>U28/Q28</f>
        <v>0.0667456645</v>
      </c>
      <c r="V37" s="17"/>
      <c r="W37" s="18"/>
      <c r="X37" s="123" t="s">
        <v>109</v>
      </c>
      <c r="Z37" s="79"/>
      <c r="AA37" s="79"/>
      <c r="AB37" s="79"/>
      <c r="AC37" s="79"/>
      <c r="AD37" s="79"/>
      <c r="AE37" s="79"/>
      <c r="AF37" s="80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80"/>
      <c r="AS37" s="80"/>
      <c r="AT37" s="80"/>
      <c r="AU37" s="80"/>
      <c r="AV37" s="80"/>
      <c r="AW37" s="80"/>
      <c r="AX37" s="80"/>
      <c r="AY37" s="80"/>
    </row>
    <row r="38">
      <c r="A38" s="79"/>
      <c r="B38" s="80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Q38" s="98"/>
      <c r="S38" s="47"/>
      <c r="T38" s="79"/>
      <c r="U38" s="98"/>
      <c r="W38" s="47"/>
      <c r="Z38" s="79"/>
      <c r="AA38" s="79"/>
      <c r="AB38" s="79"/>
      <c r="AC38" s="79"/>
      <c r="AD38" s="79"/>
      <c r="AE38" s="79"/>
      <c r="AF38" s="80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80"/>
      <c r="AS38" s="80"/>
      <c r="AT38" s="80"/>
      <c r="AU38" s="80"/>
      <c r="AV38" s="80"/>
      <c r="AW38" s="80"/>
      <c r="AX38" s="80"/>
      <c r="AY38" s="80"/>
    </row>
    <row r="39">
      <c r="A39" s="79"/>
      <c r="B39" s="80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Q39" s="101"/>
      <c r="R39" s="102"/>
      <c r="S39" s="54"/>
      <c r="T39" s="79"/>
      <c r="U39" s="101"/>
      <c r="V39" s="102"/>
      <c r="W39" s="54"/>
      <c r="Z39" s="79"/>
      <c r="AA39" s="79"/>
      <c r="AB39" s="79"/>
      <c r="AC39" s="79"/>
      <c r="AD39" s="79"/>
      <c r="AE39" s="79"/>
      <c r="AF39" s="80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80"/>
      <c r="AS39" s="80"/>
      <c r="AT39" s="80"/>
      <c r="AU39" s="80"/>
      <c r="AV39" s="80"/>
      <c r="AW39" s="80"/>
      <c r="AX39" s="80"/>
      <c r="AY39" s="80"/>
    </row>
    <row r="40">
      <c r="A40" s="79"/>
      <c r="B40" s="80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80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80"/>
      <c r="AS40" s="80"/>
      <c r="AT40" s="80"/>
      <c r="AU40" s="80"/>
      <c r="AV40" s="80"/>
      <c r="AW40" s="80"/>
      <c r="AX40" s="80"/>
      <c r="AY40" s="80"/>
    </row>
    <row r="41" ht="25.5" customHeight="1">
      <c r="A41" s="79"/>
      <c r="B41" s="80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80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80"/>
      <c r="AS41" s="80"/>
      <c r="AT41" s="80"/>
      <c r="AU41" s="80"/>
      <c r="AV41" s="80"/>
      <c r="AW41" s="80"/>
      <c r="AX41" s="80"/>
      <c r="AY41" s="80"/>
    </row>
    <row r="42" ht="9.75" customHeight="1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80"/>
      <c r="AS42" s="80"/>
      <c r="AT42" s="80"/>
      <c r="AU42" s="80"/>
      <c r="AV42" s="80"/>
      <c r="AW42" s="80"/>
      <c r="AX42" s="80"/>
      <c r="AY42" s="80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80"/>
      <c r="AS43" s="80"/>
      <c r="AT43" s="80"/>
      <c r="AU43" s="80"/>
      <c r="AV43" s="80"/>
      <c r="AW43" s="80"/>
      <c r="AX43" s="80"/>
      <c r="AY43" s="80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80"/>
      <c r="AS44" s="80"/>
      <c r="AT44" s="80"/>
      <c r="AU44" s="80"/>
      <c r="AV44" s="80"/>
      <c r="AW44" s="80"/>
      <c r="AX44" s="80"/>
      <c r="AY44" s="80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80"/>
      <c r="AS45" s="80"/>
      <c r="AT45" s="80"/>
      <c r="AU45" s="80"/>
      <c r="AV45" s="80"/>
      <c r="AW45" s="80"/>
      <c r="AX45" s="80"/>
      <c r="AY45" s="80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80"/>
      <c r="AS46" s="80"/>
      <c r="AT46" s="80"/>
      <c r="AU46" s="80"/>
      <c r="AV46" s="80"/>
      <c r="AW46" s="80"/>
      <c r="AX46" s="80"/>
      <c r="AY46" s="80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80"/>
      <c r="AS47" s="80"/>
      <c r="AT47" s="80"/>
      <c r="AU47" s="80"/>
      <c r="AV47" s="80"/>
      <c r="AW47" s="80"/>
      <c r="AX47" s="80"/>
      <c r="AY47" s="80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80"/>
      <c r="AS48" s="80"/>
      <c r="AT48" s="80"/>
      <c r="AU48" s="80"/>
      <c r="AV48" s="80"/>
      <c r="AW48" s="80"/>
      <c r="AX48" s="80"/>
      <c r="AY48" s="80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80"/>
      <c r="AS49" s="80"/>
      <c r="AT49" s="80"/>
      <c r="AU49" s="80"/>
      <c r="AV49" s="80"/>
      <c r="AW49" s="80"/>
      <c r="AX49" s="80"/>
      <c r="AY49" s="80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80"/>
      <c r="AS50" s="80"/>
      <c r="AT50" s="80"/>
      <c r="AU50" s="80"/>
      <c r="AV50" s="80"/>
      <c r="AW50" s="80"/>
      <c r="AX50" s="80"/>
      <c r="AY50" s="80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80"/>
      <c r="AS51" s="80"/>
      <c r="AT51" s="80"/>
      <c r="AU51" s="80"/>
      <c r="AV51" s="80"/>
      <c r="AW51" s="80"/>
      <c r="AX51" s="80"/>
      <c r="AY51" s="80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80"/>
      <c r="AS52" s="80"/>
      <c r="AT52" s="80"/>
      <c r="AU52" s="80"/>
      <c r="AV52" s="80"/>
      <c r="AW52" s="80"/>
      <c r="AX52" s="80"/>
      <c r="AY52" s="80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80"/>
      <c r="AS53" s="80"/>
      <c r="AT53" s="80"/>
      <c r="AU53" s="80"/>
      <c r="AV53" s="80"/>
      <c r="AW53" s="80"/>
      <c r="AX53" s="80"/>
      <c r="AY53" s="80"/>
    </row>
    <row r="54">
      <c r="A54" s="79"/>
      <c r="B54" s="79"/>
      <c r="C54" s="79"/>
      <c r="D54" s="81" t="s">
        <v>91</v>
      </c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80"/>
      <c r="AS54" s="80"/>
      <c r="AT54" s="80"/>
      <c r="AU54" s="80"/>
      <c r="AV54" s="80"/>
      <c r="AW54" s="80"/>
      <c r="AX54" s="80"/>
      <c r="AY54" s="80"/>
    </row>
    <row r="55">
      <c r="A55" s="79"/>
      <c r="B55" s="79"/>
      <c r="C55" s="79"/>
      <c r="D55" s="81" t="s">
        <v>92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80"/>
      <c r="AS55" s="80"/>
      <c r="AT55" s="80"/>
      <c r="AU55" s="80"/>
      <c r="AV55" s="80"/>
      <c r="AW55" s="80"/>
      <c r="AX55" s="80"/>
      <c r="AY55" s="80"/>
    </row>
    <row r="56">
      <c r="A56" s="79"/>
      <c r="B56" s="79"/>
      <c r="C56" s="79"/>
      <c r="D56" s="81" t="s">
        <v>93</v>
      </c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80"/>
      <c r="AS56" s="80"/>
      <c r="AT56" s="80"/>
      <c r="AU56" s="80"/>
      <c r="AV56" s="80"/>
      <c r="AW56" s="80"/>
      <c r="AX56" s="80"/>
      <c r="AY56" s="80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80"/>
      <c r="AS57" s="80"/>
      <c r="AT57" s="80"/>
      <c r="AU57" s="80"/>
      <c r="AV57" s="80"/>
      <c r="AW57" s="80"/>
      <c r="AX57" s="80"/>
      <c r="AY57" s="80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80"/>
      <c r="AS58" s="80"/>
      <c r="AT58" s="80"/>
      <c r="AU58" s="80"/>
      <c r="AV58" s="80"/>
      <c r="AW58" s="80"/>
      <c r="AX58" s="80"/>
      <c r="AY58" s="80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80"/>
      <c r="AS59" s="80"/>
      <c r="AT59" s="80"/>
      <c r="AU59" s="80"/>
      <c r="AV59" s="80"/>
      <c r="AW59" s="80"/>
      <c r="AX59" s="80"/>
      <c r="AY59" s="80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80"/>
      <c r="AS60" s="80"/>
      <c r="AT60" s="80"/>
      <c r="AU60" s="80"/>
      <c r="AV60" s="80"/>
      <c r="AW60" s="80"/>
      <c r="AX60" s="80"/>
      <c r="AY60" s="80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80"/>
      <c r="AS61" s="80"/>
      <c r="AT61" s="80"/>
      <c r="AU61" s="80"/>
      <c r="AV61" s="80"/>
      <c r="AW61" s="80"/>
      <c r="AX61" s="80"/>
      <c r="AY61" s="80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80"/>
      <c r="AS62" s="80"/>
      <c r="AT62" s="80"/>
      <c r="AU62" s="80"/>
      <c r="AV62" s="80"/>
      <c r="AW62" s="80"/>
      <c r="AX62" s="80"/>
      <c r="AY62" s="80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80"/>
      <c r="AS63" s="80"/>
      <c r="AT63" s="80"/>
      <c r="AU63" s="80"/>
      <c r="AV63" s="80"/>
      <c r="AW63" s="80"/>
      <c r="AX63" s="80"/>
      <c r="AY63" s="80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80"/>
      <c r="AS64" s="80"/>
      <c r="AT64" s="80"/>
      <c r="AU64" s="80"/>
      <c r="AV64" s="80"/>
      <c r="AW64" s="80"/>
      <c r="AX64" s="80"/>
      <c r="AY64" s="80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80"/>
      <c r="AS65" s="80"/>
      <c r="AT65" s="80"/>
      <c r="AU65" s="80"/>
      <c r="AV65" s="80"/>
      <c r="AW65" s="80"/>
      <c r="AX65" s="80"/>
      <c r="AY65" s="80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80"/>
      <c r="AS66" s="80"/>
      <c r="AT66" s="80"/>
      <c r="AU66" s="80"/>
      <c r="AV66" s="80"/>
      <c r="AW66" s="80"/>
      <c r="AX66" s="80"/>
      <c r="AY66" s="80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80"/>
      <c r="AS67" s="80"/>
      <c r="AT67" s="80"/>
      <c r="AU67" s="80"/>
      <c r="AV67" s="80"/>
      <c r="AW67" s="80"/>
      <c r="AX67" s="80"/>
      <c r="AY67" s="80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80"/>
      <c r="AS68" s="80"/>
      <c r="AT68" s="80"/>
      <c r="AU68" s="80"/>
      <c r="AV68" s="80"/>
      <c r="AW68" s="80"/>
      <c r="AX68" s="80"/>
      <c r="AY68" s="80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80"/>
      <c r="AS69" s="80"/>
      <c r="AT69" s="80"/>
      <c r="AU69" s="80"/>
      <c r="AV69" s="80"/>
      <c r="AW69" s="80"/>
      <c r="AX69" s="80"/>
      <c r="AY69" s="80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80"/>
      <c r="AS70" s="80"/>
      <c r="AT70" s="80"/>
      <c r="AU70" s="80"/>
      <c r="AV70" s="80"/>
      <c r="AW70" s="80"/>
      <c r="AX70" s="80"/>
      <c r="AY70" s="80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80"/>
      <c r="AS71" s="80"/>
      <c r="AT71" s="80"/>
      <c r="AU71" s="80"/>
      <c r="AV71" s="80"/>
      <c r="AW71" s="80"/>
      <c r="AX71" s="80"/>
      <c r="AY71" s="80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80"/>
      <c r="AS72" s="80"/>
      <c r="AT72" s="80"/>
      <c r="AU72" s="80"/>
      <c r="AV72" s="80"/>
      <c r="AW72" s="80"/>
      <c r="AX72" s="80"/>
      <c r="AY72" s="80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80"/>
      <c r="AS73" s="80"/>
      <c r="AT73" s="80"/>
      <c r="AU73" s="80"/>
      <c r="AV73" s="80"/>
      <c r="AW73" s="80"/>
      <c r="AX73" s="80"/>
      <c r="AY73" s="80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80"/>
      <c r="AS74" s="80"/>
      <c r="AT74" s="80"/>
      <c r="AU74" s="80"/>
      <c r="AV74" s="80"/>
      <c r="AW74" s="80"/>
      <c r="AX74" s="80"/>
      <c r="AY74" s="80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80"/>
      <c r="AS75" s="80"/>
      <c r="AT75" s="80"/>
      <c r="AU75" s="80"/>
      <c r="AV75" s="80"/>
      <c r="AW75" s="80"/>
      <c r="AX75" s="80"/>
      <c r="AY75" s="80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80"/>
      <c r="AS76" s="80"/>
      <c r="AT76" s="80"/>
      <c r="AU76" s="80"/>
      <c r="AV76" s="80"/>
      <c r="AW76" s="80"/>
      <c r="AX76" s="80"/>
      <c r="AY76" s="80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80"/>
      <c r="AS77" s="80"/>
      <c r="AT77" s="80"/>
      <c r="AU77" s="80"/>
      <c r="AV77" s="80"/>
      <c r="AW77" s="80"/>
      <c r="AX77" s="80"/>
      <c r="AY77" s="80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80"/>
      <c r="AS78" s="80"/>
      <c r="AT78" s="80"/>
      <c r="AU78" s="80"/>
      <c r="AV78" s="80"/>
      <c r="AW78" s="80"/>
      <c r="AX78" s="80"/>
      <c r="AY78" s="80"/>
    </row>
    <row r="79">
      <c r="A79" s="80"/>
      <c r="B79" s="80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80"/>
      <c r="AS79" s="80"/>
      <c r="AT79" s="80"/>
      <c r="AU79" s="80"/>
      <c r="AV79" s="80"/>
      <c r="AW79" s="80"/>
      <c r="AX79" s="80"/>
      <c r="AY79" s="80"/>
    </row>
    <row r="80">
      <c r="A80" s="80"/>
      <c r="B80" s="80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80"/>
      <c r="AS80" s="80"/>
      <c r="AT80" s="80"/>
      <c r="AU80" s="80"/>
      <c r="AV80" s="80"/>
      <c r="AW80" s="80"/>
      <c r="AX80" s="80"/>
      <c r="AY80" s="80"/>
    </row>
    <row r="81">
      <c r="A81" s="80"/>
      <c r="B81" s="80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80"/>
      <c r="AS81" s="80"/>
      <c r="AT81" s="80"/>
      <c r="AU81" s="80"/>
      <c r="AV81" s="80"/>
      <c r="AW81" s="80"/>
      <c r="AX81" s="80"/>
      <c r="AY81" s="80"/>
    </row>
    <row r="82">
      <c r="A82" s="80"/>
      <c r="B82" s="80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80"/>
      <c r="AS82" s="80"/>
      <c r="AT82" s="80"/>
      <c r="AU82" s="80"/>
      <c r="AV82" s="80"/>
      <c r="AW82" s="80"/>
      <c r="AX82" s="80"/>
      <c r="AY82" s="80"/>
    </row>
    <row r="83">
      <c r="A83" s="80"/>
      <c r="B83" s="80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80"/>
      <c r="AS83" s="80"/>
      <c r="AT83" s="80"/>
      <c r="AU83" s="80"/>
      <c r="AV83" s="80"/>
      <c r="AW83" s="80"/>
      <c r="AX83" s="80"/>
      <c r="AY83" s="80"/>
    </row>
    <row r="84">
      <c r="A84" s="80"/>
      <c r="B84" s="80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80"/>
      <c r="AS84" s="80"/>
      <c r="AT84" s="80"/>
      <c r="AU84" s="80"/>
      <c r="AV84" s="80"/>
      <c r="AW84" s="80"/>
      <c r="AX84" s="80"/>
      <c r="AY84" s="80"/>
    </row>
    <row r="85">
      <c r="A85" s="80"/>
      <c r="B85" s="80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80"/>
      <c r="AS85" s="80"/>
      <c r="AT85" s="80"/>
      <c r="AU85" s="80"/>
      <c r="AV85" s="80"/>
      <c r="AW85" s="80"/>
      <c r="AX85" s="80"/>
      <c r="AY85" s="80"/>
    </row>
    <row r="86">
      <c r="A86" s="80"/>
      <c r="B86" s="80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80"/>
      <c r="AS86" s="80"/>
      <c r="AT86" s="80"/>
      <c r="AU86" s="80"/>
      <c r="AV86" s="80"/>
      <c r="AW86" s="80"/>
      <c r="AX86" s="80"/>
      <c r="AY86" s="80"/>
    </row>
    <row r="87">
      <c r="A87" s="80"/>
      <c r="B87" s="80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80"/>
      <c r="AS87" s="80"/>
      <c r="AT87" s="80"/>
      <c r="AU87" s="80"/>
      <c r="AV87" s="80"/>
      <c r="AW87" s="80"/>
      <c r="AX87" s="80"/>
      <c r="AY87" s="80"/>
    </row>
    <row r="88">
      <c r="A88" s="80"/>
      <c r="B88" s="80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80"/>
      <c r="AS88" s="80"/>
      <c r="AT88" s="80"/>
      <c r="AU88" s="80"/>
      <c r="AV88" s="80"/>
      <c r="AW88" s="80"/>
      <c r="AX88" s="80"/>
      <c r="AY88" s="80"/>
    </row>
    <row r="89">
      <c r="A89" s="80"/>
      <c r="B89" s="80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80"/>
      <c r="AS89" s="80"/>
      <c r="AT89" s="80"/>
      <c r="AU89" s="80"/>
      <c r="AV89" s="80"/>
      <c r="AW89" s="80"/>
      <c r="AX89" s="80"/>
      <c r="AY89" s="80"/>
    </row>
    <row r="90">
      <c r="A90" s="80"/>
      <c r="B90" s="80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80"/>
      <c r="AS90" s="80"/>
      <c r="AT90" s="80"/>
      <c r="AU90" s="80"/>
      <c r="AV90" s="80"/>
      <c r="AW90" s="80"/>
      <c r="AX90" s="80"/>
      <c r="AY90" s="80"/>
    </row>
    <row r="91">
      <c r="A91" s="80"/>
      <c r="B91" s="80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80"/>
      <c r="AS91" s="80"/>
      <c r="AT91" s="80"/>
      <c r="AU91" s="80"/>
      <c r="AV91" s="80"/>
      <c r="AW91" s="80"/>
      <c r="AX91" s="80"/>
      <c r="AY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  <c r="AD1001" s="80"/>
      <c r="AE1001" s="80"/>
      <c r="AF1001" s="80"/>
      <c r="AG1001" s="80"/>
      <c r="AH1001" s="80"/>
      <c r="AI1001" s="80"/>
      <c r="AJ1001" s="80"/>
      <c r="AK1001" s="80"/>
      <c r="AL1001" s="80"/>
      <c r="AM1001" s="80"/>
      <c r="AN1001" s="80"/>
      <c r="AO1001" s="80"/>
      <c r="AP1001" s="80"/>
      <c r="AQ1001" s="80"/>
      <c r="AR1001" s="80"/>
      <c r="AS1001" s="80"/>
      <c r="AT1001" s="80"/>
      <c r="AU1001" s="80"/>
      <c r="AV1001" s="80"/>
      <c r="AW1001" s="80"/>
      <c r="AX1001" s="80"/>
      <c r="AY1001" s="80"/>
    </row>
  </sheetData>
  <mergeCells count="16">
    <mergeCell ref="D20:D21"/>
    <mergeCell ref="N28:P30"/>
    <mergeCell ref="Q28:S30"/>
    <mergeCell ref="U28:W30"/>
    <mergeCell ref="X28:Y30"/>
    <mergeCell ref="N31:P31"/>
    <mergeCell ref="Q31:S31"/>
    <mergeCell ref="U37:W39"/>
    <mergeCell ref="X37:Y39"/>
    <mergeCell ref="N32:P34"/>
    <mergeCell ref="Q32:S34"/>
    <mergeCell ref="U32:W34"/>
    <mergeCell ref="X32:Y34"/>
    <mergeCell ref="U36:W36"/>
    <mergeCell ref="N37:P39"/>
    <mergeCell ref="Q37:S39"/>
  </mergeCells>
  <dataValidations>
    <dataValidation type="list" allowBlank="1" sqref="F4:Q4">
      <formula1>$D$54:$D$56</formula1>
    </dataValidation>
  </dataValidations>
  <drawing r:id="rId1"/>
</worksheet>
</file>