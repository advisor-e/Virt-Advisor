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What If Price" sheetId="2" r:id="rId6"/>
  </sheets>
  <definedNames/>
  <calcPr/>
</workbook>
</file>

<file path=xl/sharedStrings.xml><?xml version="1.0" encoding="utf-8"?>
<sst xmlns="http://schemas.openxmlformats.org/spreadsheetml/2006/main" count="67" uniqueCount="46">
  <si>
    <t>You can choose to enter the cost of goods sold as a dollar figure (if you don't know the %) by leaving the % as 0.00%. If you know the % figure then this is the figure which is used in breakeven calculations.</t>
  </si>
  <si>
    <t>Mthly Sales Revenue</t>
  </si>
  <si>
    <t>Cost of Goods Sold $</t>
  </si>
  <si>
    <t>Cost of Goods Sold %</t>
  </si>
  <si>
    <t>Cost as a % of Sales</t>
  </si>
  <si>
    <t>Gross Profit</t>
  </si>
  <si>
    <t>Gross Profit as a % of Sales</t>
  </si>
  <si>
    <t>Mthly Fixed Costs $</t>
  </si>
  <si>
    <t>Fixed Costs as a % of Sales</t>
  </si>
  <si>
    <t>Net Profit</t>
  </si>
  <si>
    <t>Net Profit as a % of Sales</t>
  </si>
  <si>
    <t>Minimum Mthly Sales Required to Break Even</t>
  </si>
  <si>
    <t>Mthly Fixed Costs</t>
  </si>
  <si>
    <t>Start By Entering Data In This Section First Please</t>
  </si>
  <si>
    <t>Price Reduced By</t>
  </si>
  <si>
    <t>Reduced Product Price</t>
  </si>
  <si>
    <t>Product Price</t>
  </si>
  <si>
    <t>Sales Volume Required</t>
  </si>
  <si>
    <t>Number of Sales Required</t>
  </si>
  <si>
    <t>Annual</t>
  </si>
  <si>
    <t>Differential</t>
  </si>
  <si>
    <t>Total Month Revenue</t>
  </si>
  <si>
    <t>Gross Profit Target</t>
  </si>
  <si>
    <t>Cost Of Sales % After Price Reduction</t>
  </si>
  <si>
    <t>Monthly Overheads</t>
  </si>
  <si>
    <t>Cost Of Sales After Price Reduction</t>
  </si>
  <si>
    <t>Per Unit</t>
  </si>
  <si>
    <t>Cost Of Sales %</t>
  </si>
  <si>
    <t>Net (Taxable) Profit</t>
  </si>
  <si>
    <t>Gross Profit Generated</t>
  </si>
  <si>
    <t>Margin Reduced By</t>
  </si>
  <si>
    <t>(Same Product Price)</t>
  </si>
  <si>
    <t>(Margin %)</t>
  </si>
  <si>
    <t>Represents A Change of</t>
  </si>
  <si>
    <t>Cost Of Sales After Supplier Price Increase</t>
  </si>
  <si>
    <t>(Mthly Profit )</t>
  </si>
  <si>
    <t>As A % Of Sales</t>
  </si>
  <si>
    <t>Price Increased By</t>
  </si>
  <si>
    <t>Increased Product Price</t>
  </si>
  <si>
    <t>Cost Of Sales % After Price Increase</t>
  </si>
  <si>
    <t>Net (Taxable) Profit Target</t>
  </si>
  <si>
    <t>Cost Of Sales After Price Increase</t>
  </si>
  <si>
    <t>(Mthly Profit Target)</t>
  </si>
  <si>
    <t>Sales Revenue Required</t>
  </si>
  <si>
    <t>Difference in Sales Required</t>
  </si>
  <si>
    <t>Sales Difference as a % of 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</si>
</sst>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_(&quot;$&quot;* #,##0.0_);_(&quot;$&quot;* \(#,##0.0\);_(&quot;$&quot;* &quot;-&quot;??_);_(@_)"/>
    <numFmt numFmtId="167" formatCode="0.0"/>
    <numFmt numFmtId="168" formatCode="&quot;$&quot;#,##0"/>
    <numFmt numFmtId="169" formatCode="_(&quot;$&quot;* #,##0.00_);_(&quot;$&quot;* \(#,##0.00\);_(&quot;$&quot;* &quot;-&quot;??.00_);_(@_)"/>
    <numFmt numFmtId="170" formatCode="&quot;$&quot;#,##0.00"/>
  </numFmts>
  <fonts count="22">
    <font>
      <sz val="10.0"/>
      <color rgb="FF000000"/>
      <name val="Arial"/>
      <scheme val="minor"/>
    </font>
    <font>
      <sz val="14.0"/>
      <color rgb="FFFFFFFF"/>
      <name val="Open Sans"/>
    </font>
    <font>
      <sz val="10.0"/>
      <color rgb="FFFFFF00"/>
      <name val="Open Sans"/>
    </font>
    <font/>
    <font>
      <sz val="14.0"/>
      <color rgb="FF000000"/>
      <name val="Open Sans"/>
    </font>
    <font>
      <b/>
      <sz val="14.0"/>
      <color rgb="FFFF0000"/>
      <name val="Open Sans"/>
    </font>
    <font>
      <sz val="14.0"/>
      <color rgb="FFFFFF00"/>
      <name val="Open Sans"/>
    </font>
    <font>
      <sz val="14.0"/>
      <color theme="0"/>
      <name val="Open Sans"/>
    </font>
    <font>
      <sz val="14.0"/>
      <color theme="1"/>
      <name val="Open Sans"/>
    </font>
    <font>
      <sz val="14.0"/>
      <color rgb="FFE6B8AF"/>
      <name val="Open Sans"/>
    </font>
    <font>
      <sz val="8.0"/>
      <color rgb="FF00FFFF"/>
      <name val="Open Sans"/>
    </font>
    <font>
      <sz val="9.0"/>
      <color rgb="FFFFFFFF"/>
      <name val="Open Sans"/>
    </font>
    <font>
      <sz val="12.0"/>
      <color rgb="FF00FFFF"/>
      <name val="Open Sans"/>
    </font>
    <font>
      <sz val="7.0"/>
      <color rgb="FFFFFFFF"/>
      <name val="Open Sans"/>
    </font>
    <font>
      <b/>
      <sz val="14.0"/>
      <color theme="8"/>
      <name val="Open Sans"/>
    </font>
    <font>
      <sz val="14.0"/>
      <color rgb="FFFF6D01"/>
      <name val="Open Sans"/>
    </font>
    <font>
      <sz val="14.0"/>
      <color theme="8"/>
      <name val="Open Sans"/>
    </font>
    <font>
      <sz val="9.0"/>
      <color theme="0"/>
      <name val="Open Sans"/>
    </font>
    <font>
      <b/>
      <sz val="14.0"/>
      <color rgb="FF0E9019"/>
      <name val="Open Sans"/>
    </font>
    <font>
      <sz val="14.0"/>
      <color rgb="FF00FF00"/>
      <name val="Open Sans"/>
    </font>
    <font>
      <sz val="12.0"/>
      <color rgb="FFFFFFFF"/>
      <name val="&quot;Open Sans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3">
    <border/>
    <border>
      <left style="thin">
        <color rgb="FFFFFF00"/>
      </left>
      <top style="thin">
        <color rgb="FFFFFF00"/>
      </top>
    </border>
    <border>
      <top style="thin">
        <color rgb="FFFFFF00"/>
      </top>
    </border>
    <border>
      <right style="thin">
        <color rgb="FFFFFF00"/>
      </right>
      <top style="thin">
        <color rgb="FFFFFF00"/>
      </top>
    </border>
    <border>
      <left style="thin">
        <color rgb="FFFFFF00"/>
      </left>
    </border>
    <border>
      <right style="thin">
        <color rgb="FFFFFF00"/>
      </right>
    </border>
    <border>
      <left style="thin">
        <color rgb="FFFFFF00"/>
      </left>
      <bottom style="thin">
        <color rgb="FFFFFF00"/>
      </bottom>
    </border>
    <border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6D01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</border>
    <border>
      <left style="thin">
        <color rgb="FFFF6D01"/>
      </left>
      <bottom style="thin">
        <color rgb="FFFF6D01"/>
      </bottom>
    </border>
    <border>
      <bottom style="thin">
        <color rgb="FFFF6D01"/>
      </bottom>
    </border>
    <border>
      <right style="thin">
        <color rgb="FFFF6D01"/>
      </right>
      <bottom style="thin">
        <color rgb="FFFF6D01"/>
      </bottom>
    </border>
    <border>
      <left style="thin">
        <color rgb="FF00FFFF"/>
      </left>
      <top style="thin">
        <color rgb="FF00FFFF"/>
      </top>
    </border>
    <border>
      <top style="thin">
        <color rgb="FF00FFFF"/>
      </top>
    </border>
    <border>
      <right style="thin">
        <color rgb="FF00FFFF"/>
      </right>
      <top style="thin">
        <color rgb="FF00FFFF"/>
      </top>
    </border>
    <border>
      <left style="thin">
        <color rgb="FF00FFFF"/>
      </left>
    </border>
    <border>
      <right style="thin">
        <color rgb="FF00FFFF"/>
      </right>
    </border>
    <border>
      <left style="thin">
        <color rgb="FF00FFFF"/>
      </left>
      <bottom style="thin">
        <color rgb="FF00FFFF"/>
      </bottom>
    </border>
    <border>
      <bottom style="thin">
        <color rgb="FF00FFFF"/>
      </bottom>
    </border>
    <border>
      <right style="thin">
        <color rgb="FF00FFFF"/>
      </right>
      <bottom style="thin">
        <color rgb="FF00FFFF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readingOrder="0" vertical="center"/>
    </xf>
    <xf borderId="0" fillId="0" fontId="4" numFmtId="164" xfId="0" applyAlignment="1" applyFont="1" applyNumberFormat="1">
      <alignment readingOrder="0" vertical="center"/>
    </xf>
    <xf borderId="4" fillId="0" fontId="3" numFmtId="0" xfId="0" applyBorder="1" applyFont="1"/>
    <xf borderId="5" fillId="0" fontId="3" numFmtId="0" xfId="0" applyBorder="1" applyFont="1"/>
    <xf borderId="0" fillId="2" fontId="1" numFmtId="164" xfId="0" applyAlignment="1" applyFont="1" applyNumberFormat="1">
      <alignment vertical="center"/>
    </xf>
    <xf borderId="0" fillId="0" fontId="5" numFmtId="10" xfId="0" applyAlignment="1" applyFont="1" applyNumberFormat="1">
      <alignment readingOrder="0" vertical="center"/>
    </xf>
    <xf borderId="0" fillId="2" fontId="1" numFmtId="10" xfId="0" applyAlignment="1" applyFont="1" applyNumberFormat="1">
      <alignment horizontal="right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1" numFmtId="10" xfId="0" applyAlignment="1" applyFont="1" applyNumberFormat="1">
      <alignment vertical="center"/>
    </xf>
    <xf borderId="0" fillId="3" fontId="1" numFmtId="0" xfId="0" applyAlignment="1" applyFill="1" applyFont="1">
      <alignment vertical="center"/>
    </xf>
    <xf borderId="0" fillId="3" fontId="1" numFmtId="164" xfId="0" applyAlignment="1" applyFont="1" applyNumberFormat="1">
      <alignment vertical="center"/>
    </xf>
    <xf borderId="0" fillId="3" fontId="1" numFmtId="0" xfId="0" applyAlignment="1" applyFont="1">
      <alignment readingOrder="0" vertical="center"/>
    </xf>
    <xf borderId="0" fillId="2" fontId="6" numFmtId="164" xfId="0" applyAlignment="1" applyFont="1" applyNumberFormat="1">
      <alignment vertical="center"/>
    </xf>
    <xf borderId="0" fillId="2" fontId="6" numFmtId="0" xfId="0" applyAlignment="1" applyFont="1">
      <alignment readingOrder="0" vertical="center"/>
    </xf>
    <xf borderId="0" fillId="2" fontId="1" numFmtId="165" xfId="0" applyAlignment="1" applyFont="1" applyNumberFormat="1">
      <alignment vertical="center"/>
    </xf>
    <xf borderId="0" fillId="2" fontId="7" numFmtId="0" xfId="0" applyAlignment="1" applyFont="1">
      <alignment vertical="center"/>
    </xf>
    <xf borderId="0" fillId="2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9" fillId="2" fontId="7" numFmtId="0" xfId="0" applyAlignment="1" applyBorder="1" applyFont="1">
      <alignment vertical="center"/>
    </xf>
    <xf borderId="10" fillId="2" fontId="7" numFmtId="0" xfId="0" applyAlignment="1" applyBorder="1" applyFont="1">
      <alignment vertical="center"/>
    </xf>
    <xf borderId="10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vertical="center"/>
    </xf>
    <xf borderId="12" fillId="2" fontId="1" numFmtId="0" xfId="0" applyAlignment="1" applyBorder="1" applyFont="1">
      <alignment readingOrder="0" vertical="center"/>
    </xf>
    <xf borderId="0" fillId="4" fontId="5" numFmtId="0" xfId="0" applyAlignment="1" applyFill="1" applyFont="1">
      <alignment readingOrder="0" vertical="center"/>
    </xf>
    <xf borderId="0" fillId="4" fontId="8" numFmtId="10" xfId="0" applyAlignment="1" applyFont="1" applyNumberFormat="1">
      <alignment horizontal="center" readingOrder="0" vertical="center"/>
    </xf>
    <xf borderId="0" fillId="2" fontId="7" numFmtId="166" xfId="0" applyAlignment="1" applyFont="1" applyNumberFormat="1">
      <alignment horizontal="center" vertical="center"/>
    </xf>
    <xf borderId="13" fillId="2" fontId="7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2" fillId="2" fontId="7" numFmtId="0" xfId="0" applyAlignment="1" applyBorder="1" applyFont="1">
      <alignment vertical="center"/>
    </xf>
    <xf borderId="3" fillId="2" fontId="1" numFmtId="0" xfId="0" applyAlignment="1" applyBorder="1" applyFont="1">
      <alignment readingOrder="0" vertical="center"/>
    </xf>
    <xf borderId="12" fillId="2" fontId="7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  <xf borderId="0" fillId="4" fontId="8" numFmtId="164" xfId="0" applyAlignment="1" applyFont="1" applyNumberFormat="1">
      <alignment readingOrder="0" vertical="center"/>
    </xf>
    <xf borderId="5" fillId="2" fontId="7" numFmtId="0" xfId="0" applyAlignment="1" applyBorder="1" applyFont="1">
      <alignment vertical="center"/>
    </xf>
    <xf borderId="0" fillId="2" fontId="9" numFmtId="164" xfId="0" applyAlignment="1" applyFont="1" applyNumberFormat="1">
      <alignment vertical="center"/>
    </xf>
    <xf borderId="0" fillId="2" fontId="9" numFmtId="167" xfId="0" applyAlignment="1" applyFont="1" applyNumberFormat="1">
      <alignment horizontal="center" vertical="center"/>
    </xf>
    <xf borderId="13" fillId="2" fontId="9" numFmtId="167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readingOrder="0" vertical="center"/>
    </xf>
    <xf borderId="0" fillId="2" fontId="10" numFmtId="0" xfId="0" applyAlignment="1" applyFont="1">
      <alignment horizontal="right" readingOrder="0" vertical="center"/>
    </xf>
    <xf borderId="5" fillId="2" fontId="1" numFmtId="0" xfId="0" applyAlignment="1" applyBorder="1" applyFont="1">
      <alignment readingOrder="0" vertical="center"/>
    </xf>
    <xf borderId="13" fillId="2" fontId="11" numFmtId="0" xfId="0" applyAlignment="1" applyBorder="1" applyFont="1">
      <alignment horizontal="center" readingOrder="0" vertical="center"/>
    </xf>
    <xf borderId="0" fillId="2" fontId="7" numFmtId="168" xfId="0" applyAlignment="1" applyFont="1" applyNumberFormat="1">
      <alignment vertical="center"/>
    </xf>
    <xf borderId="0" fillId="2" fontId="7" numFmtId="164" xfId="0" applyAlignment="1" applyFont="1" applyNumberFormat="1">
      <alignment readingOrder="0" vertical="center"/>
    </xf>
    <xf borderId="0" fillId="2" fontId="9" numFmtId="0" xfId="0" applyAlignment="1" applyFont="1">
      <alignment readingOrder="0" vertical="center"/>
    </xf>
    <xf borderId="0" fillId="2" fontId="9" numFmtId="0" xfId="0" applyAlignment="1" applyFont="1">
      <alignment vertical="center"/>
    </xf>
    <xf borderId="0" fillId="2" fontId="9" numFmtId="10" xfId="0" applyAlignment="1" applyFont="1" applyNumberFormat="1">
      <alignment horizontal="center" vertical="center"/>
    </xf>
    <xf borderId="0" fillId="2" fontId="7" numFmtId="167" xfId="0" applyAlignment="1" applyFont="1" applyNumberFormat="1">
      <alignment horizontal="center" vertical="center"/>
    </xf>
    <xf borderId="0" fillId="2" fontId="12" numFmtId="1" xfId="0" applyAlignment="1" applyFont="1" applyNumberFormat="1">
      <alignment vertical="center"/>
    </xf>
    <xf borderId="0" fillId="2" fontId="7" numFmtId="164" xfId="0" applyAlignment="1" applyFont="1" applyNumberFormat="1">
      <alignment horizontal="center" vertical="center"/>
    </xf>
    <xf borderId="0" fillId="2" fontId="13" numFmtId="0" xfId="0" applyAlignment="1" applyFont="1">
      <alignment horizontal="right" readingOrder="0" vertical="center"/>
    </xf>
    <xf borderId="14" fillId="2" fontId="13" numFmtId="0" xfId="0" applyAlignment="1" applyBorder="1" applyFont="1">
      <alignment horizontal="center" readingOrder="0" vertical="center"/>
    </xf>
    <xf borderId="0" fillId="2" fontId="7" numFmtId="169" xfId="0" applyAlignment="1" applyFont="1" applyNumberFormat="1">
      <alignment vertical="center"/>
    </xf>
    <xf borderId="0" fillId="2" fontId="7" numFmtId="164" xfId="0" applyAlignment="1" applyFont="1" applyNumberFormat="1">
      <alignment vertical="center"/>
    </xf>
    <xf borderId="0" fillId="2" fontId="7" numFmtId="10" xfId="0" applyAlignment="1" applyFont="1" applyNumberFormat="1">
      <alignment horizontal="center" vertical="center"/>
    </xf>
    <xf borderId="14" fillId="2" fontId="7" numFmtId="170" xfId="0" applyAlignment="1" applyBorder="1" applyFont="1" applyNumberFormat="1">
      <alignment horizontal="center" vertical="center"/>
    </xf>
    <xf borderId="15" fillId="2" fontId="7" numFmtId="0" xfId="0" applyAlignment="1" applyBorder="1" applyFont="1">
      <alignment vertical="center"/>
    </xf>
    <xf borderId="16" fillId="2" fontId="7" numFmtId="0" xfId="0" applyAlignment="1" applyBorder="1" applyFont="1">
      <alignment vertical="center"/>
    </xf>
    <xf borderId="16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vertical="center"/>
    </xf>
    <xf borderId="18" fillId="2" fontId="7" numFmtId="0" xfId="0" applyAlignment="1" applyBorder="1" applyFont="1">
      <alignment vertical="center"/>
    </xf>
    <xf borderId="19" fillId="2" fontId="7" numFmtId="0" xfId="0" applyAlignment="1" applyBorder="1" applyFont="1">
      <alignment vertical="center"/>
    </xf>
    <xf borderId="19" fillId="2" fontId="1" numFmtId="0" xfId="0" applyAlignment="1" applyBorder="1" applyFont="1">
      <alignment readingOrder="0" vertical="center"/>
    </xf>
    <xf borderId="19" fillId="2" fontId="7" numFmtId="0" xfId="0" applyAlignment="1" applyBorder="1" applyFont="1">
      <alignment horizontal="center" vertical="center"/>
    </xf>
    <xf borderId="20" fillId="2" fontId="7" numFmtId="0" xfId="0" applyAlignment="1" applyBorder="1" applyFont="1">
      <alignment vertical="center"/>
    </xf>
    <xf borderId="21" fillId="2" fontId="7" numFmtId="0" xfId="0" applyAlignment="1" applyBorder="1" applyFont="1">
      <alignment vertical="center"/>
    </xf>
    <xf borderId="0" fillId="4" fontId="14" numFmtId="0" xfId="0" applyAlignment="1" applyFont="1">
      <alignment readingOrder="0" vertical="center"/>
    </xf>
    <xf borderId="14" fillId="2" fontId="7" numFmtId="10" xfId="0" applyAlignment="1" applyBorder="1" applyFont="1" applyNumberFormat="1">
      <alignment vertical="center"/>
    </xf>
    <xf borderId="14" fillId="2" fontId="7" numFmtId="0" xfId="0" applyAlignment="1" applyBorder="1" applyFont="1">
      <alignment vertical="center"/>
    </xf>
    <xf borderId="0" fillId="2" fontId="15" numFmtId="168" xfId="0" applyAlignment="1" applyFont="1" applyNumberFormat="1">
      <alignment readingOrder="0" vertical="center"/>
    </xf>
    <xf borderId="14" fillId="2" fontId="7" numFmtId="10" xfId="0" applyAlignment="1" applyBorder="1" applyFont="1" applyNumberFormat="1">
      <alignment horizontal="center" vertical="center"/>
    </xf>
    <xf borderId="14" fillId="2" fontId="7" numFmtId="0" xfId="0" applyAlignment="1" applyBorder="1" applyFont="1">
      <alignment horizontal="center" vertical="center"/>
    </xf>
    <xf borderId="0" fillId="2" fontId="15" numFmtId="3" xfId="0" applyAlignment="1" applyFont="1" applyNumberFormat="1">
      <alignment horizontal="center" readingOrder="0" vertical="center"/>
    </xf>
    <xf borderId="14" fillId="2" fontId="16" numFmtId="3" xfId="0" applyAlignment="1" applyBorder="1" applyFont="1" applyNumberFormat="1">
      <alignment horizontal="center" vertical="center"/>
    </xf>
    <xf borderId="14" fillId="2" fontId="17" numFmtId="0" xfId="0" applyAlignment="1" applyBorder="1" applyFont="1">
      <alignment horizontal="center" vertical="center"/>
    </xf>
    <xf borderId="0" fillId="2" fontId="7" numFmtId="10" xfId="0" applyAlignment="1" applyFont="1" applyNumberFormat="1">
      <alignment vertical="center"/>
    </xf>
    <xf borderId="0" fillId="4" fontId="8" numFmtId="168" xfId="0" applyAlignment="1" applyFont="1" applyNumberFormat="1">
      <alignment readingOrder="0" vertical="center"/>
    </xf>
    <xf borderId="14" fillId="2" fontId="7" numFmtId="168" xfId="0" applyAlignment="1" applyBorder="1" applyFont="1" applyNumberFormat="1">
      <alignment horizontal="center" vertical="center"/>
    </xf>
    <xf borderId="0" fillId="2" fontId="10" numFmtId="0" xfId="0" applyAlignment="1" applyFont="1">
      <alignment horizontal="left" readingOrder="0" vertical="center"/>
    </xf>
    <xf borderId="0" fillId="2" fontId="11" numFmtId="0" xfId="0" applyAlignment="1" applyFont="1">
      <alignment horizontal="center" readingOrder="0" vertical="center"/>
    </xf>
    <xf borderId="22" fillId="2" fontId="7" numFmtId="0" xfId="0" applyAlignment="1" applyBorder="1" applyFont="1">
      <alignment vertical="center"/>
    </xf>
    <xf borderId="23" fillId="2" fontId="1" numFmtId="0" xfId="0" applyAlignment="1" applyBorder="1" applyFont="1">
      <alignment readingOrder="0" vertical="center"/>
    </xf>
    <xf borderId="23" fillId="2" fontId="7" numFmtId="0" xfId="0" applyAlignment="1" applyBorder="1" applyFont="1">
      <alignment vertical="center"/>
    </xf>
    <xf borderId="23" fillId="2" fontId="7" numFmtId="0" xfId="0" applyAlignment="1" applyBorder="1" applyFont="1">
      <alignment horizontal="center" vertical="center"/>
    </xf>
    <xf borderId="24" fillId="2" fontId="7" numFmtId="0" xfId="0" applyAlignment="1" applyBorder="1" applyFont="1">
      <alignment vertical="center"/>
    </xf>
    <xf borderId="6" fillId="2" fontId="7" numFmtId="0" xfId="0" applyAlignment="1" applyBorder="1" applyFont="1">
      <alignment vertical="center"/>
    </xf>
    <xf borderId="7" fillId="2" fontId="1" numFmtId="0" xfId="0" applyAlignment="1" applyBorder="1" applyFont="1">
      <alignment readingOrder="0" vertical="center"/>
    </xf>
    <xf borderId="7" fillId="2" fontId="7" numFmtId="0" xfId="0" applyAlignment="1" applyBorder="1" applyFont="1">
      <alignment vertical="center"/>
    </xf>
    <xf borderId="8" fillId="2" fontId="7" numFmtId="0" xfId="0" applyAlignment="1" applyBorder="1" applyFont="1">
      <alignment vertical="center"/>
    </xf>
    <xf borderId="0" fillId="4" fontId="18" numFmtId="0" xfId="0" applyAlignment="1" applyFont="1">
      <alignment readingOrder="0" vertical="center"/>
    </xf>
    <xf borderId="0" fillId="2" fontId="19" numFmtId="164" xfId="0" applyAlignment="1" applyFont="1" applyNumberFormat="1">
      <alignment vertical="center"/>
    </xf>
    <xf borderId="0" fillId="2" fontId="19" numFmtId="167" xfId="0" applyAlignment="1" applyFont="1" applyNumberFormat="1">
      <alignment horizontal="center" vertical="center"/>
    </xf>
    <xf borderId="13" fillId="2" fontId="19" numFmtId="167" xfId="0" applyAlignment="1" applyBorder="1" applyFont="1" applyNumberFormat="1">
      <alignment horizontal="center" vertical="center"/>
    </xf>
    <xf borderId="0" fillId="2" fontId="19" numFmtId="0" xfId="0" applyAlignment="1" applyFont="1">
      <alignment readingOrder="0" vertical="center"/>
    </xf>
    <xf borderId="0" fillId="2" fontId="19" numFmtId="0" xfId="0" applyAlignment="1" applyFont="1">
      <alignment vertical="center"/>
    </xf>
    <xf borderId="0" fillId="2" fontId="19" numFmtId="10" xfId="0" applyAlignment="1" applyFont="1" applyNumberFormat="1">
      <alignment horizontal="center" vertical="center"/>
    </xf>
    <xf borderId="25" fillId="2" fontId="7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27" fillId="2" fontId="7" numFmtId="0" xfId="0" applyAlignment="1" applyBorder="1" applyFont="1">
      <alignment vertical="center"/>
    </xf>
    <xf borderId="28" fillId="2" fontId="7" numFmtId="0" xfId="0" applyAlignment="1" applyBorder="1" applyFont="1">
      <alignment vertical="center"/>
    </xf>
    <xf borderId="29" fillId="2" fontId="7" numFmtId="0" xfId="0" applyAlignment="1" applyBorder="1" applyFont="1">
      <alignment vertical="center"/>
    </xf>
    <xf borderId="30" fillId="2" fontId="7" numFmtId="0" xfId="0" applyAlignment="1" applyBorder="1" applyFont="1">
      <alignment vertical="center"/>
    </xf>
    <xf borderId="31" fillId="2" fontId="7" numFmtId="0" xfId="0" applyAlignment="1" applyBorder="1" applyFont="1">
      <alignment vertical="center"/>
    </xf>
    <xf borderId="32" fillId="2" fontId="7" numFmtId="0" xfId="0" applyAlignment="1" applyBorder="1" applyFont="1">
      <alignment vertical="center"/>
    </xf>
    <xf borderId="0" fillId="2" fontId="20" numFmtId="0" xfId="0" applyFont="1"/>
    <xf borderId="0" fillId="2" fontId="21" numFmtId="0" xfId="0" applyFont="1"/>
    <xf borderId="0" fillId="2" fontId="20" numFmtId="168" xfId="0" applyAlignment="1" applyFont="1" applyNumberFormat="1">
      <alignment horizontal="right"/>
    </xf>
    <xf borderId="0" fillId="2" fontId="20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1.88"/>
    <col customWidth="1" min="3" max="3" width="2.13"/>
    <col customWidth="1" min="4" max="4" width="32.5"/>
    <col customWidth="1" min="5" max="5" width="15.38"/>
    <col customWidth="1" min="6" max="6" width="2.13"/>
    <col customWidth="1" min="7" max="7" width="14.75"/>
    <col customWidth="1" min="8" max="8" width="1.75"/>
    <col customWidth="1" min="9" max="9" width="40.0"/>
    <col customWidth="1" min="10" max="10" width="13.63"/>
    <col customWidth="1" min="14" max="14" width="2.13"/>
    <col customWidth="1" min="15" max="15" width="1.8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ht="9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>
      <c r="A4" s="1"/>
      <c r="B4" s="2"/>
      <c r="C4" s="1"/>
      <c r="D4" s="1"/>
      <c r="E4" s="1"/>
      <c r="F4" s="1"/>
      <c r="G4" s="1"/>
      <c r="H4" s="1"/>
      <c r="I4" s="1"/>
      <c r="J4" s="1"/>
      <c r="K4" s="3" t="s">
        <v>0</v>
      </c>
      <c r="L4" s="4"/>
      <c r="M4" s="5"/>
      <c r="N4" s="1"/>
      <c r="O4" s="2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>
      <c r="A5" s="1"/>
      <c r="B5" s="2"/>
      <c r="C5" s="1"/>
      <c r="D5" s="6" t="s">
        <v>1</v>
      </c>
      <c r="E5" s="7">
        <v>17500.0</v>
      </c>
      <c r="F5" s="1"/>
      <c r="G5" s="1"/>
      <c r="H5" s="1"/>
      <c r="I5" s="1"/>
      <c r="J5" s="1"/>
      <c r="K5" s="8"/>
      <c r="M5" s="9"/>
      <c r="N5" s="1"/>
      <c r="O5" s="2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>
      <c r="A6" s="1"/>
      <c r="B6" s="2"/>
      <c r="C6" s="1"/>
      <c r="D6" s="1"/>
      <c r="E6" s="10"/>
      <c r="F6" s="1"/>
      <c r="G6" s="1"/>
      <c r="H6" s="1"/>
      <c r="I6" s="1"/>
      <c r="J6" s="1"/>
      <c r="K6" s="8"/>
      <c r="M6" s="9"/>
      <c r="N6" s="1"/>
      <c r="O6" s="2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>
      <c r="A7" s="1"/>
      <c r="B7" s="2"/>
      <c r="C7" s="1"/>
      <c r="D7" s="6" t="s">
        <v>2</v>
      </c>
      <c r="E7" s="7">
        <v>6800.0</v>
      </c>
      <c r="F7" s="1"/>
      <c r="G7" s="10">
        <f>E5*E8</f>
        <v>0</v>
      </c>
      <c r="H7" s="1"/>
      <c r="I7" s="1"/>
      <c r="J7" s="1"/>
      <c r="K7" s="8"/>
      <c r="M7" s="9"/>
      <c r="N7" s="1"/>
      <c r="O7" s="2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>
      <c r="A8" s="1"/>
      <c r="B8" s="2"/>
      <c r="C8" s="1"/>
      <c r="D8" s="6" t="s">
        <v>3</v>
      </c>
      <c r="E8" s="11">
        <v>0.0</v>
      </c>
      <c r="F8" s="1"/>
      <c r="G8" s="12">
        <f>E7/E5</f>
        <v>0.3885714286</v>
      </c>
      <c r="H8" s="1"/>
      <c r="I8" s="6" t="s">
        <v>4</v>
      </c>
      <c r="J8" s="1"/>
      <c r="K8" s="8"/>
      <c r="M8" s="9"/>
      <c r="N8" s="1"/>
      <c r="O8" s="2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>
      <c r="A9" s="1"/>
      <c r="B9" s="2"/>
      <c r="C9" s="1"/>
      <c r="D9" s="1"/>
      <c r="E9" s="1"/>
      <c r="F9" s="1"/>
      <c r="G9" s="1"/>
      <c r="H9" s="1"/>
      <c r="I9" s="1"/>
      <c r="J9" s="1"/>
      <c r="K9" s="13"/>
      <c r="L9" s="14"/>
      <c r="M9" s="15"/>
      <c r="N9" s="1"/>
      <c r="O9" s="2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>
      <c r="A10" s="1"/>
      <c r="B10" s="2"/>
      <c r="C10" s="1"/>
      <c r="D10" s="6" t="s">
        <v>5</v>
      </c>
      <c r="E10" s="10">
        <f>if(E8=0%,E5-E7,E5-G7)</f>
        <v>10700</v>
      </c>
      <c r="F10" s="1"/>
      <c r="G10" s="16">
        <f>E10/E5</f>
        <v>0.6114285714</v>
      </c>
      <c r="H10" s="1"/>
      <c r="I10" s="6" t="s">
        <v>6</v>
      </c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>
      <c r="A12" s="1"/>
      <c r="B12" s="2"/>
      <c r="C12" s="1"/>
      <c r="D12" s="6" t="s">
        <v>7</v>
      </c>
      <c r="E12" s="7">
        <v>4125.0</v>
      </c>
      <c r="F12" s="1"/>
      <c r="G12" s="16">
        <f>E12/E5</f>
        <v>0.2357142857</v>
      </c>
      <c r="H12" s="1"/>
      <c r="I12" s="6" t="s">
        <v>8</v>
      </c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</row>
    <row r="14">
      <c r="A14" s="1"/>
      <c r="B14" s="2"/>
      <c r="C14" s="1"/>
      <c r="D14" s="6" t="s">
        <v>9</v>
      </c>
      <c r="E14" s="10">
        <f>E10-E12</f>
        <v>6575</v>
      </c>
      <c r="F14" s="1"/>
      <c r="G14" s="16">
        <f>E14/E5</f>
        <v>0.3757142857</v>
      </c>
      <c r="H14" s="1"/>
      <c r="I14" s="6" t="s">
        <v>10</v>
      </c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</row>
    <row r="16" ht="9.0" customHeight="1">
      <c r="A16" s="1"/>
      <c r="B16" s="2"/>
      <c r="C16" s="1"/>
      <c r="D16" s="17"/>
      <c r="E16" s="18"/>
      <c r="F16" s="17"/>
      <c r="G16" s="17"/>
      <c r="H16" s="17"/>
      <c r="I16" s="19"/>
      <c r="J16" s="17"/>
      <c r="K16" s="17"/>
      <c r="L16" s="17"/>
      <c r="M16" s="17"/>
      <c r="N16" s="1"/>
      <c r="O16" s="2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</row>
    <row r="17" ht="27.75" customHeight="1">
      <c r="A17" s="1"/>
      <c r="B17" s="2"/>
      <c r="C17" s="1"/>
      <c r="D17" s="1"/>
      <c r="E17" s="10"/>
      <c r="F17" s="1"/>
      <c r="G17" s="1"/>
      <c r="H17" s="1"/>
      <c r="I17" s="6"/>
      <c r="J17" s="1"/>
      <c r="K17" s="1"/>
      <c r="L17" s="1"/>
      <c r="M17" s="1"/>
      <c r="N17" s="1"/>
      <c r="O17" s="2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</row>
    <row r="18">
      <c r="A18" s="1"/>
      <c r="B18" s="2"/>
      <c r="C18" s="1"/>
      <c r="D18" s="1"/>
      <c r="E18" s="20">
        <f>E12/G10</f>
        <v>6746.495327</v>
      </c>
      <c r="F18" s="1"/>
      <c r="G18" s="1"/>
      <c r="H18" s="1"/>
      <c r="I18" s="21" t="s">
        <v>11</v>
      </c>
      <c r="L18" s="1"/>
      <c r="M18" s="1"/>
      <c r="N18" s="1"/>
      <c r="O18" s="2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>
      <c r="A19" s="1"/>
      <c r="B19" s="2"/>
      <c r="C19" s="1"/>
      <c r="D19" s="1"/>
      <c r="E19" s="1"/>
      <c r="F19" s="1"/>
      <c r="G19" s="1"/>
      <c r="H19" s="1"/>
      <c r="I19" s="6"/>
      <c r="J19" s="1"/>
      <c r="K19" s="1"/>
      <c r="L19" s="1"/>
      <c r="M19" s="1"/>
      <c r="N19" s="1"/>
      <c r="O19" s="2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>
      <c r="A20" s="1"/>
      <c r="B20" s="2"/>
      <c r="C20" s="1"/>
      <c r="D20" s="1"/>
      <c r="E20" s="22"/>
      <c r="F20" s="1"/>
      <c r="G20" s="10">
        <f>E18*G8</f>
        <v>2621.495327</v>
      </c>
      <c r="H20" s="1"/>
      <c r="I20" s="6" t="s">
        <v>5</v>
      </c>
      <c r="J20" s="1"/>
      <c r="K20" s="1"/>
      <c r="L20" s="1"/>
      <c r="M20" s="1"/>
      <c r="N20" s="1"/>
      <c r="O20" s="2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</row>
    <row r="21">
      <c r="A21" s="1"/>
      <c r="B21" s="2"/>
      <c r="C21" s="1"/>
      <c r="D21" s="1"/>
      <c r="E21" s="1"/>
      <c r="F21" s="1"/>
      <c r="G21" s="1"/>
      <c r="H21" s="1"/>
      <c r="I21" s="6"/>
      <c r="J21" s="1"/>
      <c r="K21" s="1"/>
      <c r="L21" s="1"/>
      <c r="M21" s="1"/>
      <c r="N21" s="1"/>
      <c r="O21" s="2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</row>
    <row r="22">
      <c r="A22" s="1"/>
      <c r="B22" s="2"/>
      <c r="C22" s="1"/>
      <c r="D22" s="1"/>
      <c r="E22" s="1"/>
      <c r="F22" s="1"/>
      <c r="G22" s="10">
        <f>E18-G20</f>
        <v>4125</v>
      </c>
      <c r="H22" s="1"/>
      <c r="I22" s="6" t="s">
        <v>12</v>
      </c>
      <c r="J22" s="1"/>
      <c r="K22" s="1"/>
      <c r="L22" s="1"/>
      <c r="M22" s="1"/>
      <c r="N22" s="1"/>
      <c r="O22" s="2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>
      <c r="A24" s="1"/>
      <c r="B24" s="2"/>
      <c r="C24" s="1"/>
      <c r="D24" s="1"/>
      <c r="E24" s="1"/>
      <c r="F24" s="1"/>
      <c r="G24" s="10">
        <f>G22-E12</f>
        <v>0</v>
      </c>
      <c r="H24" s="1"/>
      <c r="I24" s="6" t="s">
        <v>9</v>
      </c>
      <c r="J24" s="1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1"/>
      <c r="R27" s="1"/>
      <c r="S27" s="1"/>
      <c r="T27" s="1"/>
      <c r="U27" s="1"/>
      <c r="V27" s="2"/>
      <c r="W27" s="2"/>
      <c r="X27" s="2"/>
      <c r="Y27" s="2"/>
      <c r="Z27" s="2"/>
    </row>
    <row r="28" ht="11.2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"/>
      <c r="Q28" s="1"/>
      <c r="R28" s="1"/>
      <c r="S28" s="1"/>
      <c r="T28" s="1"/>
      <c r="U28" s="1"/>
      <c r="V28" s="2"/>
      <c r="W28" s="2"/>
      <c r="X28" s="2"/>
      <c r="Y28" s="2"/>
      <c r="Z28" s="2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  <c r="Z29" s="2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"/>
      <c r="W30" s="2"/>
      <c r="X30" s="2"/>
      <c r="Y30" s="2"/>
      <c r="Z30" s="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  <c r="Y31" s="2"/>
      <c r="Z31" s="2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  <c r="Y32" s="2"/>
      <c r="Z32" s="2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"/>
      <c r="W33" s="2"/>
      <c r="X33" s="2"/>
      <c r="Y33" s="2"/>
      <c r="Z33" s="2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"/>
      <c r="W34" s="2"/>
      <c r="X34" s="2"/>
      <c r="Y34" s="2"/>
      <c r="Z34" s="2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"/>
      <c r="W35" s="2"/>
      <c r="X35" s="2"/>
      <c r="Y35" s="2"/>
      <c r="Z35" s="2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2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2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</sheetData>
  <mergeCells count="2">
    <mergeCell ref="K4:M9"/>
    <mergeCell ref="I18:K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25"/>
    <col customWidth="1" min="4" max="4" width="1.63"/>
    <col customWidth="1" min="5" max="5" width="32.88"/>
    <col customWidth="1" min="6" max="6" width="1.63"/>
    <col customWidth="1" min="7" max="7" width="14.75"/>
    <col customWidth="1" min="8" max="8" width="1.63"/>
    <col customWidth="1" min="9" max="9" width="16.13"/>
    <col customWidth="1" min="10" max="10" width="1.75"/>
    <col customWidth="1" min="11" max="11" width="3.0"/>
    <col customWidth="1" min="12" max="12" width="2.88"/>
    <col customWidth="1" min="13" max="13" width="39.25"/>
    <col customWidth="1" min="14" max="14" width="1.75"/>
    <col customWidth="1" min="15" max="15" width="14.75"/>
    <col customWidth="1" min="16" max="16" width="4.0"/>
    <col customWidth="1" min="17" max="17" width="47.0"/>
    <col customWidth="1" min="18" max="18" width="1.5"/>
    <col customWidth="1" min="20" max="20" width="2.25"/>
    <col customWidth="1" min="22" max="24" width="2.25"/>
  </cols>
  <sheetData>
    <row r="1" ht="9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5"/>
      <c r="AH1" s="25"/>
      <c r="AI1" s="25"/>
      <c r="AJ1" s="25"/>
      <c r="AK1" s="25"/>
    </row>
    <row r="2" ht="12.0" customHeight="1">
      <c r="A2" s="23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  <c r="T2" s="25"/>
      <c r="U2" s="25"/>
      <c r="V2" s="25"/>
      <c r="W2" s="25"/>
      <c r="X2" s="23"/>
      <c r="Y2" s="23"/>
      <c r="Z2" s="23"/>
      <c r="AA2" s="23"/>
      <c r="AB2" s="23"/>
      <c r="AC2" s="23"/>
      <c r="AD2" s="23"/>
      <c r="AE2" s="23"/>
      <c r="AF2" s="23"/>
      <c r="AG2" s="25"/>
      <c r="AH2" s="25"/>
      <c r="AI2" s="25"/>
      <c r="AJ2" s="25"/>
      <c r="AK2" s="25"/>
    </row>
    <row r="3" ht="8.25" customHeight="1">
      <c r="A3" s="23"/>
      <c r="B3" s="25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4"/>
      <c r="T3" s="23"/>
      <c r="U3" s="23"/>
      <c r="V3" s="23"/>
      <c r="W3" s="25"/>
      <c r="X3" s="23"/>
      <c r="Y3" s="23"/>
      <c r="Z3" s="23"/>
      <c r="AA3" s="23"/>
      <c r="AB3" s="23"/>
      <c r="AC3" s="23"/>
      <c r="AD3" s="23"/>
      <c r="AE3" s="23"/>
      <c r="AF3" s="23"/>
      <c r="AG3" s="25"/>
      <c r="AH3" s="25"/>
      <c r="AI3" s="25"/>
      <c r="AJ3" s="25"/>
      <c r="AK3" s="25"/>
    </row>
    <row r="4">
      <c r="A4" s="23"/>
      <c r="B4" s="25"/>
      <c r="C4" s="23"/>
      <c r="D4" s="23"/>
      <c r="E4" s="27" t="s">
        <v>13</v>
      </c>
      <c r="J4" s="23"/>
      <c r="K4" s="23"/>
      <c r="L4" s="28"/>
      <c r="M4" s="29"/>
      <c r="N4" s="29"/>
      <c r="O4" s="29"/>
      <c r="P4" s="29"/>
      <c r="Q4" s="29"/>
      <c r="R4" s="29"/>
      <c r="S4" s="30"/>
      <c r="T4" s="29"/>
      <c r="U4" s="31"/>
      <c r="V4" s="23"/>
      <c r="W4" s="25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5"/>
      <c r="AI4" s="25"/>
      <c r="AJ4" s="25"/>
      <c r="AK4" s="25"/>
    </row>
    <row r="5">
      <c r="A5" s="23"/>
      <c r="B5" s="25"/>
      <c r="C5" s="23"/>
      <c r="D5" s="23"/>
      <c r="E5" s="23"/>
      <c r="F5" s="23"/>
      <c r="G5" s="23"/>
      <c r="H5" s="23"/>
      <c r="I5" s="23"/>
      <c r="J5" s="23"/>
      <c r="K5" s="6"/>
      <c r="L5" s="32"/>
      <c r="M5" s="33" t="s">
        <v>14</v>
      </c>
      <c r="N5" s="23"/>
      <c r="O5" s="34">
        <v>0.04</v>
      </c>
      <c r="P5" s="23"/>
      <c r="Q5" s="6" t="s">
        <v>15</v>
      </c>
      <c r="R5" s="23"/>
      <c r="S5" s="35">
        <f>G7-(G7*O5)</f>
        <v>240</v>
      </c>
      <c r="T5" s="23"/>
      <c r="U5" s="36"/>
      <c r="V5" s="23"/>
      <c r="W5" s="25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5"/>
      <c r="AI5" s="25"/>
      <c r="AJ5" s="25"/>
      <c r="AK5" s="25"/>
    </row>
    <row r="6" ht="10.5" customHeight="1">
      <c r="A6" s="23"/>
      <c r="B6" s="25"/>
      <c r="C6" s="23"/>
      <c r="D6" s="37"/>
      <c r="E6" s="38"/>
      <c r="F6" s="38"/>
      <c r="G6" s="38"/>
      <c r="H6" s="38"/>
      <c r="I6" s="38"/>
      <c r="J6" s="39"/>
      <c r="K6" s="23"/>
      <c r="L6" s="40"/>
      <c r="M6" s="23"/>
      <c r="N6" s="23"/>
      <c r="O6" s="23"/>
      <c r="P6" s="23"/>
      <c r="Q6" s="23"/>
      <c r="R6" s="23"/>
      <c r="S6" s="24"/>
      <c r="T6" s="23"/>
      <c r="U6" s="36"/>
      <c r="V6" s="23"/>
      <c r="W6" s="25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5"/>
      <c r="AI6" s="25"/>
      <c r="AJ6" s="25"/>
      <c r="AK6" s="25"/>
    </row>
    <row r="7">
      <c r="A7" s="23"/>
      <c r="B7" s="25"/>
      <c r="C7" s="23"/>
      <c r="D7" s="41"/>
      <c r="E7" s="6" t="s">
        <v>16</v>
      </c>
      <c r="F7" s="23"/>
      <c r="G7" s="42">
        <v>250.0</v>
      </c>
      <c r="H7" s="23"/>
      <c r="I7" s="23"/>
      <c r="J7" s="43"/>
      <c r="K7" s="6"/>
      <c r="L7" s="32"/>
      <c r="M7" s="6" t="s">
        <v>17</v>
      </c>
      <c r="N7" s="23"/>
      <c r="O7" s="44">
        <f>O9/S13</f>
        <v>30628.57143</v>
      </c>
      <c r="P7" s="23"/>
      <c r="Q7" s="6" t="s">
        <v>18</v>
      </c>
      <c r="R7" s="23"/>
      <c r="S7" s="45">
        <f>O7/S5</f>
        <v>127.6190476</v>
      </c>
      <c r="T7" s="23"/>
      <c r="U7" s="46">
        <f>S7-G11</f>
        <v>7.619047619</v>
      </c>
      <c r="V7" s="23"/>
      <c r="W7" s="25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5"/>
      <c r="AI7" s="25"/>
      <c r="AJ7" s="25"/>
      <c r="AK7" s="25"/>
    </row>
    <row r="8" ht="10.5" customHeight="1">
      <c r="A8" s="23"/>
      <c r="B8" s="25"/>
      <c r="C8" s="23"/>
      <c r="D8" s="47"/>
      <c r="E8" s="23"/>
      <c r="F8" s="23"/>
      <c r="G8" s="23"/>
      <c r="H8" s="23"/>
      <c r="I8" s="48" t="s">
        <v>19</v>
      </c>
      <c r="J8" s="49"/>
      <c r="K8" s="23"/>
      <c r="L8" s="40"/>
      <c r="M8" s="23"/>
      <c r="N8" s="23"/>
      <c r="O8" s="23"/>
      <c r="P8" s="23"/>
      <c r="Q8" s="23"/>
      <c r="R8" s="23"/>
      <c r="S8" s="24"/>
      <c r="T8" s="23"/>
      <c r="U8" s="50" t="s">
        <v>20</v>
      </c>
      <c r="V8" s="23"/>
      <c r="W8" s="25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5"/>
      <c r="AI8" s="25"/>
      <c r="AJ8" s="25"/>
      <c r="AK8" s="25"/>
    </row>
    <row r="9">
      <c r="A9" s="23"/>
      <c r="B9" s="25"/>
      <c r="C9" s="23"/>
      <c r="D9" s="41"/>
      <c r="E9" s="6" t="s">
        <v>21</v>
      </c>
      <c r="F9" s="23"/>
      <c r="G9" s="42">
        <v>30000.0</v>
      </c>
      <c r="H9" s="23"/>
      <c r="I9" s="51">
        <f>G9*12</f>
        <v>360000</v>
      </c>
      <c r="J9" s="43"/>
      <c r="K9" s="6"/>
      <c r="L9" s="32"/>
      <c r="M9" s="6" t="s">
        <v>22</v>
      </c>
      <c r="N9" s="23"/>
      <c r="O9" s="52">
        <f>O11+O13</f>
        <v>20100</v>
      </c>
      <c r="P9" s="23"/>
      <c r="Q9" s="53" t="s">
        <v>23</v>
      </c>
      <c r="R9" s="54"/>
      <c r="S9" s="55">
        <f>I13/S5</f>
        <v>0.34375</v>
      </c>
      <c r="T9" s="23"/>
      <c r="U9" s="36"/>
      <c r="V9" s="23"/>
      <c r="W9" s="25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5"/>
      <c r="AI9" s="25"/>
      <c r="AJ9" s="25"/>
      <c r="AK9" s="25"/>
    </row>
    <row r="10" ht="10.5" customHeight="1">
      <c r="A10" s="23"/>
      <c r="B10" s="25"/>
      <c r="C10" s="23"/>
      <c r="D10" s="47"/>
      <c r="E10" s="23"/>
      <c r="F10" s="23"/>
      <c r="G10" s="23"/>
      <c r="H10" s="23"/>
      <c r="I10" s="23"/>
      <c r="J10" s="49"/>
      <c r="K10" s="23"/>
      <c r="L10" s="40"/>
      <c r="M10" s="23"/>
      <c r="N10" s="23"/>
      <c r="O10" s="23"/>
      <c r="P10" s="23"/>
      <c r="Q10" s="23"/>
      <c r="R10" s="23"/>
      <c r="S10" s="24"/>
      <c r="T10" s="23"/>
      <c r="U10" s="36"/>
      <c r="V10" s="23"/>
      <c r="W10" s="25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5"/>
      <c r="AI10" s="25"/>
      <c r="AJ10" s="25"/>
      <c r="AK10" s="25"/>
    </row>
    <row r="11">
      <c r="A11" s="23"/>
      <c r="B11" s="25"/>
      <c r="C11" s="23"/>
      <c r="D11" s="41"/>
      <c r="E11" s="6" t="s">
        <v>18</v>
      </c>
      <c r="F11" s="23"/>
      <c r="G11" s="56">
        <f>G9/G7</f>
        <v>120</v>
      </c>
      <c r="H11" s="23"/>
      <c r="I11" s="57">
        <f>G11*12</f>
        <v>1440</v>
      </c>
      <c r="J11" s="43"/>
      <c r="K11" s="6"/>
      <c r="L11" s="32"/>
      <c r="M11" s="6" t="s">
        <v>24</v>
      </c>
      <c r="N11" s="23"/>
      <c r="O11" s="42">
        <v>11500.0</v>
      </c>
      <c r="P11" s="23"/>
      <c r="Q11" s="6" t="s">
        <v>25</v>
      </c>
      <c r="R11" s="23"/>
      <c r="S11" s="58">
        <f>S7*I13</f>
        <v>10528.57143</v>
      </c>
      <c r="T11" s="23"/>
      <c r="U11" s="36"/>
      <c r="V11" s="23"/>
      <c r="W11" s="25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5"/>
      <c r="AI11" s="25"/>
      <c r="AJ11" s="25"/>
      <c r="AK11" s="25"/>
    </row>
    <row r="12" ht="10.5" customHeight="1">
      <c r="A12" s="23"/>
      <c r="B12" s="25"/>
      <c r="C12" s="23"/>
      <c r="D12" s="47"/>
      <c r="E12" s="23"/>
      <c r="F12" s="23"/>
      <c r="G12" s="23"/>
      <c r="H12" s="23"/>
      <c r="I12" s="59" t="s">
        <v>26</v>
      </c>
      <c r="J12" s="49"/>
      <c r="K12" s="23"/>
      <c r="L12" s="40"/>
      <c r="M12" s="23"/>
      <c r="N12" s="23"/>
      <c r="O12" s="23"/>
      <c r="P12" s="23"/>
      <c r="Q12" s="23"/>
      <c r="R12" s="23"/>
      <c r="S12" s="24"/>
      <c r="T12" s="23"/>
      <c r="U12" s="60" t="s">
        <v>26</v>
      </c>
      <c r="V12" s="23"/>
      <c r="W12" s="25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5"/>
      <c r="AI12" s="25"/>
      <c r="AJ12" s="25"/>
      <c r="AK12" s="25"/>
    </row>
    <row r="13">
      <c r="A13" s="23"/>
      <c r="B13" s="25"/>
      <c r="C13" s="23"/>
      <c r="D13" s="41"/>
      <c r="E13" s="6" t="s">
        <v>27</v>
      </c>
      <c r="F13" s="23"/>
      <c r="G13" s="34">
        <v>0.33</v>
      </c>
      <c r="H13" s="23"/>
      <c r="I13" s="61">
        <f>G7*G13</f>
        <v>82.5</v>
      </c>
      <c r="J13" s="43"/>
      <c r="K13" s="23"/>
      <c r="L13" s="40"/>
      <c r="M13" s="6" t="s">
        <v>28</v>
      </c>
      <c r="N13" s="23"/>
      <c r="O13" s="62">
        <f>G25</f>
        <v>8600</v>
      </c>
      <c r="P13" s="23"/>
      <c r="Q13" s="6" t="s">
        <v>6</v>
      </c>
      <c r="R13" s="23"/>
      <c r="S13" s="63">
        <f>(S5-I13)/S5</f>
        <v>0.65625</v>
      </c>
      <c r="T13" s="23"/>
      <c r="U13" s="64">
        <f>I13</f>
        <v>82.5</v>
      </c>
      <c r="V13" s="23"/>
      <c r="W13" s="25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5"/>
      <c r="AI13" s="25"/>
      <c r="AJ13" s="25"/>
      <c r="AK13" s="25"/>
    </row>
    <row r="14">
      <c r="A14" s="23"/>
      <c r="B14" s="25"/>
      <c r="C14" s="23"/>
      <c r="D14" s="47"/>
      <c r="E14" s="23"/>
      <c r="F14" s="23"/>
      <c r="G14" s="23"/>
      <c r="H14" s="23"/>
      <c r="I14" s="62">
        <f>I13*G11</f>
        <v>9900</v>
      </c>
      <c r="J14" s="43"/>
      <c r="K14" s="23"/>
      <c r="L14" s="65"/>
      <c r="M14" s="66"/>
      <c r="N14" s="66"/>
      <c r="O14" s="66"/>
      <c r="P14" s="66"/>
      <c r="Q14" s="66"/>
      <c r="R14" s="66"/>
      <c r="S14" s="67"/>
      <c r="T14" s="66"/>
      <c r="U14" s="68"/>
      <c r="V14" s="23"/>
      <c r="W14" s="25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5"/>
      <c r="AI14" s="25"/>
      <c r="AJ14" s="25"/>
      <c r="AK14" s="25"/>
    </row>
    <row r="15">
      <c r="A15" s="23"/>
      <c r="B15" s="25"/>
      <c r="C15" s="23"/>
      <c r="D15" s="41"/>
      <c r="E15" s="23"/>
      <c r="F15" s="23"/>
      <c r="G15" s="23"/>
      <c r="H15" s="23"/>
      <c r="I15" s="23"/>
      <c r="J15" s="43"/>
      <c r="K15" s="23"/>
      <c r="L15" s="23"/>
      <c r="M15" s="23"/>
      <c r="N15" s="23"/>
      <c r="O15" s="23"/>
      <c r="P15" s="23"/>
      <c r="Q15" s="23"/>
      <c r="R15" s="23"/>
      <c r="S15" s="24"/>
      <c r="T15" s="23"/>
      <c r="U15" s="23"/>
      <c r="V15" s="23"/>
      <c r="W15" s="25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5"/>
      <c r="AI15" s="25"/>
      <c r="AJ15" s="25"/>
      <c r="AK15" s="25"/>
    </row>
    <row r="16" ht="8.25" customHeight="1">
      <c r="A16" s="23"/>
      <c r="B16" s="25"/>
      <c r="C16" s="23"/>
      <c r="D16" s="47"/>
      <c r="E16" s="23"/>
      <c r="F16" s="23"/>
      <c r="G16" s="23"/>
      <c r="H16" s="23"/>
      <c r="I16" s="23"/>
      <c r="J16" s="43"/>
      <c r="K16" s="23"/>
      <c r="L16" s="69"/>
      <c r="M16" s="70"/>
      <c r="N16" s="70"/>
      <c r="O16" s="70"/>
      <c r="P16" s="70"/>
      <c r="Q16" s="71"/>
      <c r="R16" s="70"/>
      <c r="S16" s="72"/>
      <c r="T16" s="70"/>
      <c r="U16" s="73"/>
      <c r="V16" s="23"/>
      <c r="W16" s="25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5"/>
      <c r="AI16" s="25"/>
      <c r="AJ16" s="25"/>
      <c r="AK16" s="25"/>
    </row>
    <row r="17">
      <c r="A17" s="23"/>
      <c r="B17" s="25"/>
      <c r="C17" s="23"/>
      <c r="D17" s="47"/>
      <c r="E17" s="6" t="s">
        <v>29</v>
      </c>
      <c r="F17" s="23"/>
      <c r="G17" s="62">
        <f>G9-(G11*I13)</f>
        <v>20100</v>
      </c>
      <c r="H17" s="23"/>
      <c r="I17" s="6"/>
      <c r="J17" s="43"/>
      <c r="K17" s="23"/>
      <c r="L17" s="74"/>
      <c r="M17" s="75" t="s">
        <v>30</v>
      </c>
      <c r="N17" s="23"/>
      <c r="O17" s="34">
        <v>0.06</v>
      </c>
      <c r="P17" s="23"/>
      <c r="Q17" s="6" t="s">
        <v>31</v>
      </c>
      <c r="R17" s="23"/>
      <c r="S17" s="58">
        <f>G7</f>
        <v>250</v>
      </c>
      <c r="T17" s="23"/>
      <c r="U17" s="76"/>
      <c r="V17" s="23"/>
      <c r="W17" s="25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5"/>
      <c r="AI17" s="25"/>
      <c r="AJ17" s="25"/>
      <c r="AK17" s="25"/>
    </row>
    <row r="18" ht="9.75" customHeight="1">
      <c r="A18" s="23"/>
      <c r="B18" s="25"/>
      <c r="C18" s="23"/>
      <c r="D18" s="41"/>
      <c r="E18" s="23"/>
      <c r="F18" s="23"/>
      <c r="G18" s="23"/>
      <c r="H18" s="23"/>
      <c r="I18" s="23"/>
      <c r="J18" s="43"/>
      <c r="K18" s="23"/>
      <c r="L18" s="74"/>
      <c r="M18" s="23"/>
      <c r="N18" s="23"/>
      <c r="O18" s="23"/>
      <c r="P18" s="23"/>
      <c r="Q18" s="23"/>
      <c r="R18" s="23"/>
      <c r="S18" s="23"/>
      <c r="T18" s="23"/>
      <c r="U18" s="77"/>
      <c r="V18" s="23"/>
      <c r="W18" s="25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</row>
    <row r="19">
      <c r="A19" s="23"/>
      <c r="B19" s="25"/>
      <c r="C19" s="23"/>
      <c r="D19" s="47"/>
      <c r="E19" s="6" t="s">
        <v>6</v>
      </c>
      <c r="F19" s="23"/>
      <c r="G19" s="63">
        <f>G17/G9</f>
        <v>0.67</v>
      </c>
      <c r="H19" s="23"/>
      <c r="I19" s="6" t="s">
        <v>32</v>
      </c>
      <c r="J19" s="43"/>
      <c r="K19" s="23"/>
      <c r="L19" s="74"/>
      <c r="M19" s="6" t="s">
        <v>17</v>
      </c>
      <c r="N19" s="23"/>
      <c r="O19" s="78">
        <f>O21/S19</f>
        <v>31914.89362</v>
      </c>
      <c r="P19" s="23"/>
      <c r="Q19" s="23" t="str">
        <f>E19</f>
        <v>Gross Profit as a % of Sales</v>
      </c>
      <c r="R19" s="23"/>
      <c r="S19" s="63">
        <f>G19-(G19*O17)</f>
        <v>0.6298</v>
      </c>
      <c r="T19" s="23"/>
      <c r="U19" s="79">
        <f>G19-S19</f>
        <v>0.0402</v>
      </c>
      <c r="V19" s="23"/>
      <c r="W19" s="25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5"/>
      <c r="AI19" s="25"/>
      <c r="AJ19" s="25"/>
      <c r="AK19" s="25"/>
    </row>
    <row r="20" ht="9.75" customHeight="1">
      <c r="A20" s="23"/>
      <c r="B20" s="25"/>
      <c r="C20" s="23"/>
      <c r="D20" s="47"/>
      <c r="E20" s="6"/>
      <c r="F20" s="23"/>
      <c r="G20" s="63"/>
      <c r="H20" s="23"/>
      <c r="I20" s="6"/>
      <c r="J20" s="43"/>
      <c r="K20" s="23"/>
      <c r="L20" s="74"/>
      <c r="M20" s="6"/>
      <c r="N20" s="23"/>
      <c r="O20" s="78"/>
      <c r="P20" s="23"/>
      <c r="Q20" s="23"/>
      <c r="R20" s="23"/>
      <c r="S20" s="24"/>
      <c r="T20" s="23"/>
      <c r="U20" s="80"/>
      <c r="V20" s="23"/>
      <c r="W20" s="25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5"/>
      <c r="AI20" s="25"/>
      <c r="AJ20" s="25"/>
      <c r="AK20" s="25"/>
    </row>
    <row r="21">
      <c r="A21" s="23"/>
      <c r="B21" s="25"/>
      <c r="C21" s="23"/>
      <c r="D21" s="47"/>
      <c r="E21" s="6"/>
      <c r="F21" s="23"/>
      <c r="G21" s="63"/>
      <c r="H21" s="23"/>
      <c r="I21" s="6"/>
      <c r="J21" s="43"/>
      <c r="K21" s="23"/>
      <c r="L21" s="74"/>
      <c r="M21" s="23" t="str">
        <f>M9</f>
        <v>Gross Profit Target</v>
      </c>
      <c r="N21" s="23"/>
      <c r="O21" s="58">
        <f>O25+O23</f>
        <v>20100</v>
      </c>
      <c r="P21" s="23"/>
      <c r="Q21" s="6" t="s">
        <v>18</v>
      </c>
      <c r="R21" s="23"/>
      <c r="S21" s="81">
        <f>O19/S17</f>
        <v>127.6595745</v>
      </c>
      <c r="T21" s="23"/>
      <c r="U21" s="82">
        <f>S21-G11</f>
        <v>7.659574468</v>
      </c>
      <c r="V21" s="23"/>
      <c r="W21" s="25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5"/>
      <c r="AI21" s="25"/>
      <c r="AJ21" s="25"/>
      <c r="AK21" s="25"/>
    </row>
    <row r="22" ht="9.75" customHeight="1">
      <c r="A22" s="23"/>
      <c r="B22" s="25"/>
      <c r="C22" s="23"/>
      <c r="D22" s="47"/>
      <c r="E22" s="23"/>
      <c r="F22" s="23"/>
      <c r="G22" s="23"/>
      <c r="H22" s="23"/>
      <c r="I22" s="23"/>
      <c r="J22" s="43"/>
      <c r="K22" s="23"/>
      <c r="L22" s="74"/>
      <c r="M22" s="23"/>
      <c r="N22" s="23"/>
      <c r="O22" s="23"/>
      <c r="P22" s="23"/>
      <c r="Q22" s="23"/>
      <c r="R22" s="23"/>
      <c r="S22" s="24"/>
      <c r="T22" s="23"/>
      <c r="U22" s="83"/>
      <c r="V22" s="23"/>
      <c r="W22" s="25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5"/>
      <c r="AI22" s="25"/>
      <c r="AJ22" s="25"/>
      <c r="AK22" s="25"/>
    </row>
    <row r="23">
      <c r="A23" s="23"/>
      <c r="B23" s="25"/>
      <c r="C23" s="23"/>
      <c r="D23" s="47"/>
      <c r="E23" s="6" t="s">
        <v>24</v>
      </c>
      <c r="F23" s="23"/>
      <c r="G23" s="42">
        <v>11500.0</v>
      </c>
      <c r="H23" s="23"/>
      <c r="I23" s="84">
        <f>G23/G9</f>
        <v>0.3833333333</v>
      </c>
      <c r="J23" s="43"/>
      <c r="K23" s="23"/>
      <c r="L23" s="74"/>
      <c r="M23" s="6" t="s">
        <v>24</v>
      </c>
      <c r="N23" s="23"/>
      <c r="O23" s="85">
        <v>11500.0</v>
      </c>
      <c r="P23" s="23"/>
      <c r="Q23" s="6" t="s">
        <v>33</v>
      </c>
      <c r="R23" s="23"/>
      <c r="S23" s="63">
        <f>(O23-G23)/G23</f>
        <v>0</v>
      </c>
      <c r="T23" s="23"/>
      <c r="U23" s="77"/>
      <c r="V23" s="23"/>
      <c r="W23" s="25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5"/>
      <c r="AI23" s="25"/>
      <c r="AJ23" s="25"/>
      <c r="AK23" s="25"/>
    </row>
    <row r="24" ht="9.75" customHeight="1">
      <c r="A24" s="23"/>
      <c r="B24" s="25"/>
      <c r="C24" s="23"/>
      <c r="D24" s="47"/>
      <c r="E24" s="6"/>
      <c r="F24" s="6"/>
      <c r="G24" s="6"/>
      <c r="H24" s="6"/>
      <c r="I24" s="84"/>
      <c r="J24" s="43"/>
      <c r="K24" s="23"/>
      <c r="L24" s="74"/>
      <c r="M24" s="23"/>
      <c r="N24" s="23"/>
      <c r="O24" s="23"/>
      <c r="P24" s="23"/>
      <c r="Q24" s="23"/>
      <c r="R24" s="23"/>
      <c r="S24" s="24"/>
      <c r="T24" s="23"/>
      <c r="U24" s="60" t="s">
        <v>26</v>
      </c>
      <c r="V24" s="23"/>
      <c r="W24" s="25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/>
    </row>
    <row r="25">
      <c r="A25" s="23"/>
      <c r="B25" s="25"/>
      <c r="C25" s="23"/>
      <c r="D25" s="47"/>
      <c r="E25" s="6" t="s">
        <v>28</v>
      </c>
      <c r="F25" s="23"/>
      <c r="G25" s="62">
        <f>G17-G23</f>
        <v>8600</v>
      </c>
      <c r="H25" s="23"/>
      <c r="I25" s="84">
        <f>G25/G9</f>
        <v>0.2866666667</v>
      </c>
      <c r="J25" s="43"/>
      <c r="K25" s="23"/>
      <c r="L25" s="74"/>
      <c r="M25" s="6" t="s">
        <v>28</v>
      </c>
      <c r="N25" s="23"/>
      <c r="O25" s="62">
        <f>G25</f>
        <v>8600</v>
      </c>
      <c r="P25" s="23"/>
      <c r="Q25" s="6" t="s">
        <v>34</v>
      </c>
      <c r="R25" s="23"/>
      <c r="S25" s="51">
        <f>(100%-S19)*O19</f>
        <v>11814.89362</v>
      </c>
      <c r="T25" s="23"/>
      <c r="U25" s="86">
        <f>S25/S21</f>
        <v>92.55</v>
      </c>
      <c r="V25" s="23"/>
      <c r="W25" s="25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5"/>
      <c r="AI25" s="25"/>
      <c r="AJ25" s="25"/>
      <c r="AK25" s="25"/>
    </row>
    <row r="26" ht="12.75" customHeight="1">
      <c r="A26" s="23"/>
      <c r="B26" s="25"/>
      <c r="C26" s="23"/>
      <c r="D26" s="47"/>
      <c r="E26" s="87" t="s">
        <v>35</v>
      </c>
      <c r="F26" s="23"/>
      <c r="G26" s="23"/>
      <c r="H26" s="23"/>
      <c r="I26" s="88"/>
      <c r="J26" s="43"/>
      <c r="K26" s="23"/>
      <c r="L26" s="89"/>
      <c r="M26" s="90"/>
      <c r="N26" s="91"/>
      <c r="O26" s="91"/>
      <c r="P26" s="91"/>
      <c r="Q26" s="91"/>
      <c r="R26" s="91"/>
      <c r="S26" s="92"/>
      <c r="T26" s="91"/>
      <c r="U26" s="93"/>
      <c r="V26" s="23"/>
      <c r="W26" s="25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5"/>
      <c r="AI26" s="25"/>
      <c r="AJ26" s="25"/>
      <c r="AK26" s="25"/>
    </row>
    <row r="27">
      <c r="A27" s="23"/>
      <c r="B27" s="25"/>
      <c r="C27" s="23"/>
      <c r="D27" s="47"/>
      <c r="E27" s="6"/>
      <c r="F27" s="23"/>
      <c r="G27" s="23"/>
      <c r="H27" s="23"/>
      <c r="I27" s="88" t="s">
        <v>36</v>
      </c>
      <c r="J27" s="43"/>
      <c r="K27" s="23"/>
      <c r="L27" s="23"/>
      <c r="M27" s="23"/>
      <c r="N27" s="23"/>
      <c r="O27" s="23"/>
      <c r="P27" s="23"/>
      <c r="Q27" s="23"/>
      <c r="R27" s="23"/>
      <c r="S27" s="24"/>
      <c r="T27" s="23"/>
      <c r="U27" s="23"/>
      <c r="V27" s="23"/>
      <c r="W27" s="25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5"/>
      <c r="AI27" s="25"/>
      <c r="AJ27" s="25"/>
      <c r="AK27" s="25"/>
    </row>
    <row r="28">
      <c r="A28" s="23"/>
      <c r="B28" s="25"/>
      <c r="C28" s="23"/>
      <c r="D28" s="47"/>
      <c r="E28" s="6"/>
      <c r="F28" s="23"/>
      <c r="G28" s="23"/>
      <c r="H28" s="23"/>
      <c r="I28" s="84"/>
      <c r="J28" s="43"/>
      <c r="K28" s="23"/>
      <c r="L28" s="28"/>
      <c r="M28" s="29"/>
      <c r="N28" s="29"/>
      <c r="O28" s="29"/>
      <c r="P28" s="29"/>
      <c r="Q28" s="29"/>
      <c r="R28" s="29"/>
      <c r="S28" s="30"/>
      <c r="T28" s="29"/>
      <c r="U28" s="31"/>
      <c r="V28" s="23"/>
      <c r="W28" s="25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5"/>
      <c r="AI28" s="25"/>
      <c r="AJ28" s="25"/>
      <c r="AK28" s="25"/>
    </row>
    <row r="29" ht="24.0" customHeight="1">
      <c r="A29" s="23"/>
      <c r="B29" s="25"/>
      <c r="C29" s="23"/>
      <c r="D29" s="94"/>
      <c r="E29" s="95"/>
      <c r="F29" s="96"/>
      <c r="G29" s="96"/>
      <c r="H29" s="96"/>
      <c r="I29" s="96"/>
      <c r="J29" s="97"/>
      <c r="K29" s="6"/>
      <c r="L29" s="32"/>
      <c r="M29" s="98" t="s">
        <v>37</v>
      </c>
      <c r="N29" s="23"/>
      <c r="O29" s="34">
        <v>0.5</v>
      </c>
      <c r="P29" s="23"/>
      <c r="Q29" s="6" t="s">
        <v>38</v>
      </c>
      <c r="R29" s="23"/>
      <c r="S29" s="35">
        <f>G7+(G7*O29)</f>
        <v>375</v>
      </c>
      <c r="T29" s="23"/>
      <c r="U29" s="36"/>
      <c r="V29" s="23"/>
      <c r="W29" s="25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5"/>
      <c r="AI29" s="25"/>
      <c r="AJ29" s="25"/>
      <c r="AK29" s="25"/>
    </row>
    <row r="30" ht="10.5" customHeight="1">
      <c r="A30" s="23"/>
      <c r="B30" s="25"/>
      <c r="C30" s="23"/>
      <c r="D30" s="6"/>
      <c r="E30" s="6"/>
      <c r="F30" s="6"/>
      <c r="G30" s="6"/>
      <c r="H30" s="6"/>
      <c r="I30" s="6"/>
      <c r="J30" s="6"/>
      <c r="K30" s="6"/>
      <c r="L30" s="40"/>
      <c r="M30" s="23"/>
      <c r="N30" s="23"/>
      <c r="O30" s="23"/>
      <c r="P30" s="23"/>
      <c r="Q30" s="23"/>
      <c r="R30" s="23"/>
      <c r="S30" s="24"/>
      <c r="T30" s="23"/>
      <c r="U30" s="36"/>
      <c r="V30" s="23"/>
      <c r="W30" s="25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</row>
    <row r="31">
      <c r="A31" s="23"/>
      <c r="B31" s="25"/>
      <c r="C31" s="23"/>
      <c r="D31" s="23"/>
      <c r="E31" s="6"/>
      <c r="F31" s="6"/>
      <c r="G31" s="6"/>
      <c r="H31" s="6"/>
      <c r="I31" s="6"/>
      <c r="J31" s="6"/>
      <c r="K31" s="23"/>
      <c r="L31" s="32"/>
      <c r="M31" s="6" t="s">
        <v>17</v>
      </c>
      <c r="N31" s="23"/>
      <c r="O31" s="99">
        <f>O33/S37</f>
        <v>25769.23077</v>
      </c>
      <c r="P31" s="23"/>
      <c r="Q31" s="6" t="s">
        <v>18</v>
      </c>
      <c r="R31" s="23"/>
      <c r="S31" s="100">
        <f>O31/S29</f>
        <v>68.71794872</v>
      </c>
      <c r="T31" s="23"/>
      <c r="U31" s="101">
        <f>G11-S31</f>
        <v>51.28205128</v>
      </c>
      <c r="V31" s="23"/>
      <c r="W31" s="25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5"/>
      <c r="AI31" s="25"/>
      <c r="AJ31" s="25"/>
      <c r="AK31" s="25"/>
    </row>
    <row r="3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6"/>
      <c r="L32" s="40"/>
      <c r="M32" s="23"/>
      <c r="N32" s="23"/>
      <c r="O32" s="23"/>
      <c r="P32" s="23"/>
      <c r="Q32" s="23"/>
      <c r="R32" s="23"/>
      <c r="S32" s="24"/>
      <c r="T32" s="23"/>
      <c r="U32" s="50" t="s">
        <v>20</v>
      </c>
      <c r="V32" s="23"/>
      <c r="W32" s="25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</row>
    <row r="33" ht="22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3"/>
      <c r="L33" s="32"/>
      <c r="M33" s="6" t="s">
        <v>22</v>
      </c>
      <c r="N33" s="23"/>
      <c r="O33" s="52">
        <f>O35+O37</f>
        <v>20100</v>
      </c>
      <c r="P33" s="23"/>
      <c r="Q33" s="102" t="s">
        <v>39</v>
      </c>
      <c r="R33" s="103"/>
      <c r="S33" s="104">
        <f>I13/S29</f>
        <v>0.22</v>
      </c>
      <c r="T33" s="23"/>
      <c r="U33" s="36"/>
      <c r="V33" s="23"/>
      <c r="W33" s="25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5"/>
      <c r="AI33" s="25"/>
      <c r="AJ33" s="25"/>
      <c r="AK33" s="25"/>
    </row>
    <row r="34" ht="10.5" customHeight="1">
      <c r="A34" s="23"/>
      <c r="B34" s="25"/>
      <c r="C34" s="23"/>
      <c r="D34" s="105"/>
      <c r="E34" s="106"/>
      <c r="F34" s="106"/>
      <c r="G34" s="106"/>
      <c r="H34" s="106"/>
      <c r="I34" s="106"/>
      <c r="J34" s="107"/>
      <c r="K34" s="6"/>
      <c r="L34" s="40"/>
      <c r="M34" s="23"/>
      <c r="N34" s="23"/>
      <c r="O34" s="23"/>
      <c r="P34" s="23"/>
      <c r="Q34" s="23"/>
      <c r="R34" s="23"/>
      <c r="S34" s="24"/>
      <c r="T34" s="23"/>
      <c r="U34" s="36"/>
      <c r="V34" s="23"/>
      <c r="W34" s="25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</row>
    <row r="35" ht="22.5" customHeight="1">
      <c r="A35" s="23"/>
      <c r="B35" s="25"/>
      <c r="C35" s="23"/>
      <c r="D35" s="108"/>
      <c r="E35" s="6" t="s">
        <v>40</v>
      </c>
      <c r="F35" s="23"/>
      <c r="G35" s="42">
        <v>15000.0</v>
      </c>
      <c r="H35" s="23"/>
      <c r="I35" s="51">
        <f>G35*12</f>
        <v>180000</v>
      </c>
      <c r="J35" s="109"/>
      <c r="K35" s="23"/>
      <c r="L35" s="32"/>
      <c r="M35" s="6" t="s">
        <v>24</v>
      </c>
      <c r="N35" s="23"/>
      <c r="O35" s="42">
        <v>11500.0</v>
      </c>
      <c r="P35" s="23"/>
      <c r="Q35" s="6" t="s">
        <v>41</v>
      </c>
      <c r="R35" s="23"/>
      <c r="S35" s="58">
        <f>I13*S31</f>
        <v>5669.230769</v>
      </c>
      <c r="T35" s="23"/>
      <c r="U35" s="36"/>
      <c r="V35" s="23"/>
      <c r="W35" s="25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5"/>
      <c r="AI35" s="25"/>
      <c r="AJ35" s="25"/>
      <c r="AK35" s="25"/>
    </row>
    <row r="36" ht="10.5" customHeight="1">
      <c r="A36" s="23"/>
      <c r="B36" s="25"/>
      <c r="C36" s="23"/>
      <c r="D36" s="108"/>
      <c r="E36" s="87" t="s">
        <v>42</v>
      </c>
      <c r="F36" s="23"/>
      <c r="G36" s="23"/>
      <c r="H36" s="23"/>
      <c r="I36" s="48" t="s">
        <v>19</v>
      </c>
      <c r="J36" s="109"/>
      <c r="K36" s="23"/>
      <c r="L36" s="40"/>
      <c r="M36" s="23"/>
      <c r="N36" s="23"/>
      <c r="O36" s="23"/>
      <c r="P36" s="23"/>
      <c r="Q36" s="23"/>
      <c r="R36" s="23"/>
      <c r="S36" s="24"/>
      <c r="T36" s="23"/>
      <c r="U36" s="60" t="s">
        <v>26</v>
      </c>
      <c r="V36" s="23"/>
      <c r="W36" s="25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</row>
    <row r="37">
      <c r="A37" s="23"/>
      <c r="B37" s="25"/>
      <c r="C37" s="23"/>
      <c r="D37" s="108"/>
      <c r="E37" s="6" t="s">
        <v>43</v>
      </c>
      <c r="F37" s="23"/>
      <c r="G37" s="62">
        <f>G35/I25</f>
        <v>52325.5814</v>
      </c>
      <c r="H37" s="23"/>
      <c r="I37" s="51">
        <f>G37*12</f>
        <v>627906.9767</v>
      </c>
      <c r="J37" s="109"/>
      <c r="K37" s="23"/>
      <c r="L37" s="40"/>
      <c r="M37" s="6" t="s">
        <v>28</v>
      </c>
      <c r="N37" s="23"/>
      <c r="O37" s="62">
        <f>G25</f>
        <v>8600</v>
      </c>
      <c r="P37" s="23"/>
      <c r="Q37" s="23" t="str">
        <f>E19</f>
        <v>Gross Profit as a % of Sales</v>
      </c>
      <c r="R37" s="23"/>
      <c r="S37" s="63">
        <f>(S29-I13)/S29</f>
        <v>0.78</v>
      </c>
      <c r="T37" s="23"/>
      <c r="U37" s="64">
        <f>I13</f>
        <v>82.5</v>
      </c>
      <c r="V37" s="23"/>
      <c r="W37" s="25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5"/>
      <c r="AI37" s="25"/>
      <c r="AJ37" s="25"/>
      <c r="AK37" s="25"/>
    </row>
    <row r="38">
      <c r="A38" s="23"/>
      <c r="B38" s="25"/>
      <c r="C38" s="23"/>
      <c r="D38" s="110"/>
      <c r="E38" s="111"/>
      <c r="F38" s="111"/>
      <c r="G38" s="111"/>
      <c r="H38" s="111"/>
      <c r="I38" s="111"/>
      <c r="J38" s="112"/>
      <c r="K38" s="23"/>
      <c r="L38" s="65"/>
      <c r="M38" s="66"/>
      <c r="N38" s="66"/>
      <c r="O38" s="66"/>
      <c r="P38" s="66"/>
      <c r="Q38" s="66"/>
      <c r="R38" s="66"/>
      <c r="S38" s="67"/>
      <c r="T38" s="66"/>
      <c r="U38" s="68"/>
      <c r="V38" s="23"/>
      <c r="W38" s="25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</row>
    <row r="39" ht="12.0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5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5"/>
      <c r="AI39" s="25"/>
      <c r="AJ39" s="25"/>
      <c r="AK39" s="25"/>
    </row>
    <row r="40" ht="11.25" customHeight="1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5"/>
      <c r="AI41" s="25"/>
      <c r="AJ41" s="25"/>
      <c r="AK41" s="25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</row>
    <row r="43">
      <c r="A43" s="23"/>
      <c r="B43" s="23"/>
      <c r="C43" s="23"/>
      <c r="D43" s="23"/>
      <c r="E43" s="113" t="s">
        <v>44</v>
      </c>
      <c r="F43" s="114"/>
      <c r="G43" s="114"/>
      <c r="H43" s="114"/>
      <c r="I43" s="115">
        <f>I9-I37</f>
        <v>-267906.9767</v>
      </c>
      <c r="J43" s="23"/>
      <c r="K43" s="23"/>
      <c r="L43" s="23"/>
      <c r="M43" s="23"/>
      <c r="N43" s="23"/>
      <c r="O43" s="23"/>
      <c r="P43" s="23"/>
      <c r="Q43" s="23"/>
      <c r="R43" s="23"/>
      <c r="S43" s="24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5"/>
      <c r="AI43" s="25"/>
      <c r="AJ43" s="25"/>
      <c r="AK43" s="25"/>
    </row>
    <row r="44">
      <c r="A44" s="23"/>
      <c r="B44" s="23"/>
      <c r="C44" s="23"/>
      <c r="D44" s="23"/>
      <c r="E44" s="114"/>
      <c r="F44" s="114"/>
      <c r="G44" s="114"/>
      <c r="H44" s="114"/>
      <c r="I44" s="114"/>
      <c r="J44" s="23"/>
      <c r="K44" s="23"/>
      <c r="L44" s="23"/>
      <c r="M44" s="23"/>
      <c r="N44" s="23"/>
      <c r="O44" s="23"/>
      <c r="P44" s="23"/>
      <c r="Q44" s="23"/>
      <c r="R44" s="23"/>
      <c r="S44" s="24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</row>
    <row r="45">
      <c r="A45" s="23"/>
      <c r="B45" s="23"/>
      <c r="C45" s="23"/>
      <c r="D45" s="23"/>
      <c r="E45" s="113" t="s">
        <v>45</v>
      </c>
      <c r="F45" s="114"/>
      <c r="G45" s="114"/>
      <c r="H45" s="114"/>
      <c r="I45" s="116">
        <f>(I37-I9)/I9</f>
        <v>0.7441860465</v>
      </c>
      <c r="J45" s="23"/>
      <c r="K45" s="23"/>
      <c r="L45" s="23"/>
      <c r="M45" s="23"/>
      <c r="N45" s="23"/>
      <c r="O45" s="23"/>
      <c r="P45" s="23"/>
      <c r="Q45" s="23"/>
      <c r="R45" s="23"/>
      <c r="S45" s="24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5"/>
      <c r="AI45" s="25"/>
      <c r="AJ45" s="25"/>
      <c r="AK45" s="25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5"/>
      <c r="AI47" s="25"/>
      <c r="AJ47" s="25"/>
      <c r="AK47" s="25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4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5"/>
      <c r="AI49" s="25"/>
      <c r="AJ49" s="25"/>
      <c r="AK49" s="25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4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4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5"/>
      <c r="AI51" s="25"/>
      <c r="AJ51" s="25"/>
      <c r="AK51" s="25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4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5"/>
      <c r="AI53" s="25"/>
      <c r="AJ53" s="25"/>
      <c r="AK53" s="25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4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4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5"/>
      <c r="AI55" s="25"/>
      <c r="AJ55" s="25"/>
      <c r="AK55" s="25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4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5"/>
      <c r="AI57" s="25"/>
      <c r="AJ57" s="25"/>
      <c r="AK57" s="25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4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4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5"/>
      <c r="AI59" s="25"/>
      <c r="AJ59" s="25"/>
      <c r="AK59" s="25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4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4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5"/>
      <c r="AI61" s="25"/>
      <c r="AJ61" s="25"/>
      <c r="AK61" s="25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4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5"/>
      <c r="AI62" s="25"/>
      <c r="AJ62" s="25"/>
      <c r="AK62" s="25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5"/>
      <c r="AI63" s="25"/>
      <c r="AJ63" s="25"/>
      <c r="AK63" s="25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5"/>
      <c r="AI64" s="25"/>
      <c r="AJ64" s="25"/>
      <c r="AK64" s="25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4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5"/>
      <c r="AI65" s="25"/>
      <c r="AJ65" s="25"/>
      <c r="AK65" s="25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4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5"/>
      <c r="AI66" s="25"/>
      <c r="AJ66" s="25"/>
      <c r="AK66" s="25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4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5"/>
      <c r="AI67" s="25"/>
      <c r="AJ67" s="25"/>
      <c r="AK67" s="25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4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5"/>
      <c r="AI68" s="25"/>
      <c r="AJ68" s="25"/>
      <c r="AK68" s="25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4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5"/>
      <c r="AI69" s="25"/>
      <c r="AJ69" s="25"/>
      <c r="AK69" s="25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5"/>
      <c r="AI70" s="25"/>
      <c r="AJ70" s="25"/>
      <c r="AK70" s="25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4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5"/>
      <c r="AI71" s="25"/>
      <c r="AJ71" s="25"/>
      <c r="AK71" s="25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5"/>
      <c r="AH72" s="25"/>
      <c r="AI72" s="25"/>
      <c r="AJ72" s="25"/>
      <c r="AK72" s="25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4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5"/>
      <c r="AH73" s="25"/>
      <c r="AI73" s="25"/>
      <c r="AJ73" s="25"/>
      <c r="AK73" s="25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4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5"/>
      <c r="AH74" s="25"/>
      <c r="AI74" s="25"/>
      <c r="AJ74" s="25"/>
      <c r="AK74" s="25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4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5"/>
      <c r="AH75" s="25"/>
      <c r="AI75" s="25"/>
      <c r="AJ75" s="25"/>
      <c r="AK75" s="25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4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5"/>
      <c r="AH76" s="25"/>
      <c r="AI76" s="25"/>
      <c r="AJ76" s="25"/>
      <c r="AK76" s="25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4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5"/>
      <c r="AH77" s="25"/>
      <c r="AI77" s="25"/>
      <c r="AJ77" s="25"/>
      <c r="AK77" s="25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4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5"/>
      <c r="AH78" s="25"/>
      <c r="AI78" s="25"/>
      <c r="AJ78" s="25"/>
      <c r="AK78" s="25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4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5"/>
      <c r="AH79" s="25"/>
      <c r="AI79" s="25"/>
      <c r="AJ79" s="25"/>
      <c r="AK79" s="25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5"/>
      <c r="AH80" s="25"/>
      <c r="AI80" s="25"/>
      <c r="AJ80" s="25"/>
      <c r="AK80" s="25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4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5"/>
      <c r="AH81" s="25"/>
      <c r="AI81" s="25"/>
      <c r="AJ81" s="25"/>
      <c r="AK81" s="25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4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5"/>
      <c r="AH82" s="25"/>
      <c r="AI82" s="25"/>
      <c r="AJ82" s="25"/>
      <c r="AK82" s="25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4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5"/>
      <c r="AH83" s="25"/>
      <c r="AI83" s="25"/>
      <c r="AJ83" s="25"/>
      <c r="AK83" s="25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4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5"/>
      <c r="AH84" s="25"/>
      <c r="AI84" s="25"/>
      <c r="AJ84" s="25"/>
      <c r="AK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6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6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6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6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6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6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6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6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6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6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6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6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6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6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6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6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6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6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6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6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6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6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6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6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6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6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6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6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6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6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6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6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6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6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6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6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6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6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6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6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6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6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6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6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6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6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6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6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6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6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6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6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6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6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6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6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6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6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6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6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6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6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6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6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6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6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6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6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6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6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6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6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6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6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6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6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6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6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6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6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6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6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6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6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6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6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6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6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6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6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6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6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6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6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6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6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6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6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6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6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6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6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6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6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6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6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6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6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6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6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6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6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6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6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6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6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6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6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6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6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6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6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6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6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6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6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6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6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6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6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6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6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6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6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6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6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6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6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6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6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6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6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6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6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6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6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6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6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6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6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6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6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6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6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6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6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6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6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6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6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6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6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6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6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6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6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6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6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6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6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6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6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6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6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6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6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6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6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6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6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6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6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6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6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6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6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6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6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6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6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6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6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6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6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6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6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6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6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6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6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6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6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6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6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6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6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6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6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6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6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6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6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6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6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6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6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6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6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6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6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6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6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6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6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6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6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6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6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6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6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6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6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6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6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6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6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6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6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6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6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6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6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6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6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6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6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6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6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6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6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6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6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6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6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6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6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6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6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6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6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6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6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6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6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6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6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6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6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6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6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6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6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6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6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6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6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6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6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6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6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6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6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6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6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6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6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6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6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6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6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6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6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6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6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6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6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6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6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6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6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6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6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6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6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6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6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6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6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6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6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6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6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6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6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6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6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6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6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6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6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6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6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6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6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6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6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6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6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6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6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6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6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6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6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6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6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6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6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6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6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6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6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6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6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6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6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6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6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6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6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6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6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6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6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6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6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6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6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6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6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6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6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6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6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6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6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6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6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6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6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6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6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6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6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6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6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6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6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6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6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6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6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6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6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6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6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6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6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6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6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6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6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6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6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6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6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6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6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6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6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6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6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6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6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6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6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6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6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6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6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6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6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6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6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6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6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6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6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6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6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6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6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6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6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6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6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6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6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6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6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6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6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6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6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6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6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6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6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6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6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6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6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6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6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6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6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6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6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6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6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6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6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6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6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6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6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6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6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6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6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6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6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6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6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6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6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6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6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6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6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6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6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6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6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6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6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6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6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6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6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6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6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6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6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6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6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6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6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6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6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6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6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6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6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6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6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6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6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6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6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6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6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6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6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6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6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6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6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6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6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6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6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6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6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6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6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6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6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6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6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6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6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6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6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6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6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6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6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6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6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6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6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6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6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6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6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6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6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6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6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6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6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6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6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6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6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6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6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6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6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6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6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6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6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6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6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6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6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6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6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6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6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6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6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6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6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6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6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6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6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6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6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6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6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6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6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6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6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6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6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6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6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6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6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6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6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6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6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6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6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6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6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6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6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6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6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6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6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6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6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6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6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6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6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6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6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6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6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6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6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6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6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6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6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6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6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6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6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6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6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6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6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6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6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6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6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6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6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6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6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6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6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6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6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6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6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6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6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6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6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6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6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6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6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6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6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6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6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6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6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6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6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6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6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6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6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6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6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6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6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6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6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6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6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6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6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6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6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6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6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6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6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6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6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6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6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6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6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6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6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6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6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6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6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6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6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6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6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6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6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6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6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6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</row>
  </sheetData>
  <mergeCells count="1">
    <mergeCell ref="E4:I4"/>
  </mergeCells>
  <drawing r:id="rId1"/>
</worksheet>
</file>