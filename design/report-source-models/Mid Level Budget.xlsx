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udget Figures" sheetId="2" r:id="rId6"/>
    <sheet state="visible" name="Actual Figures" sheetId="3" r:id="rId7"/>
    <sheet state="visible" name="Cashflow Variances" sheetId="4" r:id="rId8"/>
    <sheet state="visible" name="Reports" sheetId="5" r:id="rId9"/>
  </sheets>
  <definedNames/>
  <calcPr/>
</workbook>
</file>

<file path=xl/sharedStrings.xml><?xml version="1.0" encoding="utf-8"?>
<sst xmlns="http://schemas.openxmlformats.org/spreadsheetml/2006/main" count="219" uniqueCount="84">
  <si>
    <t>Collection of debtors</t>
  </si>
  <si>
    <t>Make sure you gain client involvement for these inputs</t>
  </si>
  <si>
    <t>Enter collection percentages</t>
  </si>
  <si>
    <t>Sales</t>
  </si>
  <si>
    <t>Debtors/Cash collected in the same month as sale</t>
  </si>
  <si>
    <t>Current Month</t>
  </si>
  <si>
    <t>Debtors collected in the first month following sale</t>
  </si>
  <si>
    <t>1st Month Following</t>
  </si>
  <si>
    <t>Debtors collected in the second month following sale</t>
  </si>
  <si>
    <t>2nd Month Following</t>
  </si>
  <si>
    <t>Debtors collected in the third month following sale</t>
  </si>
  <si>
    <t>3rd Month Following</t>
  </si>
  <si>
    <t>Debtors collected in the fourth month following sale</t>
  </si>
  <si>
    <t>4th Month Following</t>
  </si>
  <si>
    <t>balance</t>
  </si>
  <si>
    <t>Payment of inventory purchases, creditors'</t>
  </si>
  <si>
    <t>Enter payment percentages for inventory purchases</t>
  </si>
  <si>
    <t>Material/Product Purchases</t>
  </si>
  <si>
    <t>Creditors paid in the same month as invoice</t>
  </si>
  <si>
    <t>Creditors paid in the first month following invoice</t>
  </si>
  <si>
    <t>Creditors paid in the second month following invoice</t>
  </si>
  <si>
    <t>Creditors paid in the third month following invoice</t>
  </si>
  <si>
    <t>Creditors paid in the fourth month following invoice</t>
  </si>
  <si>
    <t>Use the clear cell area below to add your own calculations regarding purchases and sales or, use an industry specific revenue model available in Advisor-e.</t>
  </si>
  <si>
    <t>Goods &amp; Sales Tax %</t>
  </si>
  <si>
    <t xml:space="preserve">FORECAST MONTHLY CASHFLOW: </t>
  </si>
  <si>
    <t>Year to Date</t>
  </si>
  <si>
    <t>DEPOSITS</t>
  </si>
  <si>
    <t>Tax Rebates</t>
  </si>
  <si>
    <t>Interest Received</t>
  </si>
  <si>
    <t>Capital Introduced</t>
  </si>
  <si>
    <t>Other</t>
  </si>
  <si>
    <t>Non GST Related Sales</t>
  </si>
  <si>
    <t>SUBTOTAL DEPOSITS RECEIVED:</t>
  </si>
  <si>
    <t>VARIABLE (JOB RELATED) COSTS</t>
  </si>
  <si>
    <t>PAYMENTS MADE</t>
  </si>
  <si>
    <t>GROSS PROFIT</t>
  </si>
  <si>
    <t>EXPENSES</t>
  </si>
  <si>
    <t>Car</t>
  </si>
  <si>
    <t>Bank Fees</t>
  </si>
  <si>
    <t>Credit Card Charges</t>
  </si>
  <si>
    <t>Computer ( Hardware &amp; Software)</t>
  </si>
  <si>
    <t>Entertainment</t>
  </si>
  <si>
    <t>General Expenses</t>
  </si>
  <si>
    <t xml:space="preserve">Printing </t>
  </si>
  <si>
    <t>Stationary &amp; Supplies</t>
  </si>
  <si>
    <t>Vehicle Leases</t>
  </si>
  <si>
    <t>Telephone, Tolls &amp; E-Mail</t>
  </si>
  <si>
    <t>Cell Phone</t>
  </si>
  <si>
    <t>Travelling &amp; Accomodation</t>
  </si>
  <si>
    <t>Insurance</t>
  </si>
  <si>
    <t>Accounting</t>
  </si>
  <si>
    <t>Provision for Taxation</t>
  </si>
  <si>
    <t>Fringe Benefit Tax</t>
  </si>
  <si>
    <t>Legal</t>
  </si>
  <si>
    <t>Low Cost Assets</t>
  </si>
  <si>
    <t>Plant &amp; Equipment</t>
  </si>
  <si>
    <t>Drawings</t>
  </si>
  <si>
    <t>Principle Loan Repayments</t>
  </si>
  <si>
    <t>Other 1</t>
  </si>
  <si>
    <t>Other 2</t>
  </si>
  <si>
    <t>Other 3</t>
  </si>
  <si>
    <t>Other 4</t>
  </si>
  <si>
    <t>Other 5</t>
  </si>
  <si>
    <t>Other 6</t>
  </si>
  <si>
    <t>NON GST RELATED WITHDRAWALS</t>
  </si>
  <si>
    <t>Wages</t>
  </si>
  <si>
    <t>Interest Only Loan Payments</t>
  </si>
  <si>
    <t>SUBTOTAL WITHDRAWALS:</t>
  </si>
  <si>
    <t>GST Related Deposits</t>
  </si>
  <si>
    <t>GST Related Withdrawals</t>
  </si>
  <si>
    <t>GST MOVEMENTS</t>
  </si>
  <si>
    <t>Input (Expense Related)</t>
  </si>
  <si>
    <t>Output (Income Related)</t>
  </si>
  <si>
    <t>NET CASH RELATED TO GST</t>
  </si>
  <si>
    <t>NET CHANGE IN BANK BALANCE</t>
  </si>
  <si>
    <t>Opening Bank Balance:</t>
  </si>
  <si>
    <t>Add Total (Net) Deposits</t>
  </si>
  <si>
    <t>Less Total (Net) Withdrawals</t>
  </si>
  <si>
    <t>Closing Bank Balance</t>
  </si>
  <si>
    <t>Budget Revenue</t>
  </si>
  <si>
    <t>Actual Revenue</t>
  </si>
  <si>
    <t>Budget Expenses</t>
  </si>
  <si>
    <t>Actual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</si>
</sst>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General_)"/>
    <numFmt numFmtId="165" formatCode="mmm\ yyyy"/>
    <numFmt numFmtId="166" formatCode="_(* #,##0_);_(* \(#,##0\);_(* &quot;-&quot;??_);_(@_)"/>
    <numFmt numFmtId="167" formatCode="_-* #,##0_-;\(#,##0\)_-;_-* &quot;-&quot;_-;_-@"/>
    <numFmt numFmtId="168" formatCode="_(&quot;$&quot;* #,##0_);_(&quot;$&quot;* \(#,##0\);_(&quot;$&quot;* &quot;-&quot;??_);_(@_)"/>
  </numFmts>
  <fonts count="42">
    <font>
      <sz val="10.0"/>
      <color rgb="FF000000"/>
      <name val="Calibri"/>
      <scheme val="minor"/>
    </font>
    <font>
      <color theme="1"/>
      <name val="Open Sans"/>
    </font>
    <font>
      <sz val="12.0"/>
      <color theme="1"/>
      <name val="Open Sans"/>
    </font>
    <font>
      <color rgb="FFFFFFFF"/>
      <name val="Open Sans"/>
    </font>
    <font>
      <b/>
      <color theme="1"/>
      <name val="Open Sans"/>
    </font>
    <font>
      <color rgb="FFFFFFFF"/>
      <name val="Calibri"/>
      <scheme val="minor"/>
    </font>
    <font>
      <color rgb="FFFFFF00"/>
      <name val="Open Sans"/>
    </font>
    <font>
      <color rgb="FF000000"/>
      <name val="Open Sans"/>
    </font>
    <font>
      <color rgb="FFFFFFFF"/>
      <name val="&quot;Open Sans&quot;"/>
    </font>
    <font>
      <color theme="1"/>
      <name val="&quot;Open Sans&quot;"/>
    </font>
    <font>
      <sz val="12.0"/>
      <color rgb="FFFFFFFF"/>
      <name val="Calibri"/>
    </font>
    <font>
      <sz val="12.0"/>
      <color rgb="FF000000"/>
      <name val="Open Sans"/>
    </font>
    <font>
      <sz val="12.0"/>
      <color rgb="FFFFFFFF"/>
      <name val="Open Sans"/>
    </font>
    <font>
      <sz val="9.0"/>
      <color theme="1"/>
      <name val="Open Sans"/>
    </font>
    <font>
      <sz val="12.0"/>
      <color theme="1"/>
      <name val="Calibri"/>
    </font>
    <font>
      <color rgb="FF00FFFF"/>
      <name val="Open Sans"/>
    </font>
    <font>
      <b/>
      <color rgb="FFFF0000"/>
      <name val="Open Sans"/>
    </font>
    <font>
      <color theme="0"/>
      <name val="Open Sans"/>
    </font>
    <font/>
    <font>
      <b/>
      <sz val="11.0"/>
      <color rgb="FFFFFFFF"/>
      <name val="Open Sans"/>
    </font>
    <font>
      <b/>
      <sz val="8.0"/>
      <color theme="1"/>
      <name val="Open Sans"/>
    </font>
    <font>
      <color rgb="FFFF0000"/>
      <name val="Open Sans"/>
    </font>
    <font>
      <b/>
      <sz val="10.0"/>
      <color rgb="FFFFFFFF"/>
      <name val="Open Sans"/>
    </font>
    <font>
      <b/>
      <u/>
      <sz val="10.0"/>
      <color theme="1"/>
      <name val="Open Sans"/>
    </font>
    <font>
      <b/>
      <u/>
      <sz val="9.0"/>
      <color theme="1"/>
      <name val="Open Sans"/>
    </font>
    <font>
      <sz val="10.0"/>
      <color rgb="FF000000"/>
      <name val="Open Sans"/>
    </font>
    <font>
      <sz val="10.0"/>
      <color rgb="FFFFFFFF"/>
      <name val="Open Sans"/>
    </font>
    <font>
      <sz val="10.0"/>
      <color theme="1"/>
      <name val="Open Sans"/>
    </font>
    <font>
      <sz val="10.0"/>
      <color rgb="FF333333"/>
      <name val="Open Sans"/>
    </font>
    <font>
      <sz val="10.0"/>
      <color theme="0"/>
      <name val="Open Sans"/>
    </font>
    <font>
      <b/>
      <u/>
      <sz val="10.0"/>
      <color rgb="FFFFFFFF"/>
      <name val="Open Sans"/>
    </font>
    <font>
      <b/>
      <color rgb="FFFFFFFF"/>
      <name val="Open Sans"/>
    </font>
    <font>
      <b/>
      <sz val="10.0"/>
      <color rgb="FF000000"/>
      <name val="Open Sans"/>
    </font>
    <font>
      <b/>
      <sz val="10.0"/>
      <color theme="0"/>
      <name val="Open Sans"/>
    </font>
    <font>
      <b/>
      <u/>
      <sz val="10.0"/>
      <color rgb="FFFFFFFF"/>
      <name val="Open Sans"/>
    </font>
    <font>
      <b/>
      <u/>
      <sz val="10.0"/>
      <color rgb="FFFFFFFF"/>
      <name val="Open Sans"/>
    </font>
    <font>
      <u/>
      <sz val="10.0"/>
      <color rgb="FFFFFFFF"/>
      <name val="Open Sans"/>
    </font>
    <font>
      <sz val="10.0"/>
      <color rgb="FFFF0000"/>
      <name val="Open Sans"/>
    </font>
    <font>
      <u/>
      <sz val="10.0"/>
      <color theme="1"/>
      <name val="Open Sans"/>
    </font>
    <font>
      <u/>
      <sz val="10.0"/>
      <color rgb="FFFFFFFF"/>
      <name val="Open Sans"/>
    </font>
    <font>
      <b/>
      <sz val="10.0"/>
      <color theme="1"/>
      <name val="Open Sans"/>
    </font>
    <font>
      <color theme="1"/>
      <name val="Calibri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002B64"/>
        <bgColor rgb="FF002B64"/>
      </patternFill>
    </fill>
    <fill>
      <patternFill patternType="solid">
        <fgColor rgb="FF00FFFF"/>
        <bgColor rgb="FF00FFFF"/>
      </patternFill>
    </fill>
    <fill>
      <patternFill patternType="solid">
        <fgColor rgb="FF333333"/>
        <bgColor rgb="FF333333"/>
      </patternFill>
    </fill>
    <fill>
      <patternFill patternType="solid">
        <fgColor rgb="FFCFE2F3"/>
        <bgColor rgb="FFCFE2F3"/>
      </patternFill>
    </fill>
    <fill>
      <patternFill patternType="solid">
        <fgColor rgb="FF7FD3F1"/>
        <bgColor rgb="FF7FD3F1"/>
      </patternFill>
    </fill>
    <fill>
      <patternFill patternType="solid">
        <fgColor rgb="FFFFFF99"/>
        <bgColor rgb="FFFFFF99"/>
      </patternFill>
    </fill>
    <fill>
      <patternFill patternType="solid">
        <fgColor rgb="FF000000"/>
        <bgColor rgb="FF000000"/>
      </patternFill>
    </fill>
  </fills>
  <borders count="2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ED7D31"/>
      </left>
      <right style="thin">
        <color rgb="FFED7D31"/>
      </right>
      <top style="thin">
        <color rgb="FFED7D31"/>
      </top>
    </border>
    <border>
      <left style="thin">
        <color rgb="FFED7D31"/>
      </left>
      <right style="thin">
        <color rgb="FFED7D31"/>
      </right>
      <bottom style="thin">
        <color rgb="FFED7D31"/>
      </bottom>
    </border>
    <border>
      <left/>
      <top/>
    </border>
    <border>
      <left/>
      <right/>
      <top/>
      <bottom/>
    </border>
    <border>
      <left/>
      <bottom/>
    </border>
    <border>
      <top/>
      <bottom/>
    </border>
    <border>
      <right/>
      <top/>
      <bottom/>
    </border>
    <border>
      <top style="thin">
        <color rgb="FF000000"/>
      </top>
      <bottom style="medium">
        <color rgb="FF000000"/>
      </bottom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right/>
      <top/>
      <bottom/>
    </border>
    <border>
      <left style="thin">
        <color rgb="FF434343"/>
      </left>
      <bottom style="thin">
        <color rgb="FF434343"/>
      </bottom>
    </border>
    <border>
      <top style="thin">
        <color rgb="FF000000"/>
      </top>
      <bottom style="thin">
        <color rgb="FF434343"/>
      </bottom>
    </border>
    <border>
      <right style="thin">
        <color rgb="FF434343"/>
      </right>
      <top style="thin">
        <color rgb="FF000000"/>
      </top>
      <bottom style="thin">
        <color rgb="FF434343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1" fillId="0" fontId="2" numFmtId="164" xfId="0" applyAlignment="1" applyBorder="1" applyFont="1" applyNumberFormat="1">
      <alignment vertical="center"/>
    </xf>
    <xf borderId="2" fillId="3" fontId="2" numFmtId="164" xfId="0" applyAlignment="1" applyBorder="1" applyFill="1" applyFont="1" applyNumberFormat="1">
      <alignment vertical="center"/>
    </xf>
    <xf borderId="3" fillId="3" fontId="2" numFmtId="164" xfId="0" applyAlignment="1" applyBorder="1" applyFont="1" applyNumberFormat="1">
      <alignment vertical="center"/>
    </xf>
    <xf borderId="0" fillId="2" fontId="3" numFmtId="0" xfId="0" applyAlignment="1" applyFont="1">
      <alignment vertical="center"/>
    </xf>
    <xf borderId="0" fillId="2" fontId="3" numFmtId="10" xfId="0" applyAlignment="1" applyFont="1" applyNumberFormat="1">
      <alignment horizontal="center" vertical="center"/>
    </xf>
    <xf borderId="4" fillId="0" fontId="2" numFmtId="164" xfId="0" applyAlignment="1" applyBorder="1" applyFont="1" applyNumberFormat="1">
      <alignment vertical="center"/>
    </xf>
    <xf borderId="0" fillId="3" fontId="4" numFmtId="164" xfId="0" applyAlignment="1" applyFont="1" applyNumberFormat="1">
      <alignment readingOrder="0" vertical="center"/>
    </xf>
    <xf borderId="0" fillId="3" fontId="2" numFmtId="164" xfId="0" applyAlignment="1" applyFont="1" applyNumberFormat="1">
      <alignment vertical="center"/>
    </xf>
    <xf borderId="0" fillId="4" fontId="1" numFmtId="164" xfId="0" applyAlignment="1" applyFill="1" applyFont="1" applyNumberFormat="1">
      <alignment vertical="center"/>
    </xf>
    <xf borderId="5" fillId="3" fontId="2" numFmtId="164" xfId="0" applyAlignment="1" applyBorder="1" applyFont="1" applyNumberFormat="1">
      <alignment vertical="center"/>
    </xf>
    <xf borderId="0" fillId="2" fontId="5" numFmtId="0" xfId="0" applyFont="1"/>
    <xf borderId="0" fillId="2" fontId="3" numFmtId="165" xfId="0" applyAlignment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2" fontId="6" numFmtId="0" xfId="0" applyAlignment="1" applyFont="1">
      <alignment readingOrder="0" vertical="center"/>
    </xf>
    <xf borderId="0" fillId="3" fontId="2" numFmtId="164" xfId="0" applyAlignment="1" applyFont="1" applyNumberFormat="1">
      <alignment readingOrder="0" vertical="center"/>
    </xf>
    <xf borderId="6" fillId="5" fontId="7" numFmtId="9" xfId="0" applyAlignment="1" applyBorder="1" applyFill="1" applyFont="1" applyNumberFormat="1">
      <alignment horizontal="center" readingOrder="0" vertical="center"/>
    </xf>
    <xf borderId="0" fillId="2" fontId="8" numFmtId="164" xfId="0" applyAlignment="1" applyFont="1" applyNumberFormat="1">
      <alignment vertical="bottom"/>
    </xf>
    <xf borderId="0" fillId="2" fontId="8" numFmtId="10" xfId="0" applyAlignment="1" applyFont="1" applyNumberFormat="1">
      <alignment horizontal="right" vertical="bottom"/>
    </xf>
    <xf borderId="0" fillId="2" fontId="8" numFmtId="166" xfId="0" applyAlignment="1" applyFont="1" applyNumberFormat="1">
      <alignment horizontal="right" vertical="bottom"/>
    </xf>
    <xf borderId="0" fillId="2" fontId="3" numFmtId="166" xfId="0" applyAlignment="1" applyFont="1" applyNumberFormat="1">
      <alignment vertical="center"/>
    </xf>
    <xf borderId="0" fillId="0" fontId="9" numFmtId="166" xfId="0" applyAlignment="1" applyFont="1" applyNumberFormat="1">
      <alignment horizontal="right" vertical="bottom"/>
    </xf>
    <xf borderId="6" fillId="3" fontId="7" numFmtId="9" xfId="0" applyAlignment="1" applyBorder="1" applyFont="1" applyNumberFormat="1">
      <alignment horizontal="center" readingOrder="0" vertical="center"/>
    </xf>
    <xf quotePrefix="1" borderId="0" fillId="2" fontId="8" numFmtId="164" xfId="0" applyAlignment="1" applyFont="1" applyNumberFormat="1">
      <alignment vertical="bottom"/>
    </xf>
    <xf borderId="0" fillId="2" fontId="10" numFmtId="166" xfId="0" applyAlignment="1" applyFont="1" applyNumberFormat="1">
      <alignment vertical="bottom"/>
    </xf>
    <xf borderId="0" fillId="3" fontId="2" numFmtId="164" xfId="0" applyAlignment="1" applyFont="1" applyNumberFormat="1">
      <alignment shrinkToFit="0" vertical="center" wrapText="0"/>
    </xf>
    <xf borderId="6" fillId="3" fontId="7" numFmtId="9" xfId="0" applyAlignment="1" applyBorder="1" applyFont="1" applyNumberFormat="1">
      <alignment horizontal="center" vertical="center"/>
    </xf>
    <xf borderId="6" fillId="3" fontId="11" numFmtId="9" xfId="0" applyAlignment="1" applyBorder="1" applyFont="1" applyNumberFormat="1">
      <alignment horizontal="center" vertical="center"/>
    </xf>
    <xf borderId="7" fillId="3" fontId="4" numFmtId="9" xfId="0" applyAlignment="1" applyBorder="1" applyFont="1" applyNumberFormat="1">
      <alignment horizontal="right" vertical="center"/>
    </xf>
    <xf borderId="0" fillId="2" fontId="12" numFmtId="10" xfId="0" applyAlignment="1" applyFont="1" applyNumberFormat="1">
      <alignment horizontal="center" vertical="center"/>
    </xf>
    <xf borderId="0" fillId="3" fontId="13" numFmtId="164" xfId="0" applyAlignment="1" applyFont="1" applyNumberFormat="1">
      <alignment readingOrder="0" vertical="center"/>
    </xf>
    <xf borderId="8" fillId="2" fontId="8" numFmtId="164" xfId="0" applyAlignment="1" applyBorder="1" applyFont="1" applyNumberFormat="1">
      <alignment vertical="bottom"/>
    </xf>
    <xf borderId="8" fillId="2" fontId="8" numFmtId="166" xfId="0" applyAlignment="1" applyBorder="1" applyFont="1" applyNumberFormat="1">
      <alignment horizontal="right" vertical="bottom"/>
    </xf>
    <xf borderId="8" fillId="2" fontId="10" numFmtId="166" xfId="0" applyAlignment="1" applyBorder="1" applyFont="1" applyNumberFormat="1">
      <alignment vertical="bottom"/>
    </xf>
    <xf borderId="0" fillId="0" fontId="14" numFmtId="166" xfId="0" applyAlignment="1" applyFont="1" applyNumberFormat="1">
      <alignment vertical="bottom"/>
    </xf>
    <xf borderId="9" fillId="0" fontId="2" numFmtId="164" xfId="0" applyAlignment="1" applyBorder="1" applyFont="1" applyNumberFormat="1">
      <alignment vertical="center"/>
    </xf>
    <xf borderId="8" fillId="3" fontId="2" numFmtId="164" xfId="0" applyAlignment="1" applyBorder="1" applyFont="1" applyNumberFormat="1">
      <alignment vertical="center"/>
    </xf>
    <xf borderId="10" fillId="3" fontId="2" numFmtId="164" xfId="0" applyAlignment="1" applyBorder="1" applyFont="1" applyNumberFormat="1">
      <alignment vertical="center"/>
    </xf>
    <xf borderId="8" fillId="2" fontId="8" numFmtId="10" xfId="0" applyAlignment="1" applyBorder="1" applyFont="1" applyNumberFormat="1">
      <alignment horizontal="right" vertical="bottom"/>
    </xf>
    <xf borderId="0" fillId="2" fontId="3" numFmtId="165" xfId="0" applyAlignment="1" applyFont="1" applyNumberFormat="1">
      <alignment vertical="center"/>
    </xf>
    <xf borderId="0" fillId="2" fontId="15" numFmtId="0" xfId="0" applyAlignment="1" applyFont="1">
      <alignment readingOrder="0" vertical="center"/>
    </xf>
    <xf borderId="0" fillId="2" fontId="3" numFmtId="167" xfId="0" applyAlignment="1" applyFont="1" applyNumberFormat="1">
      <alignment vertical="center"/>
    </xf>
    <xf borderId="6" fillId="3" fontId="1" numFmtId="9" xfId="0" applyAlignment="1" applyBorder="1" applyFont="1" applyNumberFormat="1">
      <alignment horizontal="center" readingOrder="0" vertical="center"/>
    </xf>
    <xf borderId="6" fillId="3" fontId="1" numFmtId="9" xfId="0" applyAlignment="1" applyBorder="1" applyFont="1" applyNumberFormat="1">
      <alignment horizontal="center" vertical="center"/>
    </xf>
    <xf borderId="6" fillId="3" fontId="2" numFmtId="9" xfId="0" applyAlignment="1" applyBorder="1" applyFont="1" applyNumberFormat="1">
      <alignment horizontal="center" vertical="center"/>
    </xf>
    <xf borderId="0" fillId="0" fontId="16" numFmtId="0" xfId="0" applyAlignment="1" applyFont="1">
      <alignment readingOrder="0" shrinkToFit="0" vertical="center" wrapText="1"/>
    </xf>
    <xf borderId="0" fillId="6" fontId="17" numFmtId="0" xfId="0" applyAlignment="1" applyFill="1" applyFont="1">
      <alignment horizontal="center" readingOrder="0" shrinkToFit="0" vertical="center" wrapText="1"/>
    </xf>
    <xf borderId="11" fillId="0" fontId="16" numFmtId="10" xfId="0" applyAlignment="1" applyBorder="1" applyFont="1" applyNumberFormat="1">
      <alignment horizontal="center" readingOrder="0" vertical="center"/>
    </xf>
    <xf borderId="12" fillId="0" fontId="18" numFmtId="0" xfId="0" applyBorder="1" applyFont="1"/>
    <xf borderId="0" fillId="2" fontId="19" numFmtId="0" xfId="0" applyAlignment="1" applyFont="1">
      <alignment horizontal="center" vertical="center"/>
    </xf>
    <xf borderId="0" fillId="0" fontId="20" numFmtId="0" xfId="0" applyAlignment="1" applyFont="1">
      <alignment vertical="center"/>
    </xf>
    <xf quotePrefix="1" borderId="13" fillId="6" fontId="19" numFmtId="0" xfId="0" applyAlignment="1" applyBorder="1" applyFont="1">
      <alignment horizontal="center" shrinkToFit="0" vertical="center" wrapText="1"/>
    </xf>
    <xf borderId="14" fillId="6" fontId="19" numFmtId="0" xfId="0" applyAlignment="1" applyBorder="1" applyFont="1">
      <alignment horizontal="center" vertical="center"/>
    </xf>
    <xf borderId="11" fillId="6" fontId="21" numFmtId="10" xfId="0" applyAlignment="1" applyBorder="1" applyFont="1" applyNumberFormat="1">
      <alignment horizontal="center" readingOrder="0" vertical="center"/>
    </xf>
    <xf borderId="15" fillId="0" fontId="18" numFmtId="0" xfId="0" applyBorder="1" applyFont="1"/>
    <xf borderId="16" fillId="6" fontId="19" numFmtId="0" xfId="0" applyAlignment="1" applyBorder="1" applyFont="1">
      <alignment horizontal="center" vertical="center"/>
    </xf>
    <xf borderId="17" fillId="6" fontId="19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left" vertical="center"/>
    </xf>
    <xf borderId="6" fillId="0" fontId="23" numFmtId="165" xfId="0" applyAlignment="1" applyBorder="1" applyFont="1" applyNumberFormat="1">
      <alignment horizontal="center" readingOrder="0" vertical="center"/>
    </xf>
    <xf borderId="0" fillId="0" fontId="24" numFmtId="0" xfId="0" applyAlignment="1" applyFont="1">
      <alignment horizontal="center" vertical="center"/>
    </xf>
    <xf quotePrefix="1" borderId="13" fillId="6" fontId="22" numFmtId="0" xfId="0" applyAlignment="1" applyBorder="1" applyFont="1">
      <alignment horizontal="left" vertical="center"/>
    </xf>
    <xf borderId="0" fillId="5" fontId="25" numFmtId="0" xfId="0" applyAlignment="1" applyFont="1">
      <alignment vertical="center"/>
    </xf>
    <xf borderId="6" fillId="5" fontId="25" numFmtId="0" xfId="0" applyAlignment="1" applyBorder="1" applyFont="1">
      <alignment vertical="center"/>
    </xf>
    <xf borderId="6" fillId="0" fontId="7" numFmtId="0" xfId="0" applyAlignment="1" applyBorder="1" applyFont="1">
      <alignment readingOrder="0" vertical="center"/>
    </xf>
    <xf borderId="0" fillId="6" fontId="26" numFmtId="167" xfId="0" applyAlignment="1" applyFont="1" applyNumberFormat="1">
      <alignment vertical="center"/>
    </xf>
    <xf borderId="6" fillId="5" fontId="27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6" fillId="5" fontId="28" numFmtId="0" xfId="0" applyAlignment="1" applyBorder="1" applyFont="1">
      <alignment readingOrder="0" vertical="center"/>
    </xf>
    <xf borderId="15" fillId="6" fontId="29" numFmtId="0" xfId="0" applyAlignment="1" applyBorder="1" applyFont="1">
      <alignment readingOrder="0" vertical="center"/>
    </xf>
    <xf borderId="0" fillId="6" fontId="30" numFmtId="0" xfId="0" applyAlignment="1" applyFont="1">
      <alignment readingOrder="0" vertical="center"/>
    </xf>
    <xf borderId="18" fillId="6" fontId="26" numFmtId="168" xfId="0" applyAlignment="1" applyBorder="1" applyFont="1" applyNumberFormat="1">
      <alignment vertical="center"/>
    </xf>
    <xf borderId="0" fillId="0" fontId="27" numFmtId="167" xfId="0" applyAlignment="1" applyFont="1" applyNumberFormat="1">
      <alignment vertical="center"/>
    </xf>
    <xf borderId="0" fillId="2" fontId="3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6" fillId="0" fontId="27" numFmtId="167" xfId="0" applyAlignment="1" applyBorder="1" applyFont="1" applyNumberFormat="1">
      <alignment readingOrder="0" vertical="center"/>
    </xf>
    <xf borderId="0" fillId="6" fontId="26" numFmtId="168" xfId="0" applyAlignment="1" applyFont="1" applyNumberFormat="1">
      <alignment vertical="center"/>
    </xf>
    <xf borderId="0" fillId="0" fontId="1" numFmtId="168" xfId="0" applyAlignment="1" applyFont="1" applyNumberFormat="1">
      <alignment vertical="center"/>
    </xf>
    <xf borderId="0" fillId="2" fontId="26" numFmtId="168" xfId="0" applyAlignment="1" applyFont="1" applyNumberFormat="1">
      <alignment vertical="center"/>
    </xf>
    <xf borderId="0" fillId="7" fontId="4" numFmtId="0" xfId="0" applyAlignment="1" applyFill="1" applyFont="1">
      <alignment readingOrder="0" vertical="center"/>
    </xf>
    <xf borderId="0" fillId="7" fontId="32" numFmtId="168" xfId="0" applyAlignment="1" applyFont="1" applyNumberFormat="1">
      <alignment vertical="center"/>
    </xf>
    <xf borderId="14" fillId="8" fontId="22" numFmtId="0" xfId="0" applyAlignment="1" applyBorder="1" applyFill="1" applyFont="1">
      <alignment readingOrder="0" vertical="center"/>
    </xf>
    <xf borderId="6" fillId="0" fontId="27" numFmtId="0" xfId="0" applyAlignment="1" applyBorder="1" applyFont="1">
      <alignment vertical="center"/>
    </xf>
    <xf borderId="6" fillId="0" fontId="1" numFmtId="0" xfId="0" applyAlignment="1" applyBorder="1" applyFont="1">
      <alignment readingOrder="0" vertical="center"/>
    </xf>
    <xf borderId="6" fillId="0" fontId="1" numFmtId="0" xfId="0" applyAlignment="1" applyBorder="1" applyFont="1">
      <alignment vertical="center"/>
    </xf>
    <xf borderId="6" fillId="0" fontId="27" numFmtId="0" xfId="0" applyAlignment="1" applyBorder="1" applyFont="1">
      <alignment readingOrder="0" vertical="center"/>
    </xf>
    <xf borderId="0" fillId="5" fontId="27" numFmtId="0" xfId="0" applyAlignment="1" applyFont="1">
      <alignment vertical="center"/>
    </xf>
    <xf borderId="0" fillId="8" fontId="33" numFmtId="0" xfId="0" applyAlignment="1" applyFont="1">
      <alignment readingOrder="0" vertical="center"/>
    </xf>
    <xf borderId="6" fillId="5" fontId="1" numFmtId="0" xfId="0" applyAlignment="1" applyBorder="1" applyFont="1">
      <alignment readingOrder="0" vertical="center"/>
    </xf>
    <xf borderId="19" fillId="8" fontId="22" numFmtId="0" xfId="0" applyAlignment="1" applyBorder="1" applyFont="1">
      <alignment readingOrder="0" vertical="center"/>
    </xf>
    <xf borderId="20" fillId="8" fontId="29" numFmtId="167" xfId="0" applyAlignment="1" applyBorder="1" applyFont="1" applyNumberFormat="1">
      <alignment vertical="center"/>
    </xf>
    <xf borderId="21" fillId="8" fontId="29" numFmtId="167" xfId="0" applyAlignment="1" applyBorder="1" applyFont="1" applyNumberFormat="1">
      <alignment vertical="center"/>
    </xf>
    <xf borderId="22" fillId="8" fontId="22" numFmtId="0" xfId="0" applyAlignment="1" applyBorder="1" applyFont="1">
      <alignment readingOrder="0" vertical="center"/>
    </xf>
    <xf borderId="0" fillId="8" fontId="29" numFmtId="167" xfId="0" applyAlignment="1" applyFont="1" applyNumberFormat="1">
      <alignment vertical="center"/>
    </xf>
    <xf borderId="23" fillId="8" fontId="29" numFmtId="167" xfId="0" applyAlignment="1" applyBorder="1" applyFont="1" applyNumberFormat="1">
      <alignment vertical="center"/>
    </xf>
    <xf borderId="22" fillId="0" fontId="22" numFmtId="0" xfId="0" applyAlignment="1" applyBorder="1" applyFont="1">
      <alignment vertical="center"/>
    </xf>
    <xf borderId="23" fillId="0" fontId="27" numFmtId="167" xfId="0" applyAlignment="1" applyBorder="1" applyFont="1" applyNumberFormat="1">
      <alignment vertical="center"/>
    </xf>
    <xf borderId="24" fillId="8" fontId="22" numFmtId="0" xfId="0" applyAlignment="1" applyBorder="1" applyFont="1">
      <alignment vertical="center"/>
    </xf>
    <xf borderId="22" fillId="0" fontId="1" numFmtId="0" xfId="0" applyAlignment="1" applyBorder="1" applyFont="1">
      <alignment vertical="center"/>
    </xf>
    <xf borderId="0" fillId="9" fontId="27" numFmtId="167" xfId="0" applyAlignment="1" applyFill="1" applyFont="1" applyNumberFormat="1">
      <alignment vertical="center"/>
    </xf>
    <xf borderId="23" fillId="9" fontId="27" numFmtId="167" xfId="0" applyAlignment="1" applyBorder="1" applyFont="1" applyNumberFormat="1">
      <alignment vertical="center"/>
    </xf>
    <xf borderId="25" fillId="6" fontId="34" numFmtId="0" xfId="0" applyAlignment="1" applyBorder="1" applyFont="1">
      <alignment vertical="center"/>
    </xf>
    <xf borderId="26" fillId="6" fontId="26" numFmtId="168" xfId="0" applyAlignment="1" applyBorder="1" applyFont="1" applyNumberFormat="1">
      <alignment vertical="center"/>
    </xf>
    <xf borderId="27" fillId="6" fontId="26" numFmtId="168" xfId="0" applyAlignment="1" applyBorder="1" applyFont="1" applyNumberFormat="1">
      <alignment vertical="center"/>
    </xf>
    <xf borderId="0" fillId="0" fontId="27" numFmtId="168" xfId="0" applyAlignment="1" applyFont="1" applyNumberFormat="1">
      <alignment vertical="center"/>
    </xf>
    <xf borderId="0" fillId="6" fontId="35" numFmtId="0" xfId="0" applyAlignment="1" applyFont="1">
      <alignment vertical="center"/>
    </xf>
    <xf borderId="0" fillId="10" fontId="1" numFmtId="0" xfId="0" applyAlignment="1" applyFill="1" applyFont="1">
      <alignment vertical="center"/>
    </xf>
    <xf borderId="14" fillId="11" fontId="27" numFmtId="167" xfId="0" applyAlignment="1" applyBorder="1" applyFill="1" applyFont="1" applyNumberFormat="1">
      <alignment readingOrder="0" vertical="center"/>
    </xf>
    <xf borderId="0" fillId="10" fontId="1" numFmtId="0" xfId="0" applyAlignment="1" applyFont="1">
      <alignment readingOrder="0" vertical="center"/>
    </xf>
    <xf borderId="8" fillId="9" fontId="27" numFmtId="167" xfId="0" applyAlignment="1" applyBorder="1" applyFont="1" applyNumberFormat="1">
      <alignment vertical="center"/>
    </xf>
    <xf borderId="6" fillId="12" fontId="36" numFmtId="165" xfId="0" applyAlignment="1" applyBorder="1" applyFill="1" applyFont="1" applyNumberFormat="1">
      <alignment horizontal="center" readingOrder="0" vertical="center"/>
    </xf>
    <xf borderId="0" fillId="2" fontId="26" numFmtId="0" xfId="0" applyAlignment="1" applyFont="1">
      <alignment horizontal="center" vertical="center"/>
    </xf>
    <xf borderId="0" fillId="0" fontId="27" numFmtId="0" xfId="0" applyAlignment="1" applyFont="1">
      <alignment vertical="center"/>
    </xf>
    <xf borderId="0" fillId="0" fontId="27" numFmtId="0" xfId="0" applyAlignment="1" applyFont="1">
      <alignment vertical="center"/>
    </xf>
    <xf quotePrefix="1" borderId="13" fillId="6" fontId="26" numFmtId="0" xfId="0" applyAlignment="1" applyBorder="1" applyFont="1">
      <alignment horizontal="center" shrinkToFit="0" vertical="center" wrapText="1"/>
    </xf>
    <xf borderId="14" fillId="6" fontId="26" numFmtId="0" xfId="0" applyAlignment="1" applyBorder="1" applyFont="1">
      <alignment horizontal="center" vertical="center"/>
    </xf>
    <xf borderId="0" fillId="6" fontId="29" numFmtId="0" xfId="0" applyAlignment="1" applyFont="1">
      <alignment horizontal="center" readingOrder="0" shrinkToFit="0" vertical="center" wrapText="1"/>
    </xf>
    <xf borderId="11" fillId="6" fontId="37" numFmtId="10" xfId="0" applyAlignment="1" applyBorder="1" applyFont="1" applyNumberFormat="1">
      <alignment horizontal="center" readingOrder="0" vertical="center"/>
    </xf>
    <xf borderId="16" fillId="6" fontId="26" numFmtId="0" xfId="0" applyAlignment="1" applyBorder="1" applyFont="1">
      <alignment horizontal="center" vertical="center"/>
    </xf>
    <xf borderId="17" fillId="6" fontId="26" numFmtId="0" xfId="0" applyAlignment="1" applyBorder="1" applyFont="1">
      <alignment horizontal="center" vertical="center"/>
    </xf>
    <xf borderId="13" fillId="0" fontId="26" numFmtId="0" xfId="0" applyAlignment="1" applyBorder="1" applyFont="1">
      <alignment horizontal="left" vertical="center"/>
    </xf>
    <xf borderId="0" fillId="0" fontId="38" numFmtId="0" xfId="0" applyAlignment="1" applyFont="1">
      <alignment horizontal="center" vertical="center"/>
    </xf>
    <xf quotePrefix="1" borderId="13" fillId="6" fontId="26" numFmtId="0" xfId="0" applyAlignment="1" applyBorder="1" applyFont="1">
      <alignment horizontal="left" vertical="center"/>
    </xf>
    <xf borderId="0" fillId="9" fontId="25" numFmtId="0" xfId="0" applyFont="1"/>
    <xf borderId="0" fillId="6" fontId="39" numFmtId="0" xfId="0" applyAlignment="1" applyFont="1">
      <alignment readingOrder="0" vertical="center"/>
    </xf>
    <xf borderId="0" fillId="2" fontId="26" numFmtId="0" xfId="0" applyAlignment="1" applyFont="1">
      <alignment readingOrder="0" vertical="center"/>
    </xf>
    <xf borderId="0" fillId="0" fontId="27" numFmtId="0" xfId="0" applyAlignment="1" applyFont="1">
      <alignment readingOrder="0" vertical="center"/>
    </xf>
    <xf borderId="0" fillId="9" fontId="25" numFmtId="167" xfId="0" applyFont="1" applyNumberFormat="1"/>
    <xf borderId="0" fillId="7" fontId="27" numFmtId="0" xfId="0" applyAlignment="1" applyFont="1">
      <alignment readingOrder="0" vertical="center"/>
    </xf>
    <xf borderId="0" fillId="7" fontId="25" numFmtId="168" xfId="0" applyAlignment="1" applyFont="1" applyNumberFormat="1">
      <alignment vertical="center"/>
    </xf>
    <xf borderId="14" fillId="8" fontId="26" numFmtId="0" xfId="0" applyAlignment="1" applyBorder="1" applyFont="1">
      <alignment readingOrder="0" vertical="center"/>
    </xf>
    <xf borderId="0" fillId="8" fontId="29" numFmtId="0" xfId="0" applyAlignment="1" applyFont="1">
      <alignment readingOrder="0" vertical="center"/>
    </xf>
    <xf borderId="6" fillId="5" fontId="27" numFmtId="0" xfId="0" applyAlignment="1" applyBorder="1" applyFont="1">
      <alignment readingOrder="0" vertical="center"/>
    </xf>
    <xf borderId="0" fillId="0" fontId="40" numFmtId="0" xfId="0" applyAlignment="1" applyFont="1">
      <alignment vertical="center"/>
    </xf>
    <xf borderId="22" fillId="0" fontId="27" numFmtId="0" xfId="0" applyAlignment="1" applyBorder="1" applyFont="1">
      <alignment vertical="center"/>
    </xf>
    <xf borderId="0" fillId="10" fontId="27" numFmtId="0" xfId="0" applyAlignment="1" applyFont="1">
      <alignment vertical="center"/>
    </xf>
    <xf borderId="0" fillId="10" fontId="27" numFmtId="0" xfId="0" applyAlignment="1" applyFont="1">
      <alignment readingOrder="0" vertical="center"/>
    </xf>
    <xf borderId="0" fillId="2" fontId="41" numFmtId="0" xfId="0" applyFont="1"/>
    <xf borderId="0" fillId="0" fontId="41" numFmtId="165" xfId="0" applyAlignment="1" applyFont="1" applyNumberFormat="1">
      <alignment horizontal="center" vertical="center"/>
    </xf>
    <xf borderId="0" fillId="0" fontId="41" numFmtId="0" xfId="0" applyAlignment="1" applyFont="1">
      <alignment readingOrder="0"/>
    </xf>
    <xf borderId="0" fillId="0" fontId="4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r>
              <a:rPr b="0">
                <a:solidFill>
                  <a:srgbClr val="D9D9D9"/>
                </a:solidFill>
                <a:latin typeface="+mn-lt"/>
              </a:rPr>
              <a:t>Budget Revenue and Actual Revenue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Reports!$D$65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Reports!$E$64:$P$64</c:f>
            </c:strRef>
          </c:cat>
          <c:val>
            <c:numRef>
              <c:f>Reports!$E$65:$P$65</c:f>
              <c:numCache/>
            </c:numRef>
          </c:val>
        </c:ser>
        <c:axId val="908505129"/>
        <c:axId val="855281487"/>
      </c:barChart>
      <c:lineChart>
        <c:varyColors val="0"/>
        <c:ser>
          <c:idx val="1"/>
          <c:order val="1"/>
          <c:tx>
            <c:strRef>
              <c:f>Reports!$D$66</c:f>
            </c:strRef>
          </c:tx>
          <c:spPr>
            <a:ln cmpd="sng" w="38100">
              <a:solidFill>
                <a:srgbClr val="ED7D3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Reports!$E$64:$P$64</c:f>
            </c:strRef>
          </c:cat>
          <c:val>
            <c:numRef>
              <c:f>Reports!$E$66:$P$66</c:f>
              <c:numCache/>
            </c:numRef>
          </c:val>
          <c:smooth val="0"/>
        </c:ser>
        <c:axId val="908505129"/>
        <c:axId val="855281487"/>
      </c:lineChart>
      <c:catAx>
        <c:axId val="908505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855281487"/>
      </c:catAx>
      <c:valAx>
        <c:axId val="855281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9085051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D9D9D9"/>
                </a:solidFill>
                <a:latin typeface="+mn-lt"/>
              </a:defRPr>
            </a:pPr>
            <a:r>
              <a:rPr b="0">
                <a:solidFill>
                  <a:srgbClr val="D9D9D9"/>
                </a:solidFill>
                <a:latin typeface="+mn-lt"/>
              </a:rPr>
              <a:t>Budget Expenses and Actual Expenses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Reports!$D$71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Reports!$E$64:$P$64</c:f>
            </c:strRef>
          </c:cat>
          <c:val>
            <c:numRef>
              <c:f>Reports!$E$71:$P$71</c:f>
              <c:numCache/>
            </c:numRef>
          </c:val>
        </c:ser>
        <c:axId val="1293304572"/>
        <c:axId val="1427113859"/>
      </c:barChart>
      <c:lineChart>
        <c:varyColors val="0"/>
        <c:ser>
          <c:idx val="1"/>
          <c:order val="1"/>
          <c:tx>
            <c:strRef>
              <c:f>Reports!$D$72</c:f>
            </c:strRef>
          </c:tx>
          <c:spPr>
            <a:ln cmpd="sng" w="38100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Reports!$E$64:$P$64</c:f>
            </c:strRef>
          </c:cat>
          <c:val>
            <c:numRef>
              <c:f>Reports!$E$72:$P$72</c:f>
              <c:numCache/>
            </c:numRef>
          </c:val>
          <c:smooth val="0"/>
        </c:ser>
        <c:axId val="1293304572"/>
        <c:axId val="1427113859"/>
      </c:lineChart>
      <c:catAx>
        <c:axId val="1293304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427113859"/>
      </c:catAx>
      <c:valAx>
        <c:axId val="1427113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FFFFFF"/>
                </a:solidFill>
                <a:latin typeface="+mn-lt"/>
              </a:defRPr>
            </a:pPr>
          </a:p>
        </c:txPr>
        <c:crossAx val="12933045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FFFFFF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144970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22</xdr:row>
      <xdr:rowOff>180975</xdr:rowOff>
    </xdr:from>
    <xdr:ext cx="1449705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.86"/>
    <col customWidth="1" min="3" max="3" width="3.71"/>
    <col customWidth="1" min="4" max="4" width="60.57"/>
    <col customWidth="1" min="5" max="5" width="2.57"/>
    <col customWidth="1" min="9" max="9" width="2.57"/>
    <col customWidth="1" min="10" max="10" width="5.43"/>
    <col customWidth="1" min="11" max="11" width="28.57"/>
    <col customWidth="1" min="12" max="12" width="10.71"/>
    <col customWidth="1" min="25" max="25" width="3.2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/>
      <c r="B3" s="2"/>
      <c r="C3" s="3"/>
      <c r="D3" s="4"/>
      <c r="E3" s="4"/>
      <c r="F3" s="4"/>
      <c r="G3" s="4"/>
      <c r="H3" s="4"/>
      <c r="I3" s="5"/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>
        <f>Z14/Z6</f>
        <v>0.8869078381</v>
      </c>
      <c r="AA3" s="2"/>
    </row>
    <row r="4">
      <c r="A4" s="1"/>
      <c r="B4" s="2"/>
      <c r="C4" s="8"/>
      <c r="D4" s="9" t="s">
        <v>0</v>
      </c>
      <c r="E4" s="10"/>
      <c r="F4" s="11" t="s">
        <v>1</v>
      </c>
      <c r="I4" s="12"/>
      <c r="J4" s="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2"/>
    </row>
    <row r="5">
      <c r="A5" s="1"/>
      <c r="B5" s="2"/>
      <c r="C5" s="8"/>
      <c r="D5" s="10"/>
      <c r="E5" s="10"/>
      <c r="F5" s="10"/>
      <c r="G5" s="10"/>
      <c r="H5" s="10"/>
      <c r="I5" s="12"/>
      <c r="J5" s="2"/>
      <c r="K5" s="6"/>
      <c r="L5" s="13"/>
      <c r="M5" s="14">
        <f>'Budget Figures'!D6</f>
        <v>44287</v>
      </c>
      <c r="N5" s="14">
        <f>'Budget Figures'!E6</f>
        <v>44317</v>
      </c>
      <c r="O5" s="14">
        <f>'Budget Figures'!F6</f>
        <v>44348</v>
      </c>
      <c r="P5" s="14">
        <f>'Budget Figures'!G6</f>
        <v>44378</v>
      </c>
      <c r="Q5" s="14">
        <f>'Budget Figures'!H6</f>
        <v>44409</v>
      </c>
      <c r="R5" s="14">
        <f>'Budget Figures'!I6</f>
        <v>44440</v>
      </c>
      <c r="S5" s="14">
        <f>'Budget Figures'!J6</f>
        <v>44470</v>
      </c>
      <c r="T5" s="14">
        <f>'Budget Figures'!K6</f>
        <v>44501</v>
      </c>
      <c r="U5" s="14">
        <f>'Budget Figures'!L6</f>
        <v>44531</v>
      </c>
      <c r="V5" s="14">
        <f>'Budget Figures'!M6</f>
        <v>44562</v>
      </c>
      <c r="W5" s="14">
        <f>'Budget Figures'!N6</f>
        <v>44593</v>
      </c>
      <c r="X5" s="14">
        <f>'Budget Figures'!O6</f>
        <v>44621</v>
      </c>
      <c r="Y5" s="15"/>
      <c r="Z5" s="15"/>
      <c r="AA5" s="16"/>
    </row>
    <row r="6">
      <c r="A6" s="1"/>
      <c r="B6" s="2"/>
      <c r="C6" s="8"/>
      <c r="D6" s="10" t="s">
        <v>2</v>
      </c>
      <c r="E6" s="10"/>
      <c r="F6" s="10"/>
      <c r="G6" s="10"/>
      <c r="H6" s="10"/>
      <c r="I6" s="12"/>
      <c r="J6" s="2"/>
      <c r="K6" s="17" t="s">
        <v>3</v>
      </c>
      <c r="L6" s="13"/>
      <c r="M6" s="6">
        <f>'Budget Figures'!D9</f>
        <v>25000</v>
      </c>
      <c r="N6" s="6">
        <f>'Budget Figures'!E9</f>
        <v>35000</v>
      </c>
      <c r="O6" s="6">
        <f>'Budget Figures'!F9</f>
        <v>45000</v>
      </c>
      <c r="P6" s="6">
        <f>'Budget Figures'!G9</f>
        <v>15000</v>
      </c>
      <c r="Q6" s="6">
        <f>'Budget Figures'!H9</f>
        <v>25000</v>
      </c>
      <c r="R6" s="6">
        <f>'Budget Figures'!I9</f>
        <v>30000</v>
      </c>
      <c r="S6" s="6">
        <f>'Budget Figures'!J9</f>
        <v>12500</v>
      </c>
      <c r="T6" s="6">
        <f>'Budget Figures'!K9</f>
        <v>25000</v>
      </c>
      <c r="U6" s="6">
        <f>'Budget Figures'!L9</f>
        <v>35000</v>
      </c>
      <c r="V6" s="6">
        <f>'Budget Figures'!M9</f>
        <v>40000</v>
      </c>
      <c r="W6" s="6">
        <f>'Budget Figures'!N9</f>
        <v>25000</v>
      </c>
      <c r="X6" s="6">
        <f>'Budget Figures'!O9</f>
        <v>35800</v>
      </c>
      <c r="Y6" s="6"/>
      <c r="Z6" s="6">
        <f>sum(M6:X6)</f>
        <v>348300</v>
      </c>
      <c r="AA6" s="2"/>
    </row>
    <row r="7">
      <c r="A7" s="1"/>
      <c r="B7" s="2"/>
      <c r="C7" s="8"/>
      <c r="D7" s="10"/>
      <c r="E7" s="10"/>
      <c r="F7" s="10"/>
      <c r="G7" s="10"/>
      <c r="H7" s="10"/>
      <c r="I7" s="12"/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2"/>
    </row>
    <row r="8">
      <c r="A8" s="1"/>
      <c r="B8" s="2"/>
      <c r="C8" s="8"/>
      <c r="D8" s="18" t="s">
        <v>4</v>
      </c>
      <c r="E8" s="10"/>
      <c r="F8" s="19">
        <v>0.2</v>
      </c>
      <c r="G8" s="10"/>
      <c r="H8" s="10"/>
      <c r="I8" s="12"/>
      <c r="J8" s="2"/>
      <c r="K8" s="20" t="s">
        <v>5</v>
      </c>
      <c r="L8" s="21">
        <f t="shared" ref="L8:L12" si="2">F8</f>
        <v>0.2</v>
      </c>
      <c r="M8" s="22">
        <f t="shared" ref="M8:X8" si="1">M6*$L$8</f>
        <v>5000</v>
      </c>
      <c r="N8" s="22">
        <f t="shared" si="1"/>
        <v>7000</v>
      </c>
      <c r="O8" s="22">
        <f t="shared" si="1"/>
        <v>9000</v>
      </c>
      <c r="P8" s="22">
        <f t="shared" si="1"/>
        <v>3000</v>
      </c>
      <c r="Q8" s="22">
        <f t="shared" si="1"/>
        <v>5000</v>
      </c>
      <c r="R8" s="22">
        <f t="shared" si="1"/>
        <v>6000</v>
      </c>
      <c r="S8" s="22">
        <f t="shared" si="1"/>
        <v>2500</v>
      </c>
      <c r="T8" s="22">
        <f t="shared" si="1"/>
        <v>5000</v>
      </c>
      <c r="U8" s="22">
        <f t="shared" si="1"/>
        <v>7000</v>
      </c>
      <c r="V8" s="22">
        <f t="shared" si="1"/>
        <v>8000</v>
      </c>
      <c r="W8" s="22">
        <f t="shared" si="1"/>
        <v>5000</v>
      </c>
      <c r="X8" s="22">
        <f t="shared" si="1"/>
        <v>7160</v>
      </c>
      <c r="Y8" s="22"/>
      <c r="Z8" s="23">
        <f t="shared" ref="Z8:Z12" si="4">sum(M8:X8)</f>
        <v>69660</v>
      </c>
      <c r="AA8" s="24"/>
    </row>
    <row r="9">
      <c r="A9" s="1"/>
      <c r="B9" s="2"/>
      <c r="C9" s="8"/>
      <c r="D9" s="10" t="s">
        <v>6</v>
      </c>
      <c r="E9" s="10"/>
      <c r="F9" s="25">
        <v>0.45</v>
      </c>
      <c r="G9" s="10"/>
      <c r="H9" s="10"/>
      <c r="I9" s="12"/>
      <c r="J9" s="2"/>
      <c r="K9" s="26" t="s">
        <v>7</v>
      </c>
      <c r="L9" s="21">
        <f t="shared" si="2"/>
        <v>0.45</v>
      </c>
      <c r="M9" s="27"/>
      <c r="N9" s="22">
        <f t="shared" ref="N9:X9" si="3">M6*$L$9</f>
        <v>11250</v>
      </c>
      <c r="O9" s="22">
        <f t="shared" si="3"/>
        <v>15750</v>
      </c>
      <c r="P9" s="22">
        <f t="shared" si="3"/>
        <v>20250</v>
      </c>
      <c r="Q9" s="22">
        <f t="shared" si="3"/>
        <v>6750</v>
      </c>
      <c r="R9" s="22">
        <f t="shared" si="3"/>
        <v>11250</v>
      </c>
      <c r="S9" s="22">
        <f t="shared" si="3"/>
        <v>13500</v>
      </c>
      <c r="T9" s="22">
        <f t="shared" si="3"/>
        <v>5625</v>
      </c>
      <c r="U9" s="22">
        <f t="shared" si="3"/>
        <v>11250</v>
      </c>
      <c r="V9" s="22">
        <f t="shared" si="3"/>
        <v>15750</v>
      </c>
      <c r="W9" s="22">
        <f t="shared" si="3"/>
        <v>18000</v>
      </c>
      <c r="X9" s="22">
        <f t="shared" si="3"/>
        <v>11250</v>
      </c>
      <c r="Y9" s="22"/>
      <c r="Z9" s="23">
        <f t="shared" si="4"/>
        <v>140625</v>
      </c>
      <c r="AA9" s="24"/>
    </row>
    <row r="10">
      <c r="A10" s="1"/>
      <c r="B10" s="2"/>
      <c r="C10" s="8"/>
      <c r="D10" s="28" t="s">
        <v>8</v>
      </c>
      <c r="E10" s="10"/>
      <c r="F10" s="29">
        <v>0.3</v>
      </c>
      <c r="G10" s="10"/>
      <c r="H10" s="10"/>
      <c r="I10" s="12"/>
      <c r="J10" s="2"/>
      <c r="K10" s="26" t="s">
        <v>9</v>
      </c>
      <c r="L10" s="21">
        <f t="shared" si="2"/>
        <v>0.3</v>
      </c>
      <c r="M10" s="27"/>
      <c r="N10" s="27"/>
      <c r="O10" s="22">
        <f t="shared" ref="O10:X10" si="5">M6*$L$10</f>
        <v>7500</v>
      </c>
      <c r="P10" s="22">
        <f t="shared" si="5"/>
        <v>10500</v>
      </c>
      <c r="Q10" s="22">
        <f t="shared" si="5"/>
        <v>13500</v>
      </c>
      <c r="R10" s="22">
        <f t="shared" si="5"/>
        <v>4500</v>
      </c>
      <c r="S10" s="22">
        <f t="shared" si="5"/>
        <v>7500</v>
      </c>
      <c r="T10" s="22">
        <f t="shared" si="5"/>
        <v>9000</v>
      </c>
      <c r="U10" s="22">
        <f t="shared" si="5"/>
        <v>3750</v>
      </c>
      <c r="V10" s="22">
        <f t="shared" si="5"/>
        <v>7500</v>
      </c>
      <c r="W10" s="22">
        <f t="shared" si="5"/>
        <v>10500</v>
      </c>
      <c r="X10" s="22">
        <f t="shared" si="5"/>
        <v>12000</v>
      </c>
      <c r="Y10" s="22"/>
      <c r="Z10" s="23">
        <f t="shared" si="4"/>
        <v>86250</v>
      </c>
      <c r="AA10" s="24"/>
    </row>
    <row r="11">
      <c r="A11" s="1"/>
      <c r="B11" s="2"/>
      <c r="C11" s="8"/>
      <c r="D11" s="10" t="s">
        <v>10</v>
      </c>
      <c r="E11" s="10"/>
      <c r="F11" s="29">
        <v>0.05</v>
      </c>
      <c r="G11" s="10"/>
      <c r="H11" s="10"/>
      <c r="I11" s="12"/>
      <c r="J11" s="2"/>
      <c r="K11" s="26" t="s">
        <v>11</v>
      </c>
      <c r="L11" s="21">
        <f t="shared" si="2"/>
        <v>0.05</v>
      </c>
      <c r="M11" s="27"/>
      <c r="N11" s="27"/>
      <c r="O11" s="27"/>
      <c r="P11" s="22">
        <f t="shared" ref="P11:X11" si="6">M6*$L$11</f>
        <v>1250</v>
      </c>
      <c r="Q11" s="22">
        <f t="shared" si="6"/>
        <v>1750</v>
      </c>
      <c r="R11" s="22">
        <f t="shared" si="6"/>
        <v>2250</v>
      </c>
      <c r="S11" s="22">
        <f t="shared" si="6"/>
        <v>750</v>
      </c>
      <c r="T11" s="22">
        <f t="shared" si="6"/>
        <v>1250</v>
      </c>
      <c r="U11" s="22">
        <f t="shared" si="6"/>
        <v>1500</v>
      </c>
      <c r="V11" s="22">
        <f t="shared" si="6"/>
        <v>625</v>
      </c>
      <c r="W11" s="22">
        <f t="shared" si="6"/>
        <v>1250</v>
      </c>
      <c r="X11" s="22">
        <f t="shared" si="6"/>
        <v>1750</v>
      </c>
      <c r="Y11" s="22"/>
      <c r="Z11" s="23">
        <f t="shared" si="4"/>
        <v>12375</v>
      </c>
      <c r="AA11" s="24"/>
    </row>
    <row r="12">
      <c r="A12" s="1"/>
      <c r="B12" s="2"/>
      <c r="C12" s="8"/>
      <c r="D12" s="28" t="s">
        <v>12</v>
      </c>
      <c r="E12" s="10"/>
      <c r="F12" s="30"/>
      <c r="G12" s="10"/>
      <c r="H12" s="10"/>
      <c r="I12" s="12"/>
      <c r="J12" s="2"/>
      <c r="K12" s="26" t="s">
        <v>13</v>
      </c>
      <c r="L12" s="21" t="str">
        <f t="shared" si="2"/>
        <v/>
      </c>
      <c r="M12" s="27"/>
      <c r="N12" s="27"/>
      <c r="O12" s="27"/>
      <c r="P12" s="27"/>
      <c r="Q12" s="22">
        <f t="shared" ref="Q12:X12" si="7">M6*L12</f>
        <v>0</v>
      </c>
      <c r="R12" s="22">
        <f t="shared" si="7"/>
        <v>0</v>
      </c>
      <c r="S12" s="22">
        <f t="shared" si="7"/>
        <v>0</v>
      </c>
      <c r="T12" s="22">
        <f t="shared" si="7"/>
        <v>0</v>
      </c>
      <c r="U12" s="22">
        <f t="shared" si="7"/>
        <v>0</v>
      </c>
      <c r="V12" s="22">
        <f t="shared" si="7"/>
        <v>0</v>
      </c>
      <c r="W12" s="22">
        <f t="shared" si="7"/>
        <v>0</v>
      </c>
      <c r="X12" s="22">
        <f t="shared" si="7"/>
        <v>0</v>
      </c>
      <c r="Y12" s="22"/>
      <c r="Z12" s="23">
        <f t="shared" si="4"/>
        <v>0</v>
      </c>
      <c r="AA12" s="24"/>
    </row>
    <row r="13">
      <c r="A13" s="1"/>
      <c r="B13" s="2"/>
      <c r="C13" s="8"/>
      <c r="D13" s="10"/>
      <c r="E13" s="10"/>
      <c r="F13" s="31"/>
      <c r="G13" s="32">
        <f>100%-sum(F8:F12)</f>
        <v>0</v>
      </c>
      <c r="H13" s="33" t="s">
        <v>14</v>
      </c>
      <c r="I13" s="12"/>
      <c r="J13" s="2"/>
      <c r="K13" s="20"/>
      <c r="L13" s="34"/>
      <c r="M13" s="35"/>
      <c r="N13" s="35"/>
      <c r="O13" s="35"/>
      <c r="P13" s="35"/>
      <c r="Q13" s="36"/>
      <c r="R13" s="36"/>
      <c r="S13" s="36"/>
      <c r="T13" s="36"/>
      <c r="U13" s="36"/>
      <c r="V13" s="36"/>
      <c r="W13" s="36"/>
      <c r="X13" s="36"/>
      <c r="Y13" s="22"/>
      <c r="Z13" s="27"/>
      <c r="AA13" s="37"/>
    </row>
    <row r="14">
      <c r="A14" s="1"/>
      <c r="B14" s="2"/>
      <c r="C14" s="38"/>
      <c r="D14" s="39"/>
      <c r="E14" s="39"/>
      <c r="F14" s="39"/>
      <c r="G14" s="39"/>
      <c r="H14" s="39"/>
      <c r="I14" s="40"/>
      <c r="J14" s="2"/>
      <c r="K14" s="20"/>
      <c r="L14" s="41">
        <f>SUM(L8:L13)</f>
        <v>1</v>
      </c>
      <c r="M14" s="35">
        <f t="shared" ref="M14:X14" si="8">SUM(M8:M12)</f>
        <v>5000</v>
      </c>
      <c r="N14" s="35">
        <f t="shared" si="8"/>
        <v>18250</v>
      </c>
      <c r="O14" s="35">
        <f t="shared" si="8"/>
        <v>32250</v>
      </c>
      <c r="P14" s="35">
        <f t="shared" si="8"/>
        <v>35000</v>
      </c>
      <c r="Q14" s="35">
        <f t="shared" si="8"/>
        <v>27000</v>
      </c>
      <c r="R14" s="35">
        <f t="shared" si="8"/>
        <v>24000</v>
      </c>
      <c r="S14" s="35">
        <f t="shared" si="8"/>
        <v>24250</v>
      </c>
      <c r="T14" s="35">
        <f t="shared" si="8"/>
        <v>20875</v>
      </c>
      <c r="U14" s="35">
        <f t="shared" si="8"/>
        <v>23500</v>
      </c>
      <c r="V14" s="35">
        <f t="shared" si="8"/>
        <v>31875</v>
      </c>
      <c r="W14" s="35">
        <f t="shared" si="8"/>
        <v>34750</v>
      </c>
      <c r="X14" s="35">
        <f t="shared" si="8"/>
        <v>32160</v>
      </c>
      <c r="Y14" s="22"/>
      <c r="Z14" s="35">
        <f>SUM(Z8:Z13)</f>
        <v>308910</v>
      </c>
      <c r="AA14" s="24"/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4"/>
      <c r="Z15" s="2"/>
      <c r="AA15" s="2"/>
    </row>
    <row r="16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"/>
      <c r="B18" s="2"/>
      <c r="C18" s="3"/>
      <c r="D18" s="4"/>
      <c r="E18" s="4"/>
      <c r="F18" s="4"/>
      <c r="G18" s="4"/>
      <c r="H18" s="4"/>
      <c r="I18" s="5"/>
      <c r="J18" s="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7">
        <f>Z29/Z21</f>
        <v>0.9188815061</v>
      </c>
      <c r="AA18" s="2"/>
    </row>
    <row r="19">
      <c r="A19" s="1"/>
      <c r="B19" s="2"/>
      <c r="C19" s="8"/>
      <c r="D19" s="9" t="s">
        <v>15</v>
      </c>
      <c r="E19" s="10"/>
      <c r="F19" s="11" t="s">
        <v>1</v>
      </c>
      <c r="I19" s="12"/>
      <c r="J19" s="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"/>
    </row>
    <row r="20">
      <c r="A20" s="1"/>
      <c r="B20" s="2"/>
      <c r="C20" s="8"/>
      <c r="D20" s="10"/>
      <c r="E20" s="10"/>
      <c r="F20" s="10"/>
      <c r="G20" s="10"/>
      <c r="H20" s="10"/>
      <c r="I20" s="12"/>
      <c r="J20" s="2"/>
      <c r="K20" s="6"/>
      <c r="L20" s="13"/>
      <c r="M20" s="42">
        <f t="shared" ref="M20:X20" si="9">M5</f>
        <v>44287</v>
      </c>
      <c r="N20" s="42">
        <f t="shared" si="9"/>
        <v>44317</v>
      </c>
      <c r="O20" s="42">
        <f t="shared" si="9"/>
        <v>44348</v>
      </c>
      <c r="P20" s="42">
        <f t="shared" si="9"/>
        <v>44378</v>
      </c>
      <c r="Q20" s="42">
        <f t="shared" si="9"/>
        <v>44409</v>
      </c>
      <c r="R20" s="42">
        <f t="shared" si="9"/>
        <v>44440</v>
      </c>
      <c r="S20" s="42">
        <f t="shared" si="9"/>
        <v>44470</v>
      </c>
      <c r="T20" s="42">
        <f t="shared" si="9"/>
        <v>44501</v>
      </c>
      <c r="U20" s="42">
        <f t="shared" si="9"/>
        <v>44531</v>
      </c>
      <c r="V20" s="42">
        <f t="shared" si="9"/>
        <v>44562</v>
      </c>
      <c r="W20" s="42">
        <f t="shared" si="9"/>
        <v>44593</v>
      </c>
      <c r="X20" s="42">
        <f t="shared" si="9"/>
        <v>44621</v>
      </c>
      <c r="Y20" s="15"/>
      <c r="Z20" s="15"/>
      <c r="AA20" s="2"/>
    </row>
    <row r="21">
      <c r="A21" s="1"/>
      <c r="B21" s="2"/>
      <c r="C21" s="8"/>
      <c r="D21" s="28" t="s">
        <v>16</v>
      </c>
      <c r="E21" s="10"/>
      <c r="F21" s="10"/>
      <c r="G21" s="10"/>
      <c r="H21" s="10"/>
      <c r="I21" s="12"/>
      <c r="J21" s="2"/>
      <c r="K21" s="43" t="s">
        <v>17</v>
      </c>
      <c r="L21" s="13"/>
      <c r="M21" s="44">
        <f>'Budget Figures'!D20</f>
        <v>13000</v>
      </c>
      <c r="N21" s="44">
        <f>'Budget Figures'!E20</f>
        <v>15000</v>
      </c>
      <c r="O21" s="44">
        <f>'Budget Figures'!F20</f>
        <v>18000</v>
      </c>
      <c r="P21" s="44">
        <f>'Budget Figures'!G20</f>
        <v>12000</v>
      </c>
      <c r="Q21" s="44">
        <f>'Budget Figures'!H20</f>
        <v>20000</v>
      </c>
      <c r="R21" s="44">
        <f>'Budget Figures'!I20</f>
        <v>15000</v>
      </c>
      <c r="S21" s="44">
        <f>'Budget Figures'!J20</f>
        <v>5600</v>
      </c>
      <c r="T21" s="44">
        <f>'Budget Figures'!K20</f>
        <v>12000</v>
      </c>
      <c r="U21" s="44">
        <f>'Budget Figures'!L20</f>
        <v>15000</v>
      </c>
      <c r="V21" s="44">
        <f>'Budget Figures'!M20</f>
        <v>22000</v>
      </c>
      <c r="W21" s="44">
        <f>'Budget Figures'!N20</f>
        <v>13000</v>
      </c>
      <c r="X21" s="44">
        <f>'Budget Figures'!O20</f>
        <v>20000</v>
      </c>
      <c r="Y21" s="6"/>
      <c r="Z21" s="44">
        <f>sum(M21:X21)</f>
        <v>180600</v>
      </c>
      <c r="AA21" s="2"/>
    </row>
    <row r="22">
      <c r="A22" s="1"/>
      <c r="B22" s="2"/>
      <c r="C22" s="8"/>
      <c r="D22" s="10"/>
      <c r="E22" s="10"/>
      <c r="F22" s="10"/>
      <c r="G22" s="10"/>
      <c r="H22" s="10"/>
      <c r="I22" s="12"/>
      <c r="J22" s="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2"/>
    </row>
    <row r="23">
      <c r="A23" s="1"/>
      <c r="B23" s="2"/>
      <c r="C23" s="8"/>
      <c r="D23" s="10" t="s">
        <v>18</v>
      </c>
      <c r="E23" s="10"/>
      <c r="F23" s="45">
        <v>0.3</v>
      </c>
      <c r="G23" s="10"/>
      <c r="H23" s="10"/>
      <c r="I23" s="12"/>
      <c r="J23" s="2"/>
      <c r="K23" s="20" t="s">
        <v>5</v>
      </c>
      <c r="L23" s="21">
        <f t="shared" ref="L23:L27" si="11">F23</f>
        <v>0.3</v>
      </c>
      <c r="M23" s="22">
        <f t="shared" ref="M23:X23" si="10">M21*$L$23</f>
        <v>3900</v>
      </c>
      <c r="N23" s="22">
        <f t="shared" si="10"/>
        <v>4500</v>
      </c>
      <c r="O23" s="22">
        <f t="shared" si="10"/>
        <v>5400</v>
      </c>
      <c r="P23" s="22">
        <f t="shared" si="10"/>
        <v>3600</v>
      </c>
      <c r="Q23" s="22">
        <f t="shared" si="10"/>
        <v>6000</v>
      </c>
      <c r="R23" s="22">
        <f t="shared" si="10"/>
        <v>4500</v>
      </c>
      <c r="S23" s="22">
        <f t="shared" si="10"/>
        <v>1680</v>
      </c>
      <c r="T23" s="22">
        <f t="shared" si="10"/>
        <v>3600</v>
      </c>
      <c r="U23" s="22">
        <f t="shared" si="10"/>
        <v>4500</v>
      </c>
      <c r="V23" s="22">
        <f t="shared" si="10"/>
        <v>6600</v>
      </c>
      <c r="W23" s="22">
        <f t="shared" si="10"/>
        <v>3900</v>
      </c>
      <c r="X23" s="22">
        <f t="shared" si="10"/>
        <v>6000</v>
      </c>
      <c r="Y23" s="22"/>
      <c r="Z23" s="23">
        <f t="shared" ref="Z23:Z27" si="13">sum(M23:X23)</f>
        <v>54180</v>
      </c>
      <c r="AA23" s="2"/>
    </row>
    <row r="24">
      <c r="A24" s="1"/>
      <c r="B24" s="2"/>
      <c r="C24" s="8"/>
      <c r="D24" s="10" t="s">
        <v>19</v>
      </c>
      <c r="E24" s="10"/>
      <c r="F24" s="45">
        <v>0.65</v>
      </c>
      <c r="G24" s="10"/>
      <c r="H24" s="10"/>
      <c r="I24" s="12"/>
      <c r="J24" s="2"/>
      <c r="K24" s="26" t="s">
        <v>7</v>
      </c>
      <c r="L24" s="21">
        <f t="shared" si="11"/>
        <v>0.65</v>
      </c>
      <c r="M24" s="27"/>
      <c r="N24" s="22">
        <f t="shared" ref="N24:X24" si="12">M21*$L$24</f>
        <v>8450</v>
      </c>
      <c r="O24" s="22">
        <f t="shared" si="12"/>
        <v>9750</v>
      </c>
      <c r="P24" s="22">
        <f t="shared" si="12"/>
        <v>11700</v>
      </c>
      <c r="Q24" s="22">
        <f t="shared" si="12"/>
        <v>7800</v>
      </c>
      <c r="R24" s="22">
        <f t="shared" si="12"/>
        <v>13000</v>
      </c>
      <c r="S24" s="22">
        <f t="shared" si="12"/>
        <v>9750</v>
      </c>
      <c r="T24" s="22">
        <f t="shared" si="12"/>
        <v>3640</v>
      </c>
      <c r="U24" s="22">
        <f t="shared" si="12"/>
        <v>7800</v>
      </c>
      <c r="V24" s="22">
        <f t="shared" si="12"/>
        <v>9750</v>
      </c>
      <c r="W24" s="22">
        <f t="shared" si="12"/>
        <v>14300</v>
      </c>
      <c r="X24" s="22">
        <f t="shared" si="12"/>
        <v>8450</v>
      </c>
      <c r="Y24" s="22"/>
      <c r="Z24" s="23">
        <f t="shared" si="13"/>
        <v>104390</v>
      </c>
      <c r="AA24" s="2"/>
    </row>
    <row r="25">
      <c r="A25" s="1"/>
      <c r="B25" s="2"/>
      <c r="C25" s="8"/>
      <c r="D25" s="28" t="s">
        <v>20</v>
      </c>
      <c r="E25" s="10"/>
      <c r="F25" s="45">
        <v>0.05</v>
      </c>
      <c r="G25" s="10"/>
      <c r="H25" s="10"/>
      <c r="I25" s="12"/>
      <c r="J25" s="2"/>
      <c r="K25" s="26" t="s">
        <v>9</v>
      </c>
      <c r="L25" s="21">
        <f t="shared" si="11"/>
        <v>0.05</v>
      </c>
      <c r="M25" s="27"/>
      <c r="N25" s="27"/>
      <c r="O25" s="22">
        <f t="shared" ref="O25:X25" si="14">M21*$L$25</f>
        <v>650</v>
      </c>
      <c r="P25" s="22">
        <f t="shared" si="14"/>
        <v>750</v>
      </c>
      <c r="Q25" s="22">
        <f t="shared" si="14"/>
        <v>900</v>
      </c>
      <c r="R25" s="22">
        <f t="shared" si="14"/>
        <v>600</v>
      </c>
      <c r="S25" s="22">
        <f t="shared" si="14"/>
        <v>1000</v>
      </c>
      <c r="T25" s="22">
        <f t="shared" si="14"/>
        <v>750</v>
      </c>
      <c r="U25" s="22">
        <f t="shared" si="14"/>
        <v>280</v>
      </c>
      <c r="V25" s="22">
        <f t="shared" si="14"/>
        <v>600</v>
      </c>
      <c r="W25" s="22">
        <f t="shared" si="14"/>
        <v>750</v>
      </c>
      <c r="X25" s="22">
        <f t="shared" si="14"/>
        <v>1100</v>
      </c>
      <c r="Y25" s="22"/>
      <c r="Z25" s="23">
        <f t="shared" si="13"/>
        <v>7380</v>
      </c>
      <c r="AA25" s="2"/>
    </row>
    <row r="26">
      <c r="A26" s="1"/>
      <c r="B26" s="2"/>
      <c r="C26" s="8"/>
      <c r="D26" s="10" t="s">
        <v>21</v>
      </c>
      <c r="E26" s="10"/>
      <c r="F26" s="46"/>
      <c r="G26" s="10"/>
      <c r="H26" s="10"/>
      <c r="I26" s="12"/>
      <c r="J26" s="2"/>
      <c r="K26" s="26" t="s">
        <v>11</v>
      </c>
      <c r="L26" s="21" t="str">
        <f t="shared" si="11"/>
        <v/>
      </c>
      <c r="M26" s="27"/>
      <c r="N26" s="27"/>
      <c r="O26" s="27"/>
      <c r="P26" s="22">
        <f t="shared" ref="P26:X26" si="15">M21*$L$26</f>
        <v>0</v>
      </c>
      <c r="Q26" s="22">
        <f t="shared" si="15"/>
        <v>0</v>
      </c>
      <c r="R26" s="22">
        <f t="shared" si="15"/>
        <v>0</v>
      </c>
      <c r="S26" s="22">
        <f t="shared" si="15"/>
        <v>0</v>
      </c>
      <c r="T26" s="22">
        <f t="shared" si="15"/>
        <v>0</v>
      </c>
      <c r="U26" s="22">
        <f t="shared" si="15"/>
        <v>0</v>
      </c>
      <c r="V26" s="22">
        <f t="shared" si="15"/>
        <v>0</v>
      </c>
      <c r="W26" s="22">
        <f t="shared" si="15"/>
        <v>0</v>
      </c>
      <c r="X26" s="22">
        <f t="shared" si="15"/>
        <v>0</v>
      </c>
      <c r="Y26" s="22"/>
      <c r="Z26" s="23">
        <f t="shared" si="13"/>
        <v>0</v>
      </c>
      <c r="AA26" s="2"/>
    </row>
    <row r="27">
      <c r="A27" s="1"/>
      <c r="B27" s="2"/>
      <c r="C27" s="8"/>
      <c r="D27" s="28" t="s">
        <v>22</v>
      </c>
      <c r="E27" s="10"/>
      <c r="F27" s="47"/>
      <c r="G27" s="10"/>
      <c r="H27" s="10"/>
      <c r="I27" s="12"/>
      <c r="J27" s="2"/>
      <c r="K27" s="26" t="s">
        <v>13</v>
      </c>
      <c r="L27" s="21" t="str">
        <f t="shared" si="11"/>
        <v/>
      </c>
      <c r="M27" s="27"/>
      <c r="N27" s="27"/>
      <c r="O27" s="27"/>
      <c r="P27" s="27"/>
      <c r="Q27" s="22">
        <f t="shared" ref="Q27:X27" si="16">M21*$L$27</f>
        <v>0</v>
      </c>
      <c r="R27" s="22">
        <f t="shared" si="16"/>
        <v>0</v>
      </c>
      <c r="S27" s="22">
        <f t="shared" si="16"/>
        <v>0</v>
      </c>
      <c r="T27" s="22">
        <f t="shared" si="16"/>
        <v>0</v>
      </c>
      <c r="U27" s="22">
        <f t="shared" si="16"/>
        <v>0</v>
      </c>
      <c r="V27" s="22">
        <f t="shared" si="16"/>
        <v>0</v>
      </c>
      <c r="W27" s="22">
        <f t="shared" si="16"/>
        <v>0</v>
      </c>
      <c r="X27" s="22">
        <f t="shared" si="16"/>
        <v>0</v>
      </c>
      <c r="Y27" s="22"/>
      <c r="Z27" s="23">
        <f t="shared" si="13"/>
        <v>0</v>
      </c>
      <c r="AA27" s="2"/>
    </row>
    <row r="28">
      <c r="A28" s="1"/>
      <c r="B28" s="2"/>
      <c r="C28" s="8"/>
      <c r="D28" s="10"/>
      <c r="E28" s="10"/>
      <c r="F28" s="31"/>
      <c r="G28" s="32">
        <f>100%-sum(F23:F27)</f>
        <v>0</v>
      </c>
      <c r="H28" s="33" t="s">
        <v>14</v>
      </c>
      <c r="I28" s="12"/>
      <c r="J28" s="2"/>
      <c r="K28" s="20"/>
      <c r="L28" s="34"/>
      <c r="M28" s="35"/>
      <c r="N28" s="35"/>
      <c r="O28" s="35"/>
      <c r="P28" s="35"/>
      <c r="Q28" s="36"/>
      <c r="R28" s="36"/>
      <c r="S28" s="36"/>
      <c r="T28" s="36"/>
      <c r="U28" s="36"/>
      <c r="V28" s="36"/>
      <c r="W28" s="36"/>
      <c r="X28" s="36"/>
      <c r="Y28" s="22"/>
      <c r="Z28" s="27"/>
      <c r="AA28" s="2"/>
    </row>
    <row r="29">
      <c r="A29" s="1"/>
      <c r="B29" s="2"/>
      <c r="C29" s="38"/>
      <c r="D29" s="39"/>
      <c r="E29" s="39"/>
      <c r="F29" s="39"/>
      <c r="G29" s="39"/>
      <c r="H29" s="39"/>
      <c r="I29" s="40"/>
      <c r="J29" s="2"/>
      <c r="K29" s="20"/>
      <c r="L29" s="41">
        <f>SUM(L23:L28)</f>
        <v>1</v>
      </c>
      <c r="M29" s="35">
        <f t="shared" ref="M29:X29" si="17">SUM(M23:M27)</f>
        <v>3900</v>
      </c>
      <c r="N29" s="35">
        <f t="shared" si="17"/>
        <v>12950</v>
      </c>
      <c r="O29" s="35">
        <f t="shared" si="17"/>
        <v>15800</v>
      </c>
      <c r="P29" s="35">
        <f t="shared" si="17"/>
        <v>16050</v>
      </c>
      <c r="Q29" s="35">
        <f t="shared" si="17"/>
        <v>14700</v>
      </c>
      <c r="R29" s="35">
        <f t="shared" si="17"/>
        <v>18100</v>
      </c>
      <c r="S29" s="35">
        <f t="shared" si="17"/>
        <v>12430</v>
      </c>
      <c r="T29" s="35">
        <f t="shared" si="17"/>
        <v>7990</v>
      </c>
      <c r="U29" s="35">
        <f t="shared" si="17"/>
        <v>12580</v>
      </c>
      <c r="V29" s="35">
        <f t="shared" si="17"/>
        <v>16950</v>
      </c>
      <c r="W29" s="35">
        <f t="shared" si="17"/>
        <v>18950</v>
      </c>
      <c r="X29" s="35">
        <f t="shared" si="17"/>
        <v>15550</v>
      </c>
      <c r="Y29" s="22"/>
      <c r="Z29" s="35">
        <f>SUM(Z23:Z28)</f>
        <v>165950</v>
      </c>
      <c r="AA29" s="2"/>
    </row>
    <row r="30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42.0" customHeight="1">
      <c r="A32" s="1"/>
      <c r="B32" s="2"/>
      <c r="C32" s="48" t="s">
        <v>23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1"/>
      <c r="B34" s="2"/>
      <c r="C34" s="2"/>
      <c r="D34" s="49" t="s">
        <v>24</v>
      </c>
      <c r="E34" s="2"/>
      <c r="F34" s="50">
        <v>0.15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1"/>
      <c r="B35" s="2"/>
      <c r="C35" s="2"/>
      <c r="E35" s="2"/>
      <c r="F35" s="5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mergeCells count="5">
    <mergeCell ref="F4:H4"/>
    <mergeCell ref="F19:H19"/>
    <mergeCell ref="C32:I32"/>
    <mergeCell ref="D34:D35"/>
    <mergeCell ref="F34:F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2.71"/>
    <col customWidth="1" min="3" max="3" width="36.71"/>
    <col customWidth="1" min="4" max="15" width="13.86"/>
    <col customWidth="1" min="16" max="16" width="2.14"/>
    <col customWidth="1" min="17" max="17" width="14.14"/>
    <col customWidth="1" min="18" max="19" width="2.86"/>
    <col customWidth="1" min="20" max="20" width="16.86"/>
    <col customWidth="1" min="21" max="21" width="13.57"/>
    <col customWidth="1" min="22" max="22" width="8.71"/>
    <col customWidth="1" min="23" max="23" width="12.14"/>
    <col customWidth="1" min="24" max="24" width="12.43"/>
    <col customWidth="1" min="25" max="31" width="8.71"/>
  </cols>
  <sheetData>
    <row r="1" ht="11.2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2"/>
      <c r="Z1" s="2"/>
      <c r="AA1" s="2"/>
      <c r="AB1" s="2"/>
      <c r="AC1" s="2"/>
      <c r="AD1" s="2"/>
      <c r="AE1" s="2"/>
    </row>
    <row r="2" ht="12.7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2"/>
      <c r="T2" s="53"/>
      <c r="U2" s="53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75" customHeight="1">
      <c r="A3" s="52"/>
      <c r="B3" s="53"/>
      <c r="C3" s="54" t="s">
        <v>25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3"/>
      <c r="Q3" s="55"/>
      <c r="R3" s="2"/>
      <c r="S3" s="52"/>
      <c r="T3" s="2"/>
      <c r="U3" s="49" t="s">
        <v>24</v>
      </c>
      <c r="V3" s="56">
        <f>Assumptions!F34</f>
        <v>0.15</v>
      </c>
      <c r="W3" s="2"/>
      <c r="X3" s="2"/>
      <c r="Y3" s="2"/>
      <c r="Z3" s="2"/>
      <c r="AA3" s="2"/>
      <c r="AB3" s="2"/>
      <c r="AC3" s="2"/>
      <c r="AD3" s="2"/>
      <c r="AE3" s="2"/>
    </row>
    <row r="4" ht="12.75" customHeight="1">
      <c r="A4" s="52"/>
      <c r="B4" s="53"/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3"/>
      <c r="Q4" s="59"/>
      <c r="R4" s="2"/>
      <c r="S4" s="52"/>
      <c r="T4" s="2"/>
      <c r="V4" s="51"/>
      <c r="W4" s="2"/>
      <c r="X4" s="2"/>
      <c r="Y4" s="2"/>
      <c r="Z4" s="2"/>
      <c r="AA4" s="2"/>
      <c r="AB4" s="2"/>
      <c r="AC4" s="2"/>
      <c r="AD4" s="2"/>
      <c r="AE4" s="2"/>
    </row>
    <row r="5" ht="12.75" customHeight="1">
      <c r="A5" s="52"/>
      <c r="B5" s="5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3"/>
      <c r="Q5" s="2"/>
      <c r="R5" s="2"/>
      <c r="S5" s="5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5.75" customHeight="1">
      <c r="A6" s="52"/>
      <c r="B6" s="53"/>
      <c r="C6" s="60"/>
      <c r="D6" s="61">
        <v>44287.0</v>
      </c>
      <c r="E6" s="61">
        <v>44317.0</v>
      </c>
      <c r="F6" s="61">
        <v>44348.0</v>
      </c>
      <c r="G6" s="61">
        <v>44378.0</v>
      </c>
      <c r="H6" s="61">
        <v>44409.0</v>
      </c>
      <c r="I6" s="61">
        <v>44440.0</v>
      </c>
      <c r="J6" s="61">
        <v>44470.0</v>
      </c>
      <c r="K6" s="61">
        <v>44501.0</v>
      </c>
      <c r="L6" s="61">
        <v>44531.0</v>
      </c>
      <c r="M6" s="61">
        <v>44562.0</v>
      </c>
      <c r="N6" s="61">
        <v>44593.0</v>
      </c>
      <c r="O6" s="61">
        <v>44621.0</v>
      </c>
      <c r="P6" s="53"/>
      <c r="Q6" s="62" t="s">
        <v>26</v>
      </c>
      <c r="R6" s="2"/>
      <c r="S6" s="5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7.25" customHeight="1">
      <c r="A7" s="52"/>
      <c r="B7" s="53"/>
      <c r="C7" s="63" t="s">
        <v>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2.75" customHeight="1">
      <c r="A8" s="52"/>
      <c r="B8" s="53"/>
      <c r="C8" s="6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5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2.75" customHeight="1">
      <c r="A9" s="52"/>
      <c r="B9" s="53"/>
      <c r="C9" s="65" t="s">
        <v>3</v>
      </c>
      <c r="D9" s="66">
        <v>25000.0</v>
      </c>
      <c r="E9" s="66">
        <v>35000.0</v>
      </c>
      <c r="F9" s="66">
        <v>45000.0</v>
      </c>
      <c r="G9" s="66">
        <v>15000.0</v>
      </c>
      <c r="H9" s="66">
        <v>25000.0</v>
      </c>
      <c r="I9" s="66">
        <v>30000.0</v>
      </c>
      <c r="J9" s="66">
        <v>12500.0</v>
      </c>
      <c r="K9" s="66">
        <v>25000.0</v>
      </c>
      <c r="L9" s="66">
        <v>35000.0</v>
      </c>
      <c r="M9" s="66">
        <v>40000.0</v>
      </c>
      <c r="N9" s="66">
        <v>25000.0</v>
      </c>
      <c r="O9" s="66">
        <v>35800.0</v>
      </c>
      <c r="P9" s="53"/>
      <c r="Q9" s="67">
        <f t="shared" ref="Q9:Q14" si="1">SUM(D9:O9)</f>
        <v>348300</v>
      </c>
      <c r="R9" s="2"/>
      <c r="S9" s="5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2.75" customHeight="1">
      <c r="A10" s="52"/>
      <c r="B10" s="53"/>
      <c r="C10" s="68" t="s">
        <v>28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53"/>
      <c r="Q10" s="67">
        <f t="shared" si="1"/>
        <v>0</v>
      </c>
      <c r="R10" s="2"/>
      <c r="S10" s="5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2.75" customHeight="1">
      <c r="A11" s="52"/>
      <c r="B11" s="53"/>
      <c r="C11" s="68" t="s">
        <v>29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53"/>
      <c r="Q11" s="67">
        <f t="shared" si="1"/>
        <v>0</v>
      </c>
      <c r="R11" s="2"/>
      <c r="S11" s="5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75" customHeight="1">
      <c r="A12" s="52"/>
      <c r="B12" s="53"/>
      <c r="C12" s="68" t="s">
        <v>30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53"/>
      <c r="Q12" s="67">
        <f t="shared" si="1"/>
        <v>0</v>
      </c>
      <c r="R12" s="2"/>
      <c r="S12" s="5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2.75" customHeight="1">
      <c r="A13" s="52"/>
      <c r="B13" s="53"/>
      <c r="C13" s="70" t="s">
        <v>31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53"/>
      <c r="Q13" s="67">
        <f t="shared" si="1"/>
        <v>0</v>
      </c>
      <c r="R13" s="2"/>
      <c r="S13" s="5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2.75" customHeight="1">
      <c r="A14" s="52"/>
      <c r="B14" s="53"/>
      <c r="C14" s="71" t="s">
        <v>32</v>
      </c>
      <c r="D14" s="66">
        <v>250.0</v>
      </c>
      <c r="E14" s="66">
        <v>250.0</v>
      </c>
      <c r="F14" s="66">
        <v>250.0</v>
      </c>
      <c r="G14" s="66">
        <v>250.0</v>
      </c>
      <c r="H14" s="66">
        <v>250.0</v>
      </c>
      <c r="I14" s="66">
        <v>250.0</v>
      </c>
      <c r="J14" s="66">
        <v>250.0</v>
      </c>
      <c r="K14" s="66">
        <v>250.0</v>
      </c>
      <c r="L14" s="66">
        <v>250.0</v>
      </c>
      <c r="M14" s="66">
        <v>250.0</v>
      </c>
      <c r="N14" s="66">
        <v>250.0</v>
      </c>
      <c r="O14" s="66">
        <v>250.0</v>
      </c>
      <c r="P14" s="53"/>
      <c r="Q14" s="67">
        <f t="shared" si="1"/>
        <v>3000</v>
      </c>
      <c r="R14" s="2"/>
      <c r="S14" s="5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2.75" customHeight="1">
      <c r="A15" s="52"/>
      <c r="B15" s="5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3"/>
      <c r="Q15" s="2"/>
      <c r="R15" s="2"/>
      <c r="S15" s="5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2.75" customHeight="1">
      <c r="A16" s="52"/>
      <c r="B16" s="53"/>
      <c r="C16" s="72" t="s">
        <v>33</v>
      </c>
      <c r="D16" s="73">
        <f>Assumptions!M14+D10+D11+D12+D13+D14</f>
        <v>5250</v>
      </c>
      <c r="E16" s="73">
        <f>Assumptions!N14+E10+E11+E12+E13+E14</f>
        <v>18500</v>
      </c>
      <c r="F16" s="73">
        <f>Assumptions!O14+F10+F11+F12+F13+F14</f>
        <v>32500</v>
      </c>
      <c r="G16" s="73">
        <f>Assumptions!P14+G10+G11+G12+G13+G14</f>
        <v>35250</v>
      </c>
      <c r="H16" s="73">
        <f>Assumptions!Q14+H10+H11+H12+H13+H14</f>
        <v>27250</v>
      </c>
      <c r="I16" s="73">
        <f>Assumptions!R14+I10+I11+I12+I13+I14</f>
        <v>24250</v>
      </c>
      <c r="J16" s="73">
        <f>Assumptions!S14+J10+J11+J12+J13+J14</f>
        <v>24500</v>
      </c>
      <c r="K16" s="73">
        <f>Assumptions!T14+K10+K11+K12+K13+K14</f>
        <v>21125</v>
      </c>
      <c r="L16" s="73">
        <f>Assumptions!U14+L10+L11+L12+L13+L14</f>
        <v>23750</v>
      </c>
      <c r="M16" s="73">
        <f>Assumptions!V14+M10+M11+M12+M13+M14</f>
        <v>32125</v>
      </c>
      <c r="N16" s="73">
        <f>Assumptions!W14+N10+N11+N12+N13+N14</f>
        <v>35000</v>
      </c>
      <c r="O16" s="73">
        <f>Assumptions!X14+O10+O11+O12+O13+O14</f>
        <v>32410</v>
      </c>
      <c r="P16" s="53"/>
      <c r="Q16" s="73">
        <f>SUM(D16:O16)</f>
        <v>311910</v>
      </c>
      <c r="R16" s="2"/>
      <c r="S16" s="5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2.75" customHeight="1">
      <c r="A17" s="52"/>
      <c r="B17" s="53"/>
      <c r="C17" s="2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53"/>
      <c r="Q17" s="74"/>
      <c r="R17" s="2"/>
      <c r="S17" s="5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5.75" customHeight="1">
      <c r="A18" s="52"/>
      <c r="B18" s="53"/>
      <c r="C18" s="75" t="s">
        <v>34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53"/>
      <c r="Q18" s="74"/>
      <c r="R18" s="2"/>
      <c r="S18" s="5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7.5" customHeight="1">
      <c r="A19" s="52"/>
      <c r="B19" s="53"/>
      <c r="C19" s="7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53"/>
      <c r="Q19" s="74"/>
      <c r="R19" s="2"/>
      <c r="S19" s="5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2.75" customHeight="1">
      <c r="A20" s="52"/>
      <c r="B20" s="53"/>
      <c r="C20" s="76" t="s">
        <v>17</v>
      </c>
      <c r="D20" s="77">
        <v>13000.0</v>
      </c>
      <c r="E20" s="77">
        <v>15000.0</v>
      </c>
      <c r="F20" s="77">
        <v>18000.0</v>
      </c>
      <c r="G20" s="77">
        <v>12000.0</v>
      </c>
      <c r="H20" s="77">
        <v>20000.0</v>
      </c>
      <c r="I20" s="77">
        <v>15000.0</v>
      </c>
      <c r="J20" s="77">
        <v>5600.0</v>
      </c>
      <c r="K20" s="77">
        <v>12000.0</v>
      </c>
      <c r="L20" s="77">
        <v>15000.0</v>
      </c>
      <c r="M20" s="77">
        <v>22000.0</v>
      </c>
      <c r="N20" s="77">
        <v>13000.0</v>
      </c>
      <c r="O20" s="77">
        <v>20000.0</v>
      </c>
      <c r="P20" s="53"/>
      <c r="Q20" s="78">
        <f>SUM(D20:O20)</f>
        <v>180600</v>
      </c>
      <c r="R20" s="2"/>
      <c r="S20" s="5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7.5" customHeight="1">
      <c r="A21" s="52"/>
      <c r="B21" s="53"/>
      <c r="C21" s="76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53"/>
      <c r="Q21" s="79"/>
      <c r="R21" s="2"/>
      <c r="S21" s="5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2.75" customHeight="1">
      <c r="A22" s="52"/>
      <c r="B22" s="53"/>
      <c r="C22" s="75" t="s">
        <v>35</v>
      </c>
      <c r="D22" s="80">
        <f>Assumptions!M29</f>
        <v>3900</v>
      </c>
      <c r="E22" s="80">
        <f>Assumptions!N29</f>
        <v>12950</v>
      </c>
      <c r="F22" s="80">
        <f>Assumptions!O29</f>
        <v>15800</v>
      </c>
      <c r="G22" s="80">
        <f>Assumptions!P29</f>
        <v>16050</v>
      </c>
      <c r="H22" s="80">
        <f>Assumptions!Q29</f>
        <v>14700</v>
      </c>
      <c r="I22" s="80">
        <f>Assumptions!R29</f>
        <v>18100</v>
      </c>
      <c r="J22" s="80">
        <f>Assumptions!S29</f>
        <v>12430</v>
      </c>
      <c r="K22" s="80">
        <f>Assumptions!T29</f>
        <v>7990</v>
      </c>
      <c r="L22" s="80">
        <f>Assumptions!U29</f>
        <v>12580</v>
      </c>
      <c r="M22" s="80">
        <f>Assumptions!V29</f>
        <v>16950</v>
      </c>
      <c r="N22" s="80">
        <f>Assumptions!W29</f>
        <v>18950</v>
      </c>
      <c r="O22" s="80">
        <f>Assumptions!X29</f>
        <v>15550</v>
      </c>
      <c r="P22" s="53"/>
      <c r="Q22" s="78">
        <f>SUM(D22:O22)</f>
        <v>165950</v>
      </c>
      <c r="R22" s="2"/>
      <c r="S22" s="5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2.75" customHeight="1">
      <c r="A23" s="52"/>
      <c r="B23" s="53"/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53"/>
      <c r="Q23" s="79"/>
      <c r="R23" s="2"/>
      <c r="S23" s="5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2.75" customHeight="1">
      <c r="A24" s="52"/>
      <c r="B24" s="53"/>
      <c r="C24" s="81" t="s">
        <v>36</v>
      </c>
      <c r="D24" s="82">
        <f t="shared" ref="D24:O24" si="2">D16-D22</f>
        <v>1350</v>
      </c>
      <c r="E24" s="82">
        <f t="shared" si="2"/>
        <v>5550</v>
      </c>
      <c r="F24" s="82">
        <f t="shared" si="2"/>
        <v>16700</v>
      </c>
      <c r="G24" s="82">
        <f t="shared" si="2"/>
        <v>19200</v>
      </c>
      <c r="H24" s="82">
        <f t="shared" si="2"/>
        <v>12550</v>
      </c>
      <c r="I24" s="82">
        <f t="shared" si="2"/>
        <v>6150</v>
      </c>
      <c r="J24" s="82">
        <f t="shared" si="2"/>
        <v>12070</v>
      </c>
      <c r="K24" s="82">
        <f t="shared" si="2"/>
        <v>13135</v>
      </c>
      <c r="L24" s="82">
        <f t="shared" si="2"/>
        <v>11170</v>
      </c>
      <c r="M24" s="82">
        <f t="shared" si="2"/>
        <v>15175</v>
      </c>
      <c r="N24" s="82">
        <f t="shared" si="2"/>
        <v>16050</v>
      </c>
      <c r="O24" s="82">
        <f t="shared" si="2"/>
        <v>16860</v>
      </c>
      <c r="P24" s="53"/>
      <c r="Q24" s="78">
        <f>SUM(D24:O24)</f>
        <v>145960</v>
      </c>
      <c r="R24" s="2"/>
      <c r="S24" s="5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2.75" customHeight="1">
      <c r="A25" s="52"/>
      <c r="B25" s="53"/>
      <c r="C25" s="2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53"/>
      <c r="Q25" s="74"/>
      <c r="R25" s="2"/>
      <c r="S25" s="5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2.75" customHeight="1">
      <c r="A26" s="52"/>
      <c r="B26" s="53"/>
      <c r="C26" s="83" t="s">
        <v>37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53"/>
      <c r="Q26" s="74"/>
      <c r="R26" s="2"/>
      <c r="S26" s="5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2.75" customHeight="1">
      <c r="A27" s="52"/>
      <c r="B27" s="5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3"/>
      <c r="Q27" s="2"/>
      <c r="R27" s="2"/>
      <c r="S27" s="5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2.75" customHeight="1">
      <c r="A28" s="52"/>
      <c r="B28" s="53"/>
      <c r="C28" s="84" t="s">
        <v>38</v>
      </c>
      <c r="D28" s="85">
        <v>500.0</v>
      </c>
      <c r="E28" s="85">
        <v>500.0</v>
      </c>
      <c r="F28" s="85">
        <v>500.0</v>
      </c>
      <c r="G28" s="85">
        <v>500.0</v>
      </c>
      <c r="H28" s="85">
        <v>500.0</v>
      </c>
      <c r="I28" s="85">
        <v>500.0</v>
      </c>
      <c r="J28" s="85">
        <v>500.0</v>
      </c>
      <c r="K28" s="85">
        <v>500.0</v>
      </c>
      <c r="L28" s="85">
        <v>500.0</v>
      </c>
      <c r="M28" s="85">
        <v>500.0</v>
      </c>
      <c r="N28" s="85">
        <v>500.0</v>
      </c>
      <c r="O28" s="85">
        <v>500.0</v>
      </c>
      <c r="P28" s="53"/>
      <c r="Q28" s="67">
        <f t="shared" ref="Q28:Q54" si="3">SUM(D28:O28)</f>
        <v>6000</v>
      </c>
      <c r="R28" s="2"/>
      <c r="S28" s="5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2.75" customHeight="1">
      <c r="A29" s="52"/>
      <c r="B29" s="53"/>
      <c r="C29" s="84" t="s">
        <v>39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53"/>
      <c r="Q29" s="67">
        <f t="shared" si="3"/>
        <v>0</v>
      </c>
      <c r="R29" s="2"/>
      <c r="S29" s="5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2.75" customHeight="1">
      <c r="A30" s="52"/>
      <c r="B30" s="53"/>
      <c r="C30" s="84" t="s">
        <v>40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53"/>
      <c r="Q30" s="67">
        <f t="shared" si="3"/>
        <v>0</v>
      </c>
      <c r="R30" s="2"/>
      <c r="S30" s="5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2.75" customHeight="1">
      <c r="A31" s="52"/>
      <c r="B31" s="53"/>
      <c r="C31" s="84" t="s">
        <v>41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53"/>
      <c r="Q31" s="67">
        <f t="shared" si="3"/>
        <v>0</v>
      </c>
      <c r="R31" s="2"/>
      <c r="S31" s="5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2.75" customHeight="1">
      <c r="A32" s="52"/>
      <c r="B32" s="53"/>
      <c r="C32" s="84" t="s">
        <v>42</v>
      </c>
      <c r="D32" s="85">
        <v>150.0</v>
      </c>
      <c r="E32" s="85">
        <v>150.0</v>
      </c>
      <c r="F32" s="85">
        <v>150.0</v>
      </c>
      <c r="G32" s="85">
        <v>150.0</v>
      </c>
      <c r="H32" s="85">
        <v>150.0</v>
      </c>
      <c r="I32" s="85">
        <v>150.0</v>
      </c>
      <c r="J32" s="85">
        <v>150.0</v>
      </c>
      <c r="K32" s="85">
        <v>150.0</v>
      </c>
      <c r="L32" s="85">
        <v>150.0</v>
      </c>
      <c r="M32" s="85">
        <v>150.0</v>
      </c>
      <c r="N32" s="85">
        <v>150.0</v>
      </c>
      <c r="O32" s="85">
        <v>150.0</v>
      </c>
      <c r="P32" s="53"/>
      <c r="Q32" s="67">
        <f t="shared" si="3"/>
        <v>1800</v>
      </c>
      <c r="R32" s="2"/>
      <c r="S32" s="5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2.75" customHeight="1">
      <c r="A33" s="52"/>
      <c r="B33" s="53"/>
      <c r="C33" s="84" t="s">
        <v>43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53"/>
      <c r="Q33" s="67">
        <f t="shared" si="3"/>
        <v>0</v>
      </c>
      <c r="R33" s="2"/>
      <c r="S33" s="5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2.75" customHeight="1">
      <c r="A34" s="52"/>
      <c r="B34" s="53"/>
      <c r="C34" s="84" t="s">
        <v>44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53"/>
      <c r="Q34" s="67">
        <f t="shared" si="3"/>
        <v>0</v>
      </c>
      <c r="R34" s="2"/>
      <c r="S34" s="5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2.75" customHeight="1">
      <c r="A35" s="52"/>
      <c r="B35" s="53"/>
      <c r="C35" s="84" t="s">
        <v>45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53"/>
      <c r="Q35" s="67">
        <f t="shared" si="3"/>
        <v>0</v>
      </c>
      <c r="R35" s="2"/>
      <c r="S35" s="5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2.75" customHeight="1">
      <c r="A36" s="52"/>
      <c r="B36" s="53"/>
      <c r="C36" s="84" t="s">
        <v>46</v>
      </c>
      <c r="D36" s="85">
        <v>1000.0</v>
      </c>
      <c r="E36" s="85">
        <v>1000.0</v>
      </c>
      <c r="F36" s="85">
        <v>1000.0</v>
      </c>
      <c r="G36" s="85">
        <v>1000.0</v>
      </c>
      <c r="H36" s="85">
        <v>1000.0</v>
      </c>
      <c r="I36" s="85">
        <v>1000.0</v>
      </c>
      <c r="J36" s="85">
        <v>1000.0</v>
      </c>
      <c r="K36" s="85">
        <v>1000.0</v>
      </c>
      <c r="L36" s="85">
        <v>1000.0</v>
      </c>
      <c r="M36" s="85">
        <v>1000.0</v>
      </c>
      <c r="N36" s="85">
        <v>1000.0</v>
      </c>
      <c r="O36" s="85">
        <v>1000.0</v>
      </c>
      <c r="P36" s="53"/>
      <c r="Q36" s="67">
        <f t="shared" si="3"/>
        <v>12000</v>
      </c>
      <c r="R36" s="2"/>
      <c r="S36" s="5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2.75" customHeight="1">
      <c r="A37" s="52"/>
      <c r="B37" s="53"/>
      <c r="C37" s="84" t="s">
        <v>47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53"/>
      <c r="Q37" s="67">
        <f t="shared" si="3"/>
        <v>0</v>
      </c>
      <c r="R37" s="2"/>
      <c r="S37" s="5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2.75" customHeight="1">
      <c r="A38" s="52"/>
      <c r="B38" s="53"/>
      <c r="C38" s="84" t="s">
        <v>48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53"/>
      <c r="Q38" s="67">
        <f t="shared" si="3"/>
        <v>0</v>
      </c>
      <c r="R38" s="2"/>
      <c r="S38" s="5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2.75" customHeight="1">
      <c r="A39" s="52"/>
      <c r="B39" s="53"/>
      <c r="C39" s="84" t="s">
        <v>49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53"/>
      <c r="Q39" s="67">
        <f t="shared" si="3"/>
        <v>0</v>
      </c>
      <c r="R39" s="2"/>
      <c r="S39" s="5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2.75" customHeight="1">
      <c r="A40" s="52"/>
      <c r="B40" s="53"/>
      <c r="C40" s="84" t="s">
        <v>50</v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53"/>
      <c r="Q40" s="67">
        <f t="shared" si="3"/>
        <v>0</v>
      </c>
      <c r="R40" s="2"/>
      <c r="S40" s="5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75" customHeight="1">
      <c r="A41" s="52"/>
      <c r="B41" s="53"/>
      <c r="C41" s="84" t="s">
        <v>51</v>
      </c>
      <c r="D41" s="85">
        <v>600.0</v>
      </c>
      <c r="E41" s="85">
        <v>600.0</v>
      </c>
      <c r="F41" s="85">
        <v>600.0</v>
      </c>
      <c r="G41" s="85">
        <v>600.0</v>
      </c>
      <c r="H41" s="85">
        <v>600.0</v>
      </c>
      <c r="I41" s="85">
        <v>600.0</v>
      </c>
      <c r="J41" s="85">
        <v>600.0</v>
      </c>
      <c r="K41" s="85">
        <v>600.0</v>
      </c>
      <c r="L41" s="85">
        <v>600.0</v>
      </c>
      <c r="M41" s="85">
        <v>600.0</v>
      </c>
      <c r="N41" s="85">
        <v>600.0</v>
      </c>
      <c r="O41" s="85">
        <v>600.0</v>
      </c>
      <c r="P41" s="53"/>
      <c r="Q41" s="67">
        <f t="shared" si="3"/>
        <v>7200</v>
      </c>
      <c r="R41" s="2"/>
      <c r="S41" s="5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75" customHeight="1">
      <c r="A42" s="52"/>
      <c r="B42" s="53"/>
      <c r="C42" s="84" t="s">
        <v>52</v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53"/>
      <c r="Q42" s="67">
        <f t="shared" si="3"/>
        <v>0</v>
      </c>
      <c r="R42" s="2"/>
      <c r="S42" s="5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2.75" customHeight="1">
      <c r="A43" s="52"/>
      <c r="B43" s="53"/>
      <c r="C43" s="84" t="s">
        <v>53</v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53"/>
      <c r="Q43" s="67">
        <f t="shared" si="3"/>
        <v>0</v>
      </c>
      <c r="R43" s="2"/>
      <c r="S43" s="5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2.75" customHeight="1">
      <c r="A44" s="52"/>
      <c r="B44" s="53"/>
      <c r="C44" s="84" t="s">
        <v>54</v>
      </c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53"/>
      <c r="Q44" s="67">
        <f t="shared" si="3"/>
        <v>0</v>
      </c>
      <c r="R44" s="2"/>
      <c r="S44" s="5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2.75" customHeight="1">
      <c r="A45" s="52"/>
      <c r="B45" s="53"/>
      <c r="C45" s="84" t="s">
        <v>55</v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53"/>
      <c r="Q45" s="67">
        <f t="shared" si="3"/>
        <v>0</v>
      </c>
      <c r="R45" s="2"/>
      <c r="S45" s="5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2.75" customHeight="1">
      <c r="A46" s="52"/>
      <c r="B46" s="53"/>
      <c r="C46" s="84" t="s">
        <v>56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53"/>
      <c r="Q46" s="67">
        <f t="shared" si="3"/>
        <v>0</v>
      </c>
      <c r="R46" s="2"/>
      <c r="S46" s="5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2.75" customHeight="1">
      <c r="A47" s="52"/>
      <c r="B47" s="53"/>
      <c r="C47" s="84" t="s">
        <v>57</v>
      </c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53"/>
      <c r="Q47" s="67">
        <f t="shared" si="3"/>
        <v>0</v>
      </c>
      <c r="R47" s="2"/>
      <c r="S47" s="5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75" customHeight="1">
      <c r="A48" s="52"/>
      <c r="B48" s="53"/>
      <c r="C48" s="87" t="s">
        <v>58</v>
      </c>
      <c r="D48" s="85">
        <v>500.0</v>
      </c>
      <c r="E48" s="85">
        <v>500.0</v>
      </c>
      <c r="F48" s="85">
        <v>500.0</v>
      </c>
      <c r="G48" s="85">
        <v>500.0</v>
      </c>
      <c r="H48" s="85">
        <v>500.0</v>
      </c>
      <c r="I48" s="85">
        <v>500.0</v>
      </c>
      <c r="J48" s="85">
        <v>500.0</v>
      </c>
      <c r="K48" s="85">
        <v>500.0</v>
      </c>
      <c r="L48" s="85">
        <v>500.0</v>
      </c>
      <c r="M48" s="85">
        <v>500.0</v>
      </c>
      <c r="N48" s="85">
        <v>500.0</v>
      </c>
      <c r="O48" s="85">
        <v>500.0</v>
      </c>
      <c r="P48" s="53"/>
      <c r="Q48" s="67">
        <f t="shared" si="3"/>
        <v>6000</v>
      </c>
      <c r="R48" s="2"/>
      <c r="S48" s="5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75" customHeight="1">
      <c r="A49" s="52"/>
      <c r="B49" s="53"/>
      <c r="C49" s="84" t="s">
        <v>59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53"/>
      <c r="Q49" s="67">
        <f t="shared" si="3"/>
        <v>0</v>
      </c>
      <c r="R49" s="2"/>
      <c r="S49" s="5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75" customHeight="1">
      <c r="A50" s="52"/>
      <c r="B50" s="53"/>
      <c r="C50" s="84" t="s">
        <v>60</v>
      </c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53"/>
      <c r="Q50" s="67">
        <f t="shared" si="3"/>
        <v>0</v>
      </c>
      <c r="R50" s="2"/>
      <c r="S50" s="5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2.75" customHeight="1">
      <c r="A51" s="52"/>
      <c r="B51" s="53"/>
      <c r="C51" s="84" t="s">
        <v>61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53"/>
      <c r="Q51" s="67">
        <f t="shared" si="3"/>
        <v>0</v>
      </c>
      <c r="R51" s="2"/>
      <c r="S51" s="5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75" customHeight="1">
      <c r="A52" s="52"/>
      <c r="B52" s="53"/>
      <c r="C52" s="84" t="s">
        <v>62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53"/>
      <c r="Q52" s="67">
        <f t="shared" si="3"/>
        <v>0</v>
      </c>
      <c r="R52" s="2"/>
      <c r="S52" s="5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75" customHeight="1">
      <c r="A53" s="52"/>
      <c r="B53" s="53"/>
      <c r="C53" s="84" t="s">
        <v>63</v>
      </c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53"/>
      <c r="Q53" s="67">
        <f t="shared" si="3"/>
        <v>0</v>
      </c>
      <c r="R53" s="2"/>
      <c r="S53" s="5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75" customHeight="1">
      <c r="A54" s="52"/>
      <c r="B54" s="53"/>
      <c r="C54" s="84" t="s">
        <v>64</v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53"/>
      <c r="Q54" s="67">
        <f t="shared" si="3"/>
        <v>0</v>
      </c>
      <c r="R54" s="2"/>
      <c r="S54" s="5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75" customHeight="1">
      <c r="A55" s="52"/>
      <c r="B55" s="53"/>
      <c r="C55" s="8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3"/>
      <c r="Q55" s="2"/>
      <c r="R55" s="2"/>
      <c r="S55" s="5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75" customHeight="1">
      <c r="A56" s="52"/>
      <c r="B56" s="53"/>
      <c r="C56" s="89" t="s">
        <v>65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3"/>
      <c r="Q56" s="2"/>
      <c r="R56" s="2"/>
      <c r="S56" s="5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75" customHeight="1">
      <c r="A57" s="52"/>
      <c r="B57" s="53"/>
      <c r="C57" s="8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3"/>
      <c r="Q57" s="2"/>
      <c r="R57" s="2"/>
      <c r="S57" s="5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75" customHeight="1">
      <c r="A58" s="52"/>
      <c r="B58" s="53"/>
      <c r="C58" s="90" t="s">
        <v>66</v>
      </c>
      <c r="D58" s="85">
        <v>14000.0</v>
      </c>
      <c r="E58" s="85">
        <v>14000.0</v>
      </c>
      <c r="F58" s="85">
        <v>14000.0</v>
      </c>
      <c r="G58" s="85">
        <v>14000.0</v>
      </c>
      <c r="H58" s="85">
        <v>14000.0</v>
      </c>
      <c r="I58" s="85">
        <v>14000.0</v>
      </c>
      <c r="J58" s="85">
        <v>14000.0</v>
      </c>
      <c r="K58" s="85">
        <v>14000.0</v>
      </c>
      <c r="L58" s="85">
        <v>14000.0</v>
      </c>
      <c r="M58" s="85">
        <v>14000.0</v>
      </c>
      <c r="N58" s="85">
        <v>14000.0</v>
      </c>
      <c r="O58" s="85">
        <v>14000.0</v>
      </c>
      <c r="P58" s="53"/>
      <c r="Q58" s="67">
        <f t="shared" ref="Q58:Q62" si="4">SUM(D58:O58)</f>
        <v>168000</v>
      </c>
      <c r="R58" s="2"/>
      <c r="S58" s="5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75" customHeight="1">
      <c r="A59" s="52"/>
      <c r="B59" s="53"/>
      <c r="C59" s="90" t="s">
        <v>67</v>
      </c>
      <c r="D59" s="85">
        <v>750.0</v>
      </c>
      <c r="E59" s="85">
        <v>750.0</v>
      </c>
      <c r="F59" s="85">
        <v>750.0</v>
      </c>
      <c r="G59" s="85">
        <v>750.0</v>
      </c>
      <c r="H59" s="85">
        <v>750.0</v>
      </c>
      <c r="I59" s="85">
        <v>750.0</v>
      </c>
      <c r="J59" s="85">
        <v>750.0</v>
      </c>
      <c r="K59" s="85">
        <v>750.0</v>
      </c>
      <c r="L59" s="85">
        <v>750.0</v>
      </c>
      <c r="M59" s="85">
        <v>750.0</v>
      </c>
      <c r="N59" s="85">
        <v>750.0</v>
      </c>
      <c r="O59" s="85">
        <v>750.0</v>
      </c>
      <c r="P59" s="53"/>
      <c r="Q59" s="67">
        <f t="shared" si="4"/>
        <v>9000</v>
      </c>
      <c r="R59" s="2"/>
      <c r="S59" s="5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75" customHeight="1">
      <c r="A60" s="52"/>
      <c r="B60" s="53"/>
      <c r="C60" s="90" t="s">
        <v>59</v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53"/>
      <c r="Q60" s="67">
        <f t="shared" si="4"/>
        <v>0</v>
      </c>
      <c r="R60" s="2"/>
      <c r="S60" s="5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75" customHeight="1">
      <c r="A61" s="52"/>
      <c r="B61" s="53"/>
      <c r="C61" s="90" t="s">
        <v>60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53"/>
      <c r="Q61" s="67">
        <f t="shared" si="4"/>
        <v>0</v>
      </c>
      <c r="R61" s="2"/>
      <c r="S61" s="5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75" customHeight="1">
      <c r="A62" s="52"/>
      <c r="B62" s="53"/>
      <c r="C62" s="90" t="s">
        <v>61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53"/>
      <c r="Q62" s="67">
        <f t="shared" si="4"/>
        <v>0</v>
      </c>
      <c r="R62" s="2"/>
      <c r="S62" s="5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75" customHeight="1">
      <c r="A63" s="52"/>
      <c r="B63" s="5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3"/>
      <c r="Q63" s="2"/>
      <c r="R63" s="2"/>
      <c r="S63" s="5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75" customHeight="1">
      <c r="A64" s="52"/>
      <c r="B64" s="53"/>
      <c r="C64" s="72" t="s">
        <v>68</v>
      </c>
      <c r="D64" s="73">
        <f t="shared" ref="D64:O64" si="5">SUM(D28:D62)</f>
        <v>17500</v>
      </c>
      <c r="E64" s="73">
        <f t="shared" si="5"/>
        <v>17500</v>
      </c>
      <c r="F64" s="73">
        <f t="shared" si="5"/>
        <v>17500</v>
      </c>
      <c r="G64" s="73">
        <f t="shared" si="5"/>
        <v>17500</v>
      </c>
      <c r="H64" s="73">
        <f t="shared" si="5"/>
        <v>17500</v>
      </c>
      <c r="I64" s="73">
        <f t="shared" si="5"/>
        <v>17500</v>
      </c>
      <c r="J64" s="73">
        <f t="shared" si="5"/>
        <v>17500</v>
      </c>
      <c r="K64" s="73">
        <f t="shared" si="5"/>
        <v>17500</v>
      </c>
      <c r="L64" s="73">
        <f t="shared" si="5"/>
        <v>17500</v>
      </c>
      <c r="M64" s="73">
        <f t="shared" si="5"/>
        <v>17500</v>
      </c>
      <c r="N64" s="73">
        <f t="shared" si="5"/>
        <v>17500</v>
      </c>
      <c r="O64" s="73">
        <f t="shared" si="5"/>
        <v>17500</v>
      </c>
      <c r="P64" s="53"/>
      <c r="Q64" s="73">
        <f>SUM(D64:O64)</f>
        <v>210000</v>
      </c>
      <c r="R64" s="2"/>
      <c r="S64" s="5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75" customHeight="1">
      <c r="A65" s="52"/>
      <c r="B65" s="53"/>
      <c r="C65" s="2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53"/>
      <c r="Q65" s="74"/>
      <c r="R65" s="2"/>
      <c r="S65" s="5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75" customHeight="1">
      <c r="A66" s="52"/>
      <c r="B66" s="53"/>
      <c r="C66" s="91" t="s">
        <v>69</v>
      </c>
      <c r="D66" s="92">
        <f t="shared" ref="D66:O66" si="6">D16-D14</f>
        <v>5000</v>
      </c>
      <c r="E66" s="92">
        <f t="shared" si="6"/>
        <v>18250</v>
      </c>
      <c r="F66" s="92">
        <f t="shared" si="6"/>
        <v>32250</v>
      </c>
      <c r="G66" s="92">
        <f t="shared" si="6"/>
        <v>35000</v>
      </c>
      <c r="H66" s="92">
        <f t="shared" si="6"/>
        <v>27000</v>
      </c>
      <c r="I66" s="92">
        <f t="shared" si="6"/>
        <v>24000</v>
      </c>
      <c r="J66" s="92">
        <f t="shared" si="6"/>
        <v>24250</v>
      </c>
      <c r="K66" s="92">
        <f t="shared" si="6"/>
        <v>20875</v>
      </c>
      <c r="L66" s="92">
        <f t="shared" si="6"/>
        <v>23500</v>
      </c>
      <c r="M66" s="92">
        <f t="shared" si="6"/>
        <v>31875</v>
      </c>
      <c r="N66" s="92">
        <f t="shared" si="6"/>
        <v>34750</v>
      </c>
      <c r="O66" s="93">
        <f t="shared" si="6"/>
        <v>32160</v>
      </c>
      <c r="P66" s="53"/>
      <c r="Q66" s="74"/>
      <c r="R66" s="2"/>
      <c r="S66" s="5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75" customHeight="1">
      <c r="A67" s="52"/>
      <c r="B67" s="53"/>
      <c r="C67" s="94" t="s">
        <v>70</v>
      </c>
      <c r="D67" s="95">
        <f t="shared" ref="D67:O67" si="7">sum(D28:D54)+D22</f>
        <v>6650</v>
      </c>
      <c r="E67" s="95">
        <f t="shared" si="7"/>
        <v>15700</v>
      </c>
      <c r="F67" s="95">
        <f t="shared" si="7"/>
        <v>18550</v>
      </c>
      <c r="G67" s="95">
        <f t="shared" si="7"/>
        <v>18800</v>
      </c>
      <c r="H67" s="95">
        <f t="shared" si="7"/>
        <v>17450</v>
      </c>
      <c r="I67" s="95">
        <f t="shared" si="7"/>
        <v>20850</v>
      </c>
      <c r="J67" s="95">
        <f t="shared" si="7"/>
        <v>15180</v>
      </c>
      <c r="K67" s="95">
        <f t="shared" si="7"/>
        <v>10740</v>
      </c>
      <c r="L67" s="95">
        <f t="shared" si="7"/>
        <v>15330</v>
      </c>
      <c r="M67" s="95">
        <f t="shared" si="7"/>
        <v>19700</v>
      </c>
      <c r="N67" s="95">
        <f t="shared" si="7"/>
        <v>21700</v>
      </c>
      <c r="O67" s="96">
        <f t="shared" si="7"/>
        <v>18300</v>
      </c>
      <c r="P67" s="53"/>
      <c r="Q67" s="74"/>
      <c r="R67" s="2"/>
      <c r="S67" s="5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75" customHeight="1">
      <c r="A68" s="52"/>
      <c r="B68" s="53"/>
      <c r="C68" s="97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98"/>
      <c r="P68" s="53"/>
      <c r="Q68" s="74"/>
      <c r="R68" s="2"/>
      <c r="S68" s="5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75" customHeight="1">
      <c r="A69" s="52"/>
      <c r="B69" s="53"/>
      <c r="C69" s="99" t="s">
        <v>71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98"/>
      <c r="P69" s="53"/>
      <c r="Q69" s="74"/>
      <c r="R69" s="2"/>
      <c r="S69" s="5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75" customHeight="1">
      <c r="A70" s="52"/>
      <c r="B70" s="53"/>
      <c r="C70" s="100" t="s">
        <v>72</v>
      </c>
      <c r="D70" s="101">
        <f t="shared" ref="D70:O70" si="8">D67-(D67/(1+$V$3))</f>
        <v>867.3913043</v>
      </c>
      <c r="E70" s="101">
        <f t="shared" si="8"/>
        <v>2047.826087</v>
      </c>
      <c r="F70" s="101">
        <f t="shared" si="8"/>
        <v>2419.565217</v>
      </c>
      <c r="G70" s="101">
        <f t="shared" si="8"/>
        <v>2452.173913</v>
      </c>
      <c r="H70" s="101">
        <f t="shared" si="8"/>
        <v>2276.086957</v>
      </c>
      <c r="I70" s="101">
        <f t="shared" si="8"/>
        <v>2719.565217</v>
      </c>
      <c r="J70" s="101">
        <f t="shared" si="8"/>
        <v>1980</v>
      </c>
      <c r="K70" s="101">
        <f t="shared" si="8"/>
        <v>1400.869565</v>
      </c>
      <c r="L70" s="101">
        <f t="shared" si="8"/>
        <v>1999.565217</v>
      </c>
      <c r="M70" s="101">
        <f t="shared" si="8"/>
        <v>2569.565217</v>
      </c>
      <c r="N70" s="101">
        <f t="shared" si="8"/>
        <v>2830.434783</v>
      </c>
      <c r="O70" s="102">
        <f t="shared" si="8"/>
        <v>2386.956522</v>
      </c>
      <c r="P70" s="53"/>
      <c r="Q70" s="67">
        <f t="shared" ref="Q70:Q72" si="10">SUM(D70:O70)</f>
        <v>25950</v>
      </c>
      <c r="R70" s="2"/>
      <c r="S70" s="5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75" customHeight="1">
      <c r="A71" s="52"/>
      <c r="B71" s="53"/>
      <c r="C71" s="100" t="s">
        <v>73</v>
      </c>
      <c r="D71" s="101">
        <f t="shared" ref="D71:O71" si="9">D66-(D66/(1+$V$3))</f>
        <v>652.173913</v>
      </c>
      <c r="E71" s="101">
        <f t="shared" si="9"/>
        <v>2380.434783</v>
      </c>
      <c r="F71" s="101">
        <f t="shared" si="9"/>
        <v>4206.521739</v>
      </c>
      <c r="G71" s="101">
        <f t="shared" si="9"/>
        <v>4565.217391</v>
      </c>
      <c r="H71" s="101">
        <f t="shared" si="9"/>
        <v>3521.73913</v>
      </c>
      <c r="I71" s="101">
        <f t="shared" si="9"/>
        <v>3130.434783</v>
      </c>
      <c r="J71" s="101">
        <f t="shared" si="9"/>
        <v>3163.043478</v>
      </c>
      <c r="K71" s="101">
        <f t="shared" si="9"/>
        <v>2722.826087</v>
      </c>
      <c r="L71" s="101">
        <f t="shared" si="9"/>
        <v>3065.217391</v>
      </c>
      <c r="M71" s="101">
        <f t="shared" si="9"/>
        <v>4157.608696</v>
      </c>
      <c r="N71" s="101">
        <f t="shared" si="9"/>
        <v>4532.608696</v>
      </c>
      <c r="O71" s="102">
        <f t="shared" si="9"/>
        <v>4194.782609</v>
      </c>
      <c r="P71" s="53"/>
      <c r="Q71" s="67">
        <f t="shared" si="10"/>
        <v>40292.6087</v>
      </c>
      <c r="R71" s="2"/>
      <c r="S71" s="5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75" customHeight="1">
      <c r="A72" s="52"/>
      <c r="B72" s="53"/>
      <c r="C72" s="103" t="s">
        <v>74</v>
      </c>
      <c r="D72" s="104">
        <f t="shared" ref="D72:O72" si="11">D70-D71</f>
        <v>215.2173913</v>
      </c>
      <c r="E72" s="104">
        <f t="shared" si="11"/>
        <v>-332.6086957</v>
      </c>
      <c r="F72" s="104">
        <f t="shared" si="11"/>
        <v>-1786.956522</v>
      </c>
      <c r="G72" s="104">
        <f t="shared" si="11"/>
        <v>-2113.043478</v>
      </c>
      <c r="H72" s="104">
        <f t="shared" si="11"/>
        <v>-1245.652174</v>
      </c>
      <c r="I72" s="104">
        <f t="shared" si="11"/>
        <v>-410.8695652</v>
      </c>
      <c r="J72" s="104">
        <f t="shared" si="11"/>
        <v>-1183.043478</v>
      </c>
      <c r="K72" s="104">
        <f t="shared" si="11"/>
        <v>-1321.956522</v>
      </c>
      <c r="L72" s="104">
        <f t="shared" si="11"/>
        <v>-1065.652174</v>
      </c>
      <c r="M72" s="104">
        <f t="shared" si="11"/>
        <v>-1588.043478</v>
      </c>
      <c r="N72" s="104">
        <f t="shared" si="11"/>
        <v>-1702.173913</v>
      </c>
      <c r="O72" s="105">
        <f t="shared" si="11"/>
        <v>-1807.826087</v>
      </c>
      <c r="P72" s="53"/>
      <c r="Q72" s="73">
        <f t="shared" si="10"/>
        <v>-14342.6087</v>
      </c>
      <c r="R72" s="2"/>
      <c r="S72" s="52"/>
      <c r="T72" s="2"/>
      <c r="U72" s="2"/>
      <c r="V72" s="2"/>
      <c r="W72" s="79">
        <f>Q24-Q64+Q72</f>
        <v>-78382.6087</v>
      </c>
      <c r="X72" s="2"/>
      <c r="Y72" s="2"/>
      <c r="Z72" s="2"/>
      <c r="AA72" s="2"/>
      <c r="AB72" s="2"/>
      <c r="AC72" s="2"/>
      <c r="AD72" s="2"/>
      <c r="AE72" s="2"/>
    </row>
    <row r="73" ht="12.75" customHeight="1">
      <c r="A73" s="52"/>
      <c r="B73" s="53"/>
      <c r="C73" s="2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53"/>
      <c r="Q73" s="106"/>
      <c r="R73" s="2"/>
      <c r="S73" s="5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75" customHeight="1">
      <c r="A74" s="52"/>
      <c r="B74" s="53"/>
      <c r="C74" s="107" t="s">
        <v>75</v>
      </c>
      <c r="D74" s="73">
        <f t="shared" ref="D74:O74" si="12">(D16+D71)-(D22+D64+D70)</f>
        <v>-16365.21739</v>
      </c>
      <c r="E74" s="73">
        <f t="shared" si="12"/>
        <v>-11617.3913</v>
      </c>
      <c r="F74" s="73">
        <f t="shared" si="12"/>
        <v>986.9565217</v>
      </c>
      <c r="G74" s="73">
        <f t="shared" si="12"/>
        <v>3813.043478</v>
      </c>
      <c r="H74" s="73">
        <f t="shared" si="12"/>
        <v>-3704.347826</v>
      </c>
      <c r="I74" s="73">
        <f t="shared" si="12"/>
        <v>-10939.13043</v>
      </c>
      <c r="J74" s="73">
        <f t="shared" si="12"/>
        <v>-4246.956522</v>
      </c>
      <c r="K74" s="73">
        <f t="shared" si="12"/>
        <v>-3043.043478</v>
      </c>
      <c r="L74" s="73">
        <f t="shared" si="12"/>
        <v>-5264.347826</v>
      </c>
      <c r="M74" s="73">
        <f t="shared" si="12"/>
        <v>-736.9565217</v>
      </c>
      <c r="N74" s="73">
        <f t="shared" si="12"/>
        <v>252.173913</v>
      </c>
      <c r="O74" s="73">
        <f t="shared" si="12"/>
        <v>1167.826087</v>
      </c>
      <c r="P74" s="53"/>
      <c r="Q74" s="73">
        <f>SUM(D74:O74)</f>
        <v>-49697.3913</v>
      </c>
      <c r="R74" s="2"/>
      <c r="S74" s="5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75" customHeight="1">
      <c r="A75" s="52"/>
      <c r="B75" s="53"/>
      <c r="C75" s="2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53"/>
      <c r="Q75" s="74"/>
      <c r="R75" s="2"/>
      <c r="S75" s="5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75" customHeight="1">
      <c r="A76" s="52"/>
      <c r="B76" s="53"/>
      <c r="C76" s="108" t="s">
        <v>76</v>
      </c>
      <c r="D76" s="109">
        <v>10000.0</v>
      </c>
      <c r="E76" s="101">
        <f t="shared" ref="E76:O76" si="13">D80</f>
        <v>-6365.217391</v>
      </c>
      <c r="F76" s="101">
        <f t="shared" si="13"/>
        <v>-17982.6087</v>
      </c>
      <c r="G76" s="101">
        <f t="shared" si="13"/>
        <v>-16995.65217</v>
      </c>
      <c r="H76" s="101">
        <f t="shared" si="13"/>
        <v>-13182.6087</v>
      </c>
      <c r="I76" s="101">
        <f t="shared" si="13"/>
        <v>-16886.95652</v>
      </c>
      <c r="J76" s="101">
        <f t="shared" si="13"/>
        <v>-27826.08696</v>
      </c>
      <c r="K76" s="101">
        <f t="shared" si="13"/>
        <v>-32073.04348</v>
      </c>
      <c r="L76" s="101">
        <f t="shared" si="13"/>
        <v>-35116.08696</v>
      </c>
      <c r="M76" s="101">
        <f t="shared" si="13"/>
        <v>-40380.43478</v>
      </c>
      <c r="N76" s="101">
        <f t="shared" si="13"/>
        <v>-41117.3913</v>
      </c>
      <c r="O76" s="101">
        <f t="shared" si="13"/>
        <v>-40865.21739</v>
      </c>
      <c r="P76" s="53"/>
      <c r="Q76" s="74"/>
      <c r="R76" s="2"/>
      <c r="S76" s="5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75" customHeight="1">
      <c r="A77" s="52"/>
      <c r="B77" s="53"/>
      <c r="C77" s="110" t="s">
        <v>77</v>
      </c>
      <c r="D77" s="111">
        <f t="shared" ref="D77:O77" si="14">D16+D71</f>
        <v>5902.173913</v>
      </c>
      <c r="E77" s="111">
        <f t="shared" si="14"/>
        <v>20880.43478</v>
      </c>
      <c r="F77" s="111">
        <f t="shared" si="14"/>
        <v>36706.52174</v>
      </c>
      <c r="G77" s="111">
        <f t="shared" si="14"/>
        <v>39815.21739</v>
      </c>
      <c r="H77" s="111">
        <f t="shared" si="14"/>
        <v>30771.73913</v>
      </c>
      <c r="I77" s="111">
        <f t="shared" si="14"/>
        <v>27380.43478</v>
      </c>
      <c r="J77" s="111">
        <f t="shared" si="14"/>
        <v>27663.04348</v>
      </c>
      <c r="K77" s="111">
        <f t="shared" si="14"/>
        <v>23847.82609</v>
      </c>
      <c r="L77" s="111">
        <f t="shared" si="14"/>
        <v>26815.21739</v>
      </c>
      <c r="M77" s="111">
        <f t="shared" si="14"/>
        <v>36282.6087</v>
      </c>
      <c r="N77" s="111">
        <f t="shared" si="14"/>
        <v>39532.6087</v>
      </c>
      <c r="O77" s="111">
        <f t="shared" si="14"/>
        <v>36604.78261</v>
      </c>
      <c r="P77" s="53"/>
      <c r="Q77" s="74"/>
      <c r="R77" s="2"/>
      <c r="S77" s="5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75" customHeight="1">
      <c r="A78" s="52"/>
      <c r="B78" s="53"/>
      <c r="C78" s="2"/>
      <c r="D78" s="101">
        <f t="shared" ref="D78:O78" si="15">SUM(D76:D77)</f>
        <v>15902.17391</v>
      </c>
      <c r="E78" s="101">
        <f t="shared" si="15"/>
        <v>14515.21739</v>
      </c>
      <c r="F78" s="101">
        <f t="shared" si="15"/>
        <v>18723.91304</v>
      </c>
      <c r="G78" s="101">
        <f t="shared" si="15"/>
        <v>22819.56522</v>
      </c>
      <c r="H78" s="101">
        <f t="shared" si="15"/>
        <v>17589.13043</v>
      </c>
      <c r="I78" s="101">
        <f t="shared" si="15"/>
        <v>10493.47826</v>
      </c>
      <c r="J78" s="101">
        <f t="shared" si="15"/>
        <v>-163.0434783</v>
      </c>
      <c r="K78" s="101">
        <f t="shared" si="15"/>
        <v>-8225.217391</v>
      </c>
      <c r="L78" s="101">
        <f t="shared" si="15"/>
        <v>-8300.869565</v>
      </c>
      <c r="M78" s="101">
        <f t="shared" si="15"/>
        <v>-4097.826087</v>
      </c>
      <c r="N78" s="101">
        <f t="shared" si="15"/>
        <v>-1584.782609</v>
      </c>
      <c r="O78" s="101">
        <f t="shared" si="15"/>
        <v>-4260.434783</v>
      </c>
      <c r="P78" s="53"/>
      <c r="Q78" s="74"/>
      <c r="R78" s="2"/>
      <c r="S78" s="5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75" customHeight="1">
      <c r="A79" s="52"/>
      <c r="B79" s="53"/>
      <c r="C79" s="110" t="s">
        <v>78</v>
      </c>
      <c r="D79" s="101">
        <f t="shared" ref="D79:O79" si="16">D64+D22+D70</f>
        <v>22267.3913</v>
      </c>
      <c r="E79" s="101">
        <f t="shared" si="16"/>
        <v>32497.82609</v>
      </c>
      <c r="F79" s="101">
        <f t="shared" si="16"/>
        <v>35719.56522</v>
      </c>
      <c r="G79" s="101">
        <f t="shared" si="16"/>
        <v>36002.17391</v>
      </c>
      <c r="H79" s="101">
        <f t="shared" si="16"/>
        <v>34476.08696</v>
      </c>
      <c r="I79" s="101">
        <f t="shared" si="16"/>
        <v>38319.56522</v>
      </c>
      <c r="J79" s="101">
        <f t="shared" si="16"/>
        <v>31910</v>
      </c>
      <c r="K79" s="101">
        <f t="shared" si="16"/>
        <v>26890.86957</v>
      </c>
      <c r="L79" s="101">
        <f t="shared" si="16"/>
        <v>32079.56522</v>
      </c>
      <c r="M79" s="101">
        <f t="shared" si="16"/>
        <v>37019.56522</v>
      </c>
      <c r="N79" s="101">
        <f t="shared" si="16"/>
        <v>39280.43478</v>
      </c>
      <c r="O79" s="101">
        <f t="shared" si="16"/>
        <v>35436.95652</v>
      </c>
      <c r="P79" s="53"/>
      <c r="Q79" s="74"/>
      <c r="R79" s="2"/>
      <c r="S79" s="5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75" customHeight="1">
      <c r="A80" s="52"/>
      <c r="B80" s="53"/>
      <c r="C80" s="107" t="s">
        <v>79</v>
      </c>
      <c r="D80" s="73">
        <f t="shared" ref="D80:O80" si="17">D78-D79</f>
        <v>-6365.217391</v>
      </c>
      <c r="E80" s="73">
        <f t="shared" si="17"/>
        <v>-17982.6087</v>
      </c>
      <c r="F80" s="73">
        <f t="shared" si="17"/>
        <v>-16995.65217</v>
      </c>
      <c r="G80" s="73">
        <f t="shared" si="17"/>
        <v>-13182.6087</v>
      </c>
      <c r="H80" s="73">
        <f t="shared" si="17"/>
        <v>-16886.95652</v>
      </c>
      <c r="I80" s="73">
        <f t="shared" si="17"/>
        <v>-27826.08696</v>
      </c>
      <c r="J80" s="73">
        <f t="shared" si="17"/>
        <v>-32073.04348</v>
      </c>
      <c r="K80" s="73">
        <f t="shared" si="17"/>
        <v>-35116.08696</v>
      </c>
      <c r="L80" s="73">
        <f t="shared" si="17"/>
        <v>-40380.43478</v>
      </c>
      <c r="M80" s="73">
        <f t="shared" si="17"/>
        <v>-41117.3913</v>
      </c>
      <c r="N80" s="73">
        <f t="shared" si="17"/>
        <v>-40865.21739</v>
      </c>
      <c r="O80" s="73">
        <f t="shared" si="17"/>
        <v>-39697.3913</v>
      </c>
      <c r="P80" s="53"/>
      <c r="Q80" s="74"/>
      <c r="R80" s="2"/>
      <c r="S80" s="5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75" customHeight="1">
      <c r="A81" s="52"/>
      <c r="B81" s="53"/>
      <c r="C81" s="2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53"/>
      <c r="Q81" s="74"/>
      <c r="R81" s="2"/>
      <c r="S81" s="5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75" customHeight="1">
      <c r="A82" s="52"/>
      <c r="B82" s="53"/>
      <c r="C82" s="2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53"/>
      <c r="Q82" s="74"/>
      <c r="R82" s="2"/>
      <c r="S82" s="5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2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2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2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2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2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2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2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2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2.75" customHeight="1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2.75" customHeight="1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2.7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2.75" customHeight="1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2.75" customHeight="1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2.75" customHeight="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2.75" customHeigh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2.75" customHeight="1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2.75" customHeight="1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2.75" customHeight="1">
      <c r="A125" s="52"/>
      <c r="B125" s="2"/>
      <c r="C125" s="2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2.75" customHeight="1">
      <c r="A126" s="52"/>
      <c r="B126" s="2"/>
      <c r="C126" s="2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2.75" customHeight="1">
      <c r="A127" s="52"/>
      <c r="B127" s="2"/>
      <c r="C127" s="2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2.75" customHeight="1">
      <c r="A128" s="52"/>
      <c r="B128" s="2"/>
      <c r="C128" s="2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2.75" customHeight="1">
      <c r="A129" s="52"/>
      <c r="B129" s="2"/>
      <c r="C129" s="2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2.75" customHeight="1">
      <c r="A130" s="52"/>
      <c r="B130" s="2"/>
      <c r="C130" s="2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2.75" customHeight="1">
      <c r="A131" s="2"/>
      <c r="B131" s="2"/>
      <c r="C131" s="2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2.75" customHeight="1">
      <c r="A132" s="2"/>
      <c r="B132" s="2"/>
      <c r="C132" s="2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2.75" customHeight="1">
      <c r="A133" s="2"/>
      <c r="B133" s="2"/>
      <c r="C133" s="2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2.75" customHeight="1">
      <c r="A134" s="2"/>
      <c r="B134" s="2"/>
      <c r="C134" s="2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2.75" customHeight="1">
      <c r="A135" s="2"/>
      <c r="B135" s="2"/>
      <c r="C135" s="2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75" customHeight="1">
      <c r="A136" s="2"/>
      <c r="B136" s="2"/>
      <c r="C136" s="2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75" customHeight="1">
      <c r="A137" s="2"/>
      <c r="B137" s="2"/>
      <c r="C137" s="2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75" customHeight="1">
      <c r="A138" s="2"/>
      <c r="B138" s="2"/>
      <c r="C138" s="2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75" customHeight="1">
      <c r="A139" s="2"/>
      <c r="B139" s="2"/>
      <c r="C139" s="2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75" customHeight="1">
      <c r="A140" s="2"/>
      <c r="B140" s="2"/>
      <c r="C140" s="2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75" customHeight="1">
      <c r="A141" s="2"/>
      <c r="B141" s="2"/>
      <c r="C141" s="2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75" customHeight="1">
      <c r="A142" s="2"/>
      <c r="B142" s="2"/>
      <c r="C142" s="2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75" customHeight="1">
      <c r="A143" s="2"/>
      <c r="B143" s="2"/>
      <c r="C143" s="2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75" customHeight="1">
      <c r="A144" s="2"/>
      <c r="B144" s="2"/>
      <c r="C144" s="2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75" customHeight="1">
      <c r="A145" s="2"/>
      <c r="B145" s="2"/>
      <c r="C145" s="2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75" customHeight="1">
      <c r="A146" s="2"/>
      <c r="B146" s="2"/>
      <c r="C146" s="2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75" customHeight="1">
      <c r="A147" s="2"/>
      <c r="B147" s="2"/>
      <c r="C147" s="2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75" customHeight="1">
      <c r="A148" s="2"/>
      <c r="B148" s="2"/>
      <c r="C148" s="2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75" customHeight="1">
      <c r="A149" s="2"/>
      <c r="B149" s="2"/>
      <c r="C149" s="2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75" customHeight="1">
      <c r="A150" s="2"/>
      <c r="B150" s="2"/>
      <c r="C150" s="2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75" customHeight="1">
      <c r="A151" s="2"/>
      <c r="B151" s="2"/>
      <c r="C151" s="2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75" customHeight="1">
      <c r="A152" s="2"/>
      <c r="B152" s="2"/>
      <c r="C152" s="2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75" customHeight="1">
      <c r="A153" s="2"/>
      <c r="B153" s="2"/>
      <c r="C153" s="2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75" customHeight="1">
      <c r="A154" s="2"/>
      <c r="B154" s="2"/>
      <c r="C154" s="2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75" customHeight="1">
      <c r="A155" s="2"/>
      <c r="B155" s="2"/>
      <c r="C155" s="2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75" customHeight="1">
      <c r="A156" s="2"/>
      <c r="B156" s="2"/>
      <c r="C156" s="2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75" customHeight="1">
      <c r="A157" s="2"/>
      <c r="B157" s="2"/>
      <c r="C157" s="2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75" customHeight="1">
      <c r="A158" s="2"/>
      <c r="B158" s="2"/>
      <c r="C158" s="2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75" customHeight="1">
      <c r="A159" s="2"/>
      <c r="B159" s="2"/>
      <c r="C159" s="2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2.75" customHeight="1">
      <c r="A160" s="2"/>
      <c r="B160" s="2"/>
      <c r="C160" s="2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2.75" customHeight="1">
      <c r="A161" s="2"/>
      <c r="B161" s="2"/>
      <c r="C161" s="2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2.75" customHeight="1">
      <c r="A162" s="2"/>
      <c r="B162" s="2"/>
      <c r="C162" s="2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75" customHeight="1">
      <c r="A163" s="2"/>
      <c r="B163" s="2"/>
      <c r="C163" s="2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75" customHeight="1">
      <c r="A164" s="2"/>
      <c r="B164" s="2"/>
      <c r="C164" s="2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75" customHeight="1">
      <c r="A165" s="2"/>
      <c r="B165" s="2"/>
      <c r="C165" s="2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75" customHeight="1">
      <c r="A166" s="2"/>
      <c r="B166" s="2"/>
      <c r="C166" s="2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75" customHeight="1">
      <c r="A167" s="2"/>
      <c r="B167" s="2"/>
      <c r="C167" s="2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75" customHeight="1">
      <c r="A168" s="2"/>
      <c r="B168" s="2"/>
      <c r="C168" s="2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75" customHeight="1">
      <c r="A169" s="2"/>
      <c r="B169" s="2"/>
      <c r="C169" s="2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75" customHeight="1">
      <c r="A170" s="2"/>
      <c r="B170" s="2"/>
      <c r="C170" s="2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75" customHeight="1">
      <c r="A171" s="2"/>
      <c r="B171" s="2"/>
      <c r="C171" s="2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75" customHeight="1">
      <c r="A172" s="2"/>
      <c r="B172" s="2"/>
      <c r="C172" s="2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75" customHeight="1">
      <c r="A173" s="2"/>
      <c r="B173" s="2"/>
      <c r="C173" s="2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75" customHeight="1">
      <c r="A174" s="2"/>
      <c r="B174" s="2"/>
      <c r="C174" s="2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75" customHeight="1">
      <c r="A175" s="2"/>
      <c r="B175" s="2"/>
      <c r="C175" s="2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75" customHeight="1">
      <c r="A176" s="2"/>
      <c r="B176" s="2"/>
      <c r="C176" s="2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75" customHeight="1">
      <c r="A177" s="2"/>
      <c r="B177" s="2"/>
      <c r="C177" s="2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75" customHeight="1">
      <c r="A178" s="2"/>
      <c r="B178" s="2"/>
      <c r="C178" s="2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75" customHeight="1">
      <c r="A179" s="2"/>
      <c r="B179" s="2"/>
      <c r="C179" s="2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75" customHeight="1">
      <c r="A180" s="2"/>
      <c r="B180" s="2"/>
      <c r="C180" s="2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75" customHeight="1">
      <c r="A181" s="2"/>
      <c r="B181" s="2"/>
      <c r="C181" s="2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75" customHeight="1">
      <c r="A182" s="2"/>
      <c r="B182" s="2"/>
      <c r="C182" s="2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75" customHeight="1">
      <c r="A183" s="2"/>
      <c r="B183" s="2"/>
      <c r="C183" s="2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75" customHeight="1">
      <c r="A184" s="2"/>
      <c r="B184" s="2"/>
      <c r="C184" s="2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75" customHeight="1">
      <c r="A185" s="2"/>
      <c r="B185" s="2"/>
      <c r="C185" s="2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75" customHeight="1">
      <c r="A186" s="2"/>
      <c r="B186" s="2"/>
      <c r="C186" s="2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75" customHeight="1">
      <c r="A187" s="2"/>
      <c r="B187" s="2"/>
      <c r="C187" s="2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75" customHeight="1">
      <c r="A188" s="2"/>
      <c r="B188" s="2"/>
      <c r="C188" s="2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75" customHeight="1">
      <c r="A189" s="2"/>
      <c r="B189" s="2"/>
      <c r="C189" s="2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75" customHeight="1">
      <c r="A190" s="2"/>
      <c r="B190" s="2"/>
      <c r="C190" s="2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75" customHeight="1">
      <c r="A191" s="2"/>
      <c r="B191" s="2"/>
      <c r="C191" s="2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75" customHeight="1">
      <c r="A192" s="2"/>
      <c r="B192" s="2"/>
      <c r="C192" s="2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75" customHeight="1">
      <c r="A193" s="2"/>
      <c r="B193" s="2"/>
      <c r="C193" s="2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75" customHeight="1">
      <c r="A194" s="2"/>
      <c r="B194" s="2"/>
      <c r="C194" s="2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75" customHeight="1">
      <c r="A195" s="2"/>
      <c r="B195" s="2"/>
      <c r="C195" s="2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75" customHeight="1">
      <c r="A196" s="2"/>
      <c r="B196" s="2"/>
      <c r="C196" s="2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75" customHeight="1">
      <c r="A197" s="2"/>
      <c r="B197" s="2"/>
      <c r="C197" s="2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75" customHeight="1">
      <c r="A198" s="2"/>
      <c r="B198" s="2"/>
      <c r="C198" s="2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75" customHeight="1">
      <c r="A199" s="2"/>
      <c r="B199" s="2"/>
      <c r="C199" s="2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75" customHeight="1">
      <c r="A200" s="2"/>
      <c r="B200" s="2"/>
      <c r="C200" s="2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75" customHeight="1">
      <c r="A201" s="2"/>
      <c r="B201" s="2"/>
      <c r="C201" s="2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75" customHeight="1">
      <c r="A202" s="2"/>
      <c r="B202" s="2"/>
      <c r="C202" s="2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75" customHeight="1">
      <c r="A203" s="2"/>
      <c r="B203" s="2"/>
      <c r="C203" s="2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75" customHeight="1">
      <c r="A204" s="2"/>
      <c r="B204" s="2"/>
      <c r="C204" s="2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75" customHeight="1">
      <c r="A205" s="2"/>
      <c r="B205" s="2"/>
      <c r="C205" s="2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75" customHeight="1">
      <c r="A206" s="2"/>
      <c r="B206" s="2"/>
      <c r="C206" s="2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75" customHeight="1">
      <c r="A207" s="2"/>
      <c r="B207" s="2"/>
      <c r="C207" s="2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75" customHeight="1">
      <c r="A208" s="2"/>
      <c r="B208" s="2"/>
      <c r="C208" s="2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75" customHeight="1">
      <c r="A209" s="2"/>
      <c r="B209" s="2"/>
      <c r="C209" s="2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75" customHeight="1">
      <c r="A210" s="2"/>
      <c r="B210" s="2"/>
      <c r="C210" s="2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75" customHeight="1">
      <c r="A211" s="2"/>
      <c r="B211" s="2"/>
      <c r="C211" s="2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75" customHeight="1">
      <c r="A212" s="2"/>
      <c r="B212" s="2"/>
      <c r="C212" s="2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75" customHeight="1">
      <c r="A213" s="2"/>
      <c r="B213" s="2"/>
      <c r="C213" s="2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75" customHeight="1">
      <c r="A214" s="2"/>
      <c r="B214" s="2"/>
      <c r="C214" s="2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75" customHeight="1">
      <c r="A215" s="2"/>
      <c r="B215" s="2"/>
      <c r="C215" s="2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75" customHeight="1">
      <c r="A216" s="2"/>
      <c r="B216" s="2"/>
      <c r="C216" s="2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75" customHeight="1">
      <c r="A217" s="2"/>
      <c r="B217" s="2"/>
      <c r="C217" s="2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75" customHeight="1">
      <c r="A218" s="2"/>
      <c r="B218" s="2"/>
      <c r="C218" s="2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75" customHeight="1">
      <c r="A219" s="2"/>
      <c r="B219" s="2"/>
      <c r="C219" s="2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75" customHeight="1">
      <c r="A220" s="2"/>
      <c r="B220" s="2"/>
      <c r="C220" s="2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75" customHeight="1">
      <c r="A221" s="2"/>
      <c r="B221" s="2"/>
      <c r="C221" s="2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75" customHeight="1">
      <c r="A222" s="2"/>
      <c r="B222" s="2"/>
      <c r="C222" s="2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75" customHeight="1">
      <c r="A223" s="2"/>
      <c r="B223" s="2"/>
      <c r="C223" s="2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75" customHeight="1">
      <c r="A224" s="2"/>
      <c r="B224" s="2"/>
      <c r="C224" s="2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75" customHeight="1">
      <c r="A225" s="2"/>
      <c r="B225" s="2"/>
      <c r="C225" s="2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75" customHeight="1">
      <c r="A226" s="2"/>
      <c r="B226" s="2"/>
      <c r="C226" s="2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75" customHeight="1">
      <c r="A227" s="2"/>
      <c r="B227" s="2"/>
      <c r="C227" s="2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75" customHeight="1">
      <c r="A228" s="2"/>
      <c r="B228" s="2"/>
      <c r="C228" s="2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75" customHeight="1">
      <c r="A229" s="2"/>
      <c r="B229" s="2"/>
      <c r="C229" s="2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75" customHeight="1">
      <c r="A230" s="2"/>
      <c r="B230" s="2"/>
      <c r="C230" s="2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75" customHeight="1">
      <c r="A231" s="2"/>
      <c r="B231" s="2"/>
      <c r="C231" s="2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75" customHeight="1">
      <c r="A232" s="2"/>
      <c r="B232" s="2"/>
      <c r="C232" s="2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75" customHeight="1">
      <c r="A233" s="2"/>
      <c r="B233" s="2"/>
      <c r="C233" s="2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75" customHeight="1">
      <c r="A234" s="2"/>
      <c r="B234" s="2"/>
      <c r="C234" s="2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75" customHeight="1">
      <c r="A235" s="2"/>
      <c r="B235" s="2"/>
      <c r="C235" s="2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75" customHeight="1">
      <c r="A236" s="2"/>
      <c r="B236" s="2"/>
      <c r="C236" s="2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75" customHeight="1">
      <c r="A237" s="2"/>
      <c r="B237" s="2"/>
      <c r="C237" s="2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75" customHeight="1">
      <c r="A238" s="2"/>
      <c r="B238" s="2"/>
      <c r="C238" s="2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75" customHeight="1">
      <c r="A239" s="2"/>
      <c r="B239" s="2"/>
      <c r="C239" s="2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75" customHeight="1">
      <c r="A240" s="2"/>
      <c r="B240" s="2"/>
      <c r="C240" s="2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75" customHeight="1">
      <c r="A241" s="2"/>
      <c r="B241" s="2"/>
      <c r="C241" s="2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75" customHeight="1">
      <c r="A242" s="2"/>
      <c r="B242" s="2"/>
      <c r="C242" s="2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75" customHeight="1">
      <c r="A243" s="2"/>
      <c r="B243" s="2"/>
      <c r="C243" s="2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75" customHeight="1">
      <c r="A244" s="2"/>
      <c r="B244" s="2"/>
      <c r="C244" s="2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75" customHeight="1">
      <c r="A245" s="2"/>
      <c r="B245" s="2"/>
      <c r="C245" s="2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75" customHeight="1">
      <c r="A246" s="2"/>
      <c r="B246" s="2"/>
      <c r="C246" s="2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75" customHeight="1">
      <c r="A247" s="2"/>
      <c r="B247" s="2"/>
      <c r="C247" s="2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75" customHeight="1">
      <c r="A248" s="2"/>
      <c r="B248" s="2"/>
      <c r="C248" s="2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75" customHeight="1">
      <c r="A249" s="2"/>
      <c r="B249" s="2"/>
      <c r="C249" s="2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75" customHeight="1">
      <c r="A250" s="2"/>
      <c r="B250" s="2"/>
      <c r="C250" s="2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75" customHeight="1">
      <c r="A251" s="2"/>
      <c r="B251" s="2"/>
      <c r="C251" s="2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75" customHeight="1">
      <c r="A252" s="2"/>
      <c r="B252" s="2"/>
      <c r="C252" s="2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75" customHeight="1">
      <c r="A253" s="2"/>
      <c r="B253" s="2"/>
      <c r="C253" s="2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75" customHeight="1">
      <c r="A254" s="2"/>
      <c r="B254" s="2"/>
      <c r="C254" s="2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75" customHeight="1">
      <c r="A255" s="2"/>
      <c r="B255" s="2"/>
      <c r="C255" s="2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75" customHeight="1">
      <c r="A256" s="2"/>
      <c r="B256" s="2"/>
      <c r="C256" s="2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75" customHeight="1">
      <c r="A257" s="2"/>
      <c r="B257" s="2"/>
      <c r="C257" s="2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75" customHeight="1">
      <c r="A258" s="2"/>
      <c r="B258" s="2"/>
      <c r="C258" s="2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75" customHeight="1">
      <c r="A259" s="2"/>
      <c r="B259" s="2"/>
      <c r="C259" s="2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75" customHeight="1">
      <c r="A260" s="2"/>
      <c r="B260" s="2"/>
      <c r="C260" s="2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75" customHeight="1">
      <c r="A261" s="2"/>
      <c r="B261" s="2"/>
      <c r="C261" s="2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75" customHeight="1">
      <c r="A262" s="2"/>
      <c r="B262" s="2"/>
      <c r="C262" s="2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75" customHeight="1">
      <c r="A263" s="2"/>
      <c r="B263" s="2"/>
      <c r="C263" s="2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75" customHeight="1">
      <c r="A264" s="2"/>
      <c r="B264" s="2"/>
      <c r="C264" s="2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75" customHeight="1">
      <c r="A265" s="2"/>
      <c r="B265" s="2"/>
      <c r="C265" s="2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75" customHeight="1">
      <c r="A266" s="2"/>
      <c r="B266" s="2"/>
      <c r="C266" s="2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75" customHeight="1">
      <c r="A267" s="2"/>
      <c r="B267" s="2"/>
      <c r="C267" s="2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75" customHeight="1">
      <c r="A268" s="2"/>
      <c r="B268" s="2"/>
      <c r="C268" s="2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75" customHeight="1">
      <c r="A269" s="2"/>
      <c r="B269" s="2"/>
      <c r="C269" s="2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75" customHeight="1">
      <c r="A270" s="2"/>
      <c r="B270" s="2"/>
      <c r="C270" s="2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75" customHeight="1">
      <c r="A271" s="2"/>
      <c r="B271" s="2"/>
      <c r="C271" s="2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75" customHeight="1">
      <c r="A272" s="2"/>
      <c r="B272" s="2"/>
      <c r="C272" s="2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75" customHeight="1">
      <c r="A273" s="2"/>
      <c r="B273" s="2"/>
      <c r="C273" s="2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75" customHeight="1">
      <c r="A274" s="2"/>
      <c r="B274" s="2"/>
      <c r="C274" s="2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75" customHeight="1">
      <c r="A275" s="2"/>
      <c r="B275" s="2"/>
      <c r="C275" s="2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75" customHeight="1">
      <c r="A276" s="2"/>
      <c r="B276" s="2"/>
      <c r="C276" s="2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75" customHeight="1">
      <c r="A277" s="2"/>
      <c r="B277" s="2"/>
      <c r="C277" s="2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75" customHeight="1">
      <c r="A278" s="2"/>
      <c r="B278" s="2"/>
      <c r="C278" s="2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75" customHeight="1">
      <c r="A279" s="2"/>
      <c r="B279" s="2"/>
      <c r="C279" s="2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75" customHeight="1">
      <c r="A280" s="2"/>
      <c r="B280" s="2"/>
      <c r="C280" s="2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ht="12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ht="12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ht="12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ht="12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ht="12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ht="12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ht="12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ht="12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</sheetData>
  <mergeCells count="3">
    <mergeCell ref="C3:C4"/>
    <mergeCell ref="U3:U4"/>
    <mergeCell ref="V3:V4"/>
  </mergeCells>
  <printOptions/>
  <pageMargins bottom="1.707864387196166" footer="0.0" header="0.0" left="0.4051213197535092" right="0.21" top="0.34"/>
  <pageSetup paperSize="9" scale="65" orientation="landscape"/>
  <headerFooter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2.71"/>
    <col customWidth="1" min="3" max="3" width="36.71"/>
    <col customWidth="1" min="4" max="15" width="13.86"/>
    <col customWidth="1" min="16" max="16" width="2.14"/>
    <col customWidth="1" min="17" max="17" width="14.14"/>
    <col customWidth="1" min="18" max="19" width="2.86"/>
    <col customWidth="1" min="20" max="20" width="11.57"/>
    <col customWidth="1" min="21" max="21" width="13.57"/>
    <col customWidth="1" min="22" max="22" width="8.71"/>
    <col customWidth="1" min="23" max="23" width="12.14"/>
    <col customWidth="1" min="24" max="24" width="12.43"/>
    <col customWidth="1" min="25" max="31" width="8.71"/>
  </cols>
  <sheetData>
    <row r="1" ht="11.25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2"/>
      <c r="Z1" s="2"/>
      <c r="AA1" s="2"/>
      <c r="AB1" s="2"/>
      <c r="AC1" s="2"/>
      <c r="AD1" s="2"/>
      <c r="AE1" s="2"/>
    </row>
    <row r="2" ht="12.75" customHeight="1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2"/>
      <c r="T2" s="53"/>
      <c r="U2" s="53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2.75" customHeight="1">
      <c r="A3" s="52"/>
      <c r="B3" s="53"/>
      <c r="C3" s="54" t="s">
        <v>25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3"/>
      <c r="Q3" s="55"/>
      <c r="R3" s="2"/>
      <c r="S3" s="52"/>
      <c r="T3" s="2"/>
      <c r="U3" s="49" t="s">
        <v>24</v>
      </c>
      <c r="V3" s="56">
        <f>Assumptions!F34</f>
        <v>0.15</v>
      </c>
      <c r="W3" s="2"/>
      <c r="X3" s="2"/>
      <c r="Y3" s="2"/>
      <c r="Z3" s="2"/>
      <c r="AA3" s="2"/>
      <c r="AB3" s="2"/>
      <c r="AC3" s="2"/>
      <c r="AD3" s="2"/>
      <c r="AE3" s="2"/>
    </row>
    <row r="4" ht="12.75" customHeight="1">
      <c r="A4" s="52"/>
      <c r="B4" s="53"/>
      <c r="C4" s="57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3"/>
      <c r="Q4" s="59"/>
      <c r="R4" s="2"/>
      <c r="S4" s="52"/>
      <c r="T4" s="2"/>
      <c r="V4" s="51"/>
      <c r="W4" s="2"/>
      <c r="X4" s="2"/>
      <c r="Y4" s="2"/>
      <c r="Z4" s="2"/>
      <c r="AA4" s="2"/>
      <c r="AB4" s="2"/>
      <c r="AC4" s="2"/>
      <c r="AD4" s="2"/>
      <c r="AE4" s="2"/>
    </row>
    <row r="5" ht="12.75" customHeight="1">
      <c r="A5" s="52"/>
      <c r="B5" s="5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53"/>
      <c r="Q5" s="2"/>
      <c r="R5" s="2"/>
      <c r="S5" s="5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5.75" customHeight="1">
      <c r="A6" s="52"/>
      <c r="B6" s="53"/>
      <c r="C6" s="60"/>
      <c r="D6" s="112">
        <f>'Budget Figures'!D6</f>
        <v>44287</v>
      </c>
      <c r="E6" s="112">
        <f>'Budget Figures'!E6</f>
        <v>44317</v>
      </c>
      <c r="F6" s="112">
        <f>'Budget Figures'!F6</f>
        <v>44348</v>
      </c>
      <c r="G6" s="112">
        <f>'Budget Figures'!G6</f>
        <v>44378</v>
      </c>
      <c r="H6" s="112">
        <f>'Budget Figures'!H6</f>
        <v>44409</v>
      </c>
      <c r="I6" s="112">
        <f>'Budget Figures'!I6</f>
        <v>44440</v>
      </c>
      <c r="J6" s="112">
        <f>'Budget Figures'!J6</f>
        <v>44470</v>
      </c>
      <c r="K6" s="112">
        <f>'Budget Figures'!K6</f>
        <v>44501</v>
      </c>
      <c r="L6" s="112">
        <f>'Budget Figures'!L6</f>
        <v>44531</v>
      </c>
      <c r="M6" s="112">
        <f>'Budget Figures'!M6</f>
        <v>44562</v>
      </c>
      <c r="N6" s="112">
        <f>'Budget Figures'!N6</f>
        <v>44593</v>
      </c>
      <c r="O6" s="112">
        <f>'Budget Figures'!O6</f>
        <v>44621</v>
      </c>
      <c r="P6" s="53"/>
      <c r="Q6" s="62" t="s">
        <v>26</v>
      </c>
      <c r="R6" s="2"/>
      <c r="S6" s="5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7.25" customHeight="1">
      <c r="A7" s="52"/>
      <c r="B7" s="53"/>
      <c r="C7" s="63" t="s">
        <v>27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5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2.75" customHeight="1">
      <c r="A8" s="52"/>
      <c r="B8" s="53"/>
      <c r="C8" s="6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5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2.75" customHeight="1">
      <c r="A9" s="52"/>
      <c r="B9" s="53"/>
      <c r="C9" s="65" t="s">
        <v>3</v>
      </c>
      <c r="D9" s="66">
        <v>25000.0</v>
      </c>
      <c r="E9" s="66">
        <v>35000.0</v>
      </c>
      <c r="F9" s="66">
        <v>45000.0</v>
      </c>
      <c r="G9" s="66">
        <v>15000.0</v>
      </c>
      <c r="H9" s="66">
        <v>25000.0</v>
      </c>
      <c r="I9" s="66">
        <v>30000.0</v>
      </c>
      <c r="J9" s="66">
        <v>12500.0</v>
      </c>
      <c r="K9" s="66">
        <v>25000.0</v>
      </c>
      <c r="L9" s="66">
        <v>35000.0</v>
      </c>
      <c r="M9" s="66">
        <v>40000.0</v>
      </c>
      <c r="N9" s="66">
        <v>25000.0</v>
      </c>
      <c r="O9" s="66">
        <v>35800.0</v>
      </c>
      <c r="P9" s="53"/>
      <c r="Q9" s="67">
        <f t="shared" ref="Q9:Q14" si="1">SUM(D9:O9)</f>
        <v>348300</v>
      </c>
      <c r="R9" s="2"/>
      <c r="S9" s="5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2.75" customHeight="1">
      <c r="A10" s="52"/>
      <c r="B10" s="53"/>
      <c r="C10" s="68" t="s">
        <v>28</v>
      </c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53"/>
      <c r="Q10" s="67">
        <f t="shared" si="1"/>
        <v>0</v>
      </c>
      <c r="R10" s="2"/>
      <c r="S10" s="5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2.75" customHeight="1">
      <c r="A11" s="52"/>
      <c r="B11" s="53"/>
      <c r="C11" s="68" t="s">
        <v>29</v>
      </c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53"/>
      <c r="Q11" s="67">
        <f t="shared" si="1"/>
        <v>0</v>
      </c>
      <c r="R11" s="2"/>
      <c r="S11" s="5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2.75" customHeight="1">
      <c r="A12" s="52"/>
      <c r="B12" s="53"/>
      <c r="C12" s="68" t="s">
        <v>30</v>
      </c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53"/>
      <c r="Q12" s="67">
        <f t="shared" si="1"/>
        <v>0</v>
      </c>
      <c r="R12" s="2"/>
      <c r="S12" s="5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2.75" customHeight="1">
      <c r="A13" s="52"/>
      <c r="B13" s="53"/>
      <c r="C13" s="70" t="s">
        <v>31</v>
      </c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53"/>
      <c r="Q13" s="67">
        <f t="shared" si="1"/>
        <v>0</v>
      </c>
      <c r="R13" s="2"/>
      <c r="S13" s="5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2.75" customHeight="1">
      <c r="A14" s="52"/>
      <c r="B14" s="53"/>
      <c r="C14" s="71" t="s">
        <v>32</v>
      </c>
      <c r="D14" s="66">
        <v>250.0</v>
      </c>
      <c r="E14" s="66">
        <v>250.0</v>
      </c>
      <c r="F14" s="66">
        <v>250.0</v>
      </c>
      <c r="G14" s="66">
        <v>250.0</v>
      </c>
      <c r="H14" s="66">
        <v>250.0</v>
      </c>
      <c r="I14" s="66">
        <v>250.0</v>
      </c>
      <c r="J14" s="66">
        <v>250.0</v>
      </c>
      <c r="K14" s="66">
        <v>250.0</v>
      </c>
      <c r="L14" s="66">
        <v>250.0</v>
      </c>
      <c r="M14" s="66">
        <v>250.0</v>
      </c>
      <c r="N14" s="66">
        <v>250.0</v>
      </c>
      <c r="O14" s="66">
        <v>250.0</v>
      </c>
      <c r="P14" s="53"/>
      <c r="Q14" s="67">
        <f t="shared" si="1"/>
        <v>3000</v>
      </c>
      <c r="R14" s="2"/>
      <c r="S14" s="5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2.75" customHeight="1">
      <c r="A15" s="52"/>
      <c r="B15" s="5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3"/>
      <c r="Q15" s="2"/>
      <c r="R15" s="2"/>
      <c r="S15" s="5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2.75" customHeight="1">
      <c r="A16" s="52"/>
      <c r="B16" s="53"/>
      <c r="C16" s="72" t="s">
        <v>33</v>
      </c>
      <c r="D16" s="73">
        <f t="shared" ref="D16:O16" si="2">sum(D9:D14)</f>
        <v>25250</v>
      </c>
      <c r="E16" s="73">
        <f t="shared" si="2"/>
        <v>35250</v>
      </c>
      <c r="F16" s="73">
        <f t="shared" si="2"/>
        <v>45250</v>
      </c>
      <c r="G16" s="73">
        <f t="shared" si="2"/>
        <v>15250</v>
      </c>
      <c r="H16" s="73">
        <f t="shared" si="2"/>
        <v>25250</v>
      </c>
      <c r="I16" s="73">
        <f t="shared" si="2"/>
        <v>30250</v>
      </c>
      <c r="J16" s="73">
        <f t="shared" si="2"/>
        <v>12750</v>
      </c>
      <c r="K16" s="73">
        <f t="shared" si="2"/>
        <v>25250</v>
      </c>
      <c r="L16" s="73">
        <f t="shared" si="2"/>
        <v>35250</v>
      </c>
      <c r="M16" s="73">
        <f t="shared" si="2"/>
        <v>40250</v>
      </c>
      <c r="N16" s="73">
        <f t="shared" si="2"/>
        <v>25250</v>
      </c>
      <c r="O16" s="73">
        <f t="shared" si="2"/>
        <v>36050</v>
      </c>
      <c r="P16" s="53"/>
      <c r="Q16" s="73">
        <f>SUM(D16:O16)</f>
        <v>351300</v>
      </c>
      <c r="R16" s="2"/>
      <c r="S16" s="5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2.75" customHeight="1">
      <c r="A17" s="52"/>
      <c r="B17" s="53"/>
      <c r="C17" s="2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53"/>
      <c r="Q17" s="74"/>
      <c r="R17" s="2"/>
      <c r="S17" s="5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5.75" customHeight="1">
      <c r="A18" s="52"/>
      <c r="B18" s="53"/>
      <c r="C18" s="75" t="s">
        <v>34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53"/>
      <c r="Q18" s="74"/>
      <c r="R18" s="2"/>
      <c r="S18" s="5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7.5" customHeight="1">
      <c r="A19" s="52"/>
      <c r="B19" s="53"/>
      <c r="C19" s="76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53"/>
      <c r="Q19" s="74"/>
      <c r="R19" s="2"/>
      <c r="S19" s="5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2.75" customHeight="1">
      <c r="A20" s="52"/>
      <c r="B20" s="53"/>
      <c r="C20" s="76" t="s">
        <v>17</v>
      </c>
      <c r="D20" s="77">
        <v>13000.0</v>
      </c>
      <c r="E20" s="77">
        <v>15000.0</v>
      </c>
      <c r="F20" s="77">
        <v>18000.0</v>
      </c>
      <c r="G20" s="77">
        <v>12000.0</v>
      </c>
      <c r="H20" s="77">
        <v>20000.0</v>
      </c>
      <c r="I20" s="77">
        <v>15000.0</v>
      </c>
      <c r="J20" s="77">
        <v>5600.0</v>
      </c>
      <c r="K20" s="77">
        <v>12000.0</v>
      </c>
      <c r="L20" s="77">
        <v>15000.0</v>
      </c>
      <c r="M20" s="77">
        <v>22000.0</v>
      </c>
      <c r="N20" s="77">
        <v>13000.0</v>
      </c>
      <c r="O20" s="77">
        <v>20000.0</v>
      </c>
      <c r="P20" s="53"/>
      <c r="Q20" s="78">
        <f>SUM(D20:O20)</f>
        <v>180600</v>
      </c>
      <c r="R20" s="2"/>
      <c r="S20" s="5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7.5" customHeight="1">
      <c r="A21" s="52"/>
      <c r="B21" s="53"/>
      <c r="C21" s="76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53"/>
      <c r="Q21" s="79"/>
      <c r="R21" s="2"/>
      <c r="S21" s="5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2.75" customHeight="1">
      <c r="A22" s="52"/>
      <c r="B22" s="53"/>
      <c r="C22" s="75" t="s">
        <v>35</v>
      </c>
      <c r="D22" s="80">
        <f t="shared" ref="D22:O22" si="3">D20</f>
        <v>13000</v>
      </c>
      <c r="E22" s="80">
        <f t="shared" si="3"/>
        <v>15000</v>
      </c>
      <c r="F22" s="80">
        <f t="shared" si="3"/>
        <v>18000</v>
      </c>
      <c r="G22" s="80">
        <f t="shared" si="3"/>
        <v>12000</v>
      </c>
      <c r="H22" s="80">
        <f t="shared" si="3"/>
        <v>20000</v>
      </c>
      <c r="I22" s="80">
        <f t="shared" si="3"/>
        <v>15000</v>
      </c>
      <c r="J22" s="80">
        <f t="shared" si="3"/>
        <v>5600</v>
      </c>
      <c r="K22" s="80">
        <f t="shared" si="3"/>
        <v>12000</v>
      </c>
      <c r="L22" s="80">
        <f t="shared" si="3"/>
        <v>15000</v>
      </c>
      <c r="M22" s="80">
        <f t="shared" si="3"/>
        <v>22000</v>
      </c>
      <c r="N22" s="80">
        <f t="shared" si="3"/>
        <v>13000</v>
      </c>
      <c r="O22" s="80">
        <f t="shared" si="3"/>
        <v>20000</v>
      </c>
      <c r="P22" s="53"/>
      <c r="Q22" s="78">
        <f>SUM(D22:O22)</f>
        <v>180600</v>
      </c>
      <c r="R22" s="2"/>
      <c r="S22" s="5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2.75" customHeight="1">
      <c r="A23" s="52"/>
      <c r="B23" s="53"/>
      <c r="C23" s="2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53"/>
      <c r="Q23" s="79"/>
      <c r="R23" s="2"/>
      <c r="S23" s="5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2.75" customHeight="1">
      <c r="A24" s="52"/>
      <c r="B24" s="53"/>
      <c r="C24" s="81" t="s">
        <v>36</v>
      </c>
      <c r="D24" s="82">
        <f t="shared" ref="D24:O24" si="4">D16-D22</f>
        <v>12250</v>
      </c>
      <c r="E24" s="82">
        <f t="shared" si="4"/>
        <v>20250</v>
      </c>
      <c r="F24" s="82">
        <f t="shared" si="4"/>
        <v>27250</v>
      </c>
      <c r="G24" s="82">
        <f t="shared" si="4"/>
        <v>3250</v>
      </c>
      <c r="H24" s="82">
        <f t="shared" si="4"/>
        <v>5250</v>
      </c>
      <c r="I24" s="82">
        <f t="shared" si="4"/>
        <v>15250</v>
      </c>
      <c r="J24" s="82">
        <f t="shared" si="4"/>
        <v>7150</v>
      </c>
      <c r="K24" s="82">
        <f t="shared" si="4"/>
        <v>13250</v>
      </c>
      <c r="L24" s="82">
        <f t="shared" si="4"/>
        <v>20250</v>
      </c>
      <c r="M24" s="82">
        <f t="shared" si="4"/>
        <v>18250</v>
      </c>
      <c r="N24" s="82">
        <f t="shared" si="4"/>
        <v>12250</v>
      </c>
      <c r="O24" s="82">
        <f t="shared" si="4"/>
        <v>16050</v>
      </c>
      <c r="P24" s="53"/>
      <c r="Q24" s="78">
        <f>SUM(D24:O24)</f>
        <v>170700</v>
      </c>
      <c r="R24" s="2"/>
      <c r="S24" s="5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2.75" customHeight="1">
      <c r="A25" s="52"/>
      <c r="B25" s="53"/>
      <c r="C25" s="2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53"/>
      <c r="Q25" s="74"/>
      <c r="R25" s="2"/>
      <c r="S25" s="5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2.75" customHeight="1">
      <c r="A26" s="52"/>
      <c r="B26" s="53"/>
      <c r="C26" s="83" t="s">
        <v>37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53"/>
      <c r="Q26" s="74"/>
      <c r="R26" s="2"/>
      <c r="S26" s="5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2.75" customHeight="1">
      <c r="A27" s="52"/>
      <c r="B27" s="5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53"/>
      <c r="Q27" s="2"/>
      <c r="R27" s="2"/>
      <c r="S27" s="5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2.75" customHeight="1">
      <c r="A28" s="52"/>
      <c r="B28" s="53"/>
      <c r="C28" s="84" t="s">
        <v>38</v>
      </c>
      <c r="D28" s="85">
        <v>500.0</v>
      </c>
      <c r="E28" s="85">
        <v>750.0</v>
      </c>
      <c r="F28" s="85">
        <v>500.0</v>
      </c>
      <c r="G28" s="85">
        <v>500.0</v>
      </c>
      <c r="H28" s="85">
        <v>1500.0</v>
      </c>
      <c r="I28" s="85">
        <v>500.0</v>
      </c>
      <c r="J28" s="85">
        <v>500.0</v>
      </c>
      <c r="K28" s="85">
        <v>500.0</v>
      </c>
      <c r="L28" s="85">
        <v>850.0</v>
      </c>
      <c r="M28" s="85">
        <v>500.0</v>
      </c>
      <c r="N28" s="85">
        <v>500.0</v>
      </c>
      <c r="O28" s="85">
        <v>500.0</v>
      </c>
      <c r="P28" s="53"/>
      <c r="Q28" s="67">
        <f t="shared" ref="Q28:Q54" si="5">SUM(D28:O28)</f>
        <v>7600</v>
      </c>
      <c r="R28" s="2"/>
      <c r="S28" s="5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2.75" customHeight="1">
      <c r="A29" s="52"/>
      <c r="B29" s="53"/>
      <c r="C29" s="84" t="s">
        <v>39</v>
      </c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53"/>
      <c r="Q29" s="67">
        <f t="shared" si="5"/>
        <v>0</v>
      </c>
      <c r="R29" s="2"/>
      <c r="S29" s="5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2.75" customHeight="1">
      <c r="A30" s="52"/>
      <c r="B30" s="53"/>
      <c r="C30" s="84" t="s">
        <v>40</v>
      </c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53"/>
      <c r="Q30" s="67">
        <f t="shared" si="5"/>
        <v>0</v>
      </c>
      <c r="R30" s="2"/>
      <c r="S30" s="5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2.75" customHeight="1">
      <c r="A31" s="52"/>
      <c r="B31" s="53"/>
      <c r="C31" s="84" t="s">
        <v>41</v>
      </c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53"/>
      <c r="Q31" s="67">
        <f t="shared" si="5"/>
        <v>0</v>
      </c>
      <c r="R31" s="2"/>
      <c r="S31" s="5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2.75" customHeight="1">
      <c r="A32" s="52"/>
      <c r="B32" s="53"/>
      <c r="C32" s="84" t="s">
        <v>42</v>
      </c>
      <c r="D32" s="85">
        <v>150.0</v>
      </c>
      <c r="E32" s="85">
        <v>300.0</v>
      </c>
      <c r="F32" s="85">
        <v>150.0</v>
      </c>
      <c r="G32" s="85">
        <v>150.0</v>
      </c>
      <c r="H32" s="85">
        <v>250.0</v>
      </c>
      <c r="I32" s="85">
        <v>150.0</v>
      </c>
      <c r="J32" s="85">
        <v>150.0</v>
      </c>
      <c r="K32" s="85">
        <v>150.0</v>
      </c>
      <c r="L32" s="85">
        <v>450.0</v>
      </c>
      <c r="M32" s="85">
        <v>150.0</v>
      </c>
      <c r="N32" s="85">
        <v>150.0</v>
      </c>
      <c r="O32" s="85">
        <v>150.0</v>
      </c>
      <c r="P32" s="53"/>
      <c r="Q32" s="67">
        <f t="shared" si="5"/>
        <v>2350</v>
      </c>
      <c r="R32" s="2"/>
      <c r="S32" s="5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2.75" customHeight="1">
      <c r="A33" s="52"/>
      <c r="B33" s="53"/>
      <c r="C33" s="84" t="s">
        <v>43</v>
      </c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53"/>
      <c r="Q33" s="67">
        <f t="shared" si="5"/>
        <v>0</v>
      </c>
      <c r="R33" s="2"/>
      <c r="S33" s="5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2.75" customHeight="1">
      <c r="A34" s="52"/>
      <c r="B34" s="53"/>
      <c r="C34" s="84" t="s">
        <v>44</v>
      </c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53"/>
      <c r="Q34" s="67">
        <f t="shared" si="5"/>
        <v>0</v>
      </c>
      <c r="R34" s="2"/>
      <c r="S34" s="5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2.75" customHeight="1">
      <c r="A35" s="52"/>
      <c r="B35" s="53"/>
      <c r="C35" s="84" t="s">
        <v>45</v>
      </c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53"/>
      <c r="Q35" s="67">
        <f t="shared" si="5"/>
        <v>0</v>
      </c>
      <c r="R35" s="2"/>
      <c r="S35" s="5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2.75" customHeight="1">
      <c r="A36" s="52"/>
      <c r="B36" s="53"/>
      <c r="C36" s="84" t="s">
        <v>46</v>
      </c>
      <c r="D36" s="85">
        <v>1000.0</v>
      </c>
      <c r="E36" s="85">
        <v>1000.0</v>
      </c>
      <c r="F36" s="85">
        <v>1000.0</v>
      </c>
      <c r="G36" s="85">
        <v>1000.0</v>
      </c>
      <c r="H36" s="85">
        <v>1000.0</v>
      </c>
      <c r="I36" s="85">
        <v>1000.0</v>
      </c>
      <c r="J36" s="85">
        <v>1000.0</v>
      </c>
      <c r="K36" s="85">
        <v>1000.0</v>
      </c>
      <c r="L36" s="85">
        <v>1000.0</v>
      </c>
      <c r="M36" s="85">
        <v>1000.0</v>
      </c>
      <c r="N36" s="85">
        <v>1000.0</v>
      </c>
      <c r="O36" s="85">
        <v>1000.0</v>
      </c>
      <c r="P36" s="53"/>
      <c r="Q36" s="67">
        <f t="shared" si="5"/>
        <v>12000</v>
      </c>
      <c r="R36" s="2"/>
      <c r="S36" s="5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2.75" customHeight="1">
      <c r="A37" s="52"/>
      <c r="B37" s="53"/>
      <c r="C37" s="84" t="s">
        <v>47</v>
      </c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53"/>
      <c r="Q37" s="67">
        <f t="shared" si="5"/>
        <v>0</v>
      </c>
      <c r="R37" s="2"/>
      <c r="S37" s="5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2.75" customHeight="1">
      <c r="A38" s="52"/>
      <c r="B38" s="53"/>
      <c r="C38" s="84" t="s">
        <v>48</v>
      </c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53"/>
      <c r="Q38" s="67">
        <f t="shared" si="5"/>
        <v>0</v>
      </c>
      <c r="R38" s="2"/>
      <c r="S38" s="5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2.75" customHeight="1">
      <c r="A39" s="52"/>
      <c r="B39" s="53"/>
      <c r="C39" s="84" t="s">
        <v>49</v>
      </c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53"/>
      <c r="Q39" s="67">
        <f t="shared" si="5"/>
        <v>0</v>
      </c>
      <c r="R39" s="2"/>
      <c r="S39" s="5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2.75" customHeight="1">
      <c r="A40" s="52"/>
      <c r="B40" s="53"/>
      <c r="C40" s="84" t="s">
        <v>50</v>
      </c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53"/>
      <c r="Q40" s="67">
        <f t="shared" si="5"/>
        <v>0</v>
      </c>
      <c r="R40" s="2"/>
      <c r="S40" s="5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2.75" customHeight="1">
      <c r="A41" s="52"/>
      <c r="B41" s="53"/>
      <c r="C41" s="84" t="s">
        <v>51</v>
      </c>
      <c r="D41" s="85">
        <v>600.0</v>
      </c>
      <c r="E41" s="85">
        <v>600.0</v>
      </c>
      <c r="F41" s="85">
        <v>600.0</v>
      </c>
      <c r="G41" s="85">
        <v>600.0</v>
      </c>
      <c r="H41" s="85">
        <v>600.0</v>
      </c>
      <c r="I41" s="85">
        <v>600.0</v>
      </c>
      <c r="J41" s="85">
        <v>600.0</v>
      </c>
      <c r="K41" s="85">
        <v>600.0</v>
      </c>
      <c r="L41" s="85">
        <v>600.0</v>
      </c>
      <c r="M41" s="85">
        <v>600.0</v>
      </c>
      <c r="N41" s="85">
        <v>600.0</v>
      </c>
      <c r="O41" s="85">
        <v>600.0</v>
      </c>
      <c r="P41" s="53"/>
      <c r="Q41" s="67">
        <f t="shared" si="5"/>
        <v>7200</v>
      </c>
      <c r="R41" s="2"/>
      <c r="S41" s="5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2.75" customHeight="1">
      <c r="A42" s="52"/>
      <c r="B42" s="53"/>
      <c r="C42" s="84" t="s">
        <v>52</v>
      </c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53"/>
      <c r="Q42" s="67">
        <f t="shared" si="5"/>
        <v>0</v>
      </c>
      <c r="R42" s="2"/>
      <c r="S42" s="5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2.75" customHeight="1">
      <c r="A43" s="52"/>
      <c r="B43" s="53"/>
      <c r="C43" s="84" t="s">
        <v>53</v>
      </c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53"/>
      <c r="Q43" s="67">
        <f t="shared" si="5"/>
        <v>0</v>
      </c>
      <c r="R43" s="2"/>
      <c r="S43" s="5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2.75" customHeight="1">
      <c r="A44" s="52"/>
      <c r="B44" s="53"/>
      <c r="C44" s="84" t="s">
        <v>54</v>
      </c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53"/>
      <c r="Q44" s="67">
        <f t="shared" si="5"/>
        <v>0</v>
      </c>
      <c r="R44" s="2"/>
      <c r="S44" s="5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2.75" customHeight="1">
      <c r="A45" s="52"/>
      <c r="B45" s="53"/>
      <c r="C45" s="84" t="s">
        <v>55</v>
      </c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53"/>
      <c r="Q45" s="67">
        <f t="shared" si="5"/>
        <v>0</v>
      </c>
      <c r="R45" s="2"/>
      <c r="S45" s="5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2.75" customHeight="1">
      <c r="A46" s="52"/>
      <c r="B46" s="53"/>
      <c r="C46" s="84" t="s">
        <v>56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53"/>
      <c r="Q46" s="67">
        <f t="shared" si="5"/>
        <v>0</v>
      </c>
      <c r="R46" s="2"/>
      <c r="S46" s="5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2.75" customHeight="1">
      <c r="A47" s="52"/>
      <c r="B47" s="53"/>
      <c r="C47" s="84" t="s">
        <v>57</v>
      </c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53"/>
      <c r="Q47" s="67">
        <f t="shared" si="5"/>
        <v>0</v>
      </c>
      <c r="R47" s="2"/>
      <c r="S47" s="5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2.75" customHeight="1">
      <c r="A48" s="52"/>
      <c r="B48" s="53"/>
      <c r="C48" s="87" t="s">
        <v>58</v>
      </c>
      <c r="D48" s="85">
        <v>500.0</v>
      </c>
      <c r="E48" s="85">
        <v>500.0</v>
      </c>
      <c r="F48" s="85">
        <v>750.0</v>
      </c>
      <c r="G48" s="85">
        <v>500.0</v>
      </c>
      <c r="H48" s="85">
        <v>500.0</v>
      </c>
      <c r="I48" s="85">
        <v>1000.0</v>
      </c>
      <c r="J48" s="85">
        <v>500.0</v>
      </c>
      <c r="K48" s="85">
        <v>500.0</v>
      </c>
      <c r="L48" s="85">
        <v>500.0</v>
      </c>
      <c r="M48" s="85">
        <v>500.0</v>
      </c>
      <c r="N48" s="85">
        <v>500.0</v>
      </c>
      <c r="O48" s="85">
        <v>500.0</v>
      </c>
      <c r="P48" s="53"/>
      <c r="Q48" s="67">
        <f t="shared" si="5"/>
        <v>6750</v>
      </c>
      <c r="R48" s="2"/>
      <c r="S48" s="5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2.75" customHeight="1">
      <c r="A49" s="52"/>
      <c r="B49" s="53"/>
      <c r="C49" s="84" t="s">
        <v>59</v>
      </c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53"/>
      <c r="Q49" s="67">
        <f t="shared" si="5"/>
        <v>0</v>
      </c>
      <c r="R49" s="2"/>
      <c r="S49" s="5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2.75" customHeight="1">
      <c r="A50" s="52"/>
      <c r="B50" s="53"/>
      <c r="C50" s="84" t="s">
        <v>60</v>
      </c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53"/>
      <c r="Q50" s="67">
        <f t="shared" si="5"/>
        <v>0</v>
      </c>
      <c r="R50" s="2"/>
      <c r="S50" s="5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2.75" customHeight="1">
      <c r="A51" s="52"/>
      <c r="B51" s="53"/>
      <c r="C51" s="84" t="s">
        <v>61</v>
      </c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53"/>
      <c r="Q51" s="67">
        <f t="shared" si="5"/>
        <v>0</v>
      </c>
      <c r="R51" s="2"/>
      <c r="S51" s="5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2.75" customHeight="1">
      <c r="A52" s="52"/>
      <c r="B52" s="53"/>
      <c r="C52" s="84" t="s">
        <v>62</v>
      </c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53"/>
      <c r="Q52" s="67">
        <f t="shared" si="5"/>
        <v>0</v>
      </c>
      <c r="R52" s="2"/>
      <c r="S52" s="5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2.75" customHeight="1">
      <c r="A53" s="52"/>
      <c r="B53" s="53"/>
      <c r="C53" s="84" t="s">
        <v>63</v>
      </c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53"/>
      <c r="Q53" s="67">
        <f t="shared" si="5"/>
        <v>0</v>
      </c>
      <c r="R53" s="2"/>
      <c r="S53" s="5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2.75" customHeight="1">
      <c r="A54" s="52"/>
      <c r="B54" s="53"/>
      <c r="C54" s="84" t="s">
        <v>64</v>
      </c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53"/>
      <c r="Q54" s="67">
        <f t="shared" si="5"/>
        <v>0</v>
      </c>
      <c r="R54" s="2"/>
      <c r="S54" s="5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2.75" customHeight="1">
      <c r="A55" s="52"/>
      <c r="B55" s="53"/>
      <c r="C55" s="8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3"/>
      <c r="Q55" s="2"/>
      <c r="R55" s="2"/>
      <c r="S55" s="5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2.75" customHeight="1">
      <c r="A56" s="52"/>
      <c r="B56" s="53"/>
      <c r="C56" s="89" t="s">
        <v>65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53"/>
      <c r="Q56" s="2"/>
      <c r="R56" s="2"/>
      <c r="S56" s="5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2.75" customHeight="1">
      <c r="A57" s="52"/>
      <c r="B57" s="53"/>
      <c r="C57" s="8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53"/>
      <c r="Q57" s="2"/>
      <c r="R57" s="2"/>
      <c r="S57" s="5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2.75" customHeight="1">
      <c r="A58" s="52"/>
      <c r="B58" s="53"/>
      <c r="C58" s="90" t="s">
        <v>66</v>
      </c>
      <c r="D58" s="85">
        <v>14000.0</v>
      </c>
      <c r="E58" s="85">
        <v>14000.0</v>
      </c>
      <c r="F58" s="85">
        <v>14000.0</v>
      </c>
      <c r="G58" s="85">
        <v>14000.0</v>
      </c>
      <c r="H58" s="85">
        <v>14000.0</v>
      </c>
      <c r="I58" s="85">
        <v>14000.0</v>
      </c>
      <c r="J58" s="85">
        <v>14000.0</v>
      </c>
      <c r="K58" s="85">
        <v>14000.0</v>
      </c>
      <c r="L58" s="85">
        <v>14000.0</v>
      </c>
      <c r="M58" s="85">
        <v>14000.0</v>
      </c>
      <c r="N58" s="85">
        <v>14000.0</v>
      </c>
      <c r="O58" s="85">
        <v>14000.0</v>
      </c>
      <c r="P58" s="53"/>
      <c r="Q58" s="67">
        <f t="shared" ref="Q58:Q62" si="6">SUM(D58:O58)</f>
        <v>168000</v>
      </c>
      <c r="R58" s="2"/>
      <c r="S58" s="5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2.75" customHeight="1">
      <c r="A59" s="52"/>
      <c r="B59" s="53"/>
      <c r="C59" s="90" t="s">
        <v>67</v>
      </c>
      <c r="D59" s="85">
        <v>750.0</v>
      </c>
      <c r="E59" s="85">
        <v>750.0</v>
      </c>
      <c r="F59" s="85">
        <v>750.0</v>
      </c>
      <c r="G59" s="85">
        <v>750.0</v>
      </c>
      <c r="H59" s="85">
        <v>750.0</v>
      </c>
      <c r="I59" s="85">
        <v>750.0</v>
      </c>
      <c r="J59" s="85">
        <v>750.0</v>
      </c>
      <c r="K59" s="85">
        <v>750.0</v>
      </c>
      <c r="L59" s="85">
        <v>750.0</v>
      </c>
      <c r="M59" s="85">
        <v>750.0</v>
      </c>
      <c r="N59" s="85">
        <v>750.0</v>
      </c>
      <c r="O59" s="85">
        <v>750.0</v>
      </c>
      <c r="P59" s="53"/>
      <c r="Q59" s="67">
        <f t="shared" si="6"/>
        <v>9000</v>
      </c>
      <c r="R59" s="2"/>
      <c r="S59" s="5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2.75" customHeight="1">
      <c r="A60" s="52"/>
      <c r="B60" s="53"/>
      <c r="C60" s="90" t="s">
        <v>59</v>
      </c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53"/>
      <c r="Q60" s="67">
        <f t="shared" si="6"/>
        <v>0</v>
      </c>
      <c r="R60" s="2"/>
      <c r="S60" s="5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2.75" customHeight="1">
      <c r="A61" s="52"/>
      <c r="B61" s="53"/>
      <c r="C61" s="90" t="s">
        <v>60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53"/>
      <c r="Q61" s="67">
        <f t="shared" si="6"/>
        <v>0</v>
      </c>
      <c r="R61" s="2"/>
      <c r="S61" s="5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2.75" customHeight="1">
      <c r="A62" s="52"/>
      <c r="B62" s="53"/>
      <c r="C62" s="90" t="s">
        <v>61</v>
      </c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53"/>
      <c r="Q62" s="67">
        <f t="shared" si="6"/>
        <v>0</v>
      </c>
      <c r="R62" s="2"/>
      <c r="S62" s="5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2.75" customHeight="1">
      <c r="A63" s="52"/>
      <c r="B63" s="5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53"/>
      <c r="Q63" s="2"/>
      <c r="R63" s="2"/>
      <c r="S63" s="5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2.75" customHeight="1">
      <c r="A64" s="52"/>
      <c r="B64" s="53"/>
      <c r="C64" s="72" t="s">
        <v>68</v>
      </c>
      <c r="D64" s="73">
        <f t="shared" ref="D64:O64" si="7">SUM(D28:D62)</f>
        <v>17500</v>
      </c>
      <c r="E64" s="73">
        <f t="shared" si="7"/>
        <v>17900</v>
      </c>
      <c r="F64" s="73">
        <f t="shared" si="7"/>
        <v>17750</v>
      </c>
      <c r="G64" s="73">
        <f t="shared" si="7"/>
        <v>17500</v>
      </c>
      <c r="H64" s="73">
        <f t="shared" si="7"/>
        <v>18600</v>
      </c>
      <c r="I64" s="73">
        <f t="shared" si="7"/>
        <v>18000</v>
      </c>
      <c r="J64" s="73">
        <f t="shared" si="7"/>
        <v>17500</v>
      </c>
      <c r="K64" s="73">
        <f t="shared" si="7"/>
        <v>17500</v>
      </c>
      <c r="L64" s="73">
        <f t="shared" si="7"/>
        <v>18150</v>
      </c>
      <c r="M64" s="73">
        <f t="shared" si="7"/>
        <v>17500</v>
      </c>
      <c r="N64" s="73">
        <f t="shared" si="7"/>
        <v>17500</v>
      </c>
      <c r="O64" s="73">
        <f t="shared" si="7"/>
        <v>17500</v>
      </c>
      <c r="P64" s="53"/>
      <c r="Q64" s="73">
        <f>SUM(D64:O64)</f>
        <v>212900</v>
      </c>
      <c r="R64" s="2"/>
      <c r="S64" s="5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2.75" customHeight="1">
      <c r="A65" s="52"/>
      <c r="B65" s="53"/>
      <c r="C65" s="2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53"/>
      <c r="Q65" s="74"/>
      <c r="R65" s="2"/>
      <c r="S65" s="5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2.75" customHeight="1">
      <c r="A66" s="52"/>
      <c r="B66" s="53"/>
      <c r="C66" s="91" t="s">
        <v>69</v>
      </c>
      <c r="D66" s="92">
        <f t="shared" ref="D66:O66" si="8">D16-D14</f>
        <v>25000</v>
      </c>
      <c r="E66" s="92">
        <f t="shared" si="8"/>
        <v>35000</v>
      </c>
      <c r="F66" s="92">
        <f t="shared" si="8"/>
        <v>45000</v>
      </c>
      <c r="G66" s="92">
        <f t="shared" si="8"/>
        <v>15000</v>
      </c>
      <c r="H66" s="92">
        <f t="shared" si="8"/>
        <v>25000</v>
      </c>
      <c r="I66" s="92">
        <f t="shared" si="8"/>
        <v>30000</v>
      </c>
      <c r="J66" s="92">
        <f t="shared" si="8"/>
        <v>12500</v>
      </c>
      <c r="K66" s="92">
        <f t="shared" si="8"/>
        <v>25000</v>
      </c>
      <c r="L66" s="92">
        <f t="shared" si="8"/>
        <v>35000</v>
      </c>
      <c r="M66" s="92">
        <f t="shared" si="8"/>
        <v>40000</v>
      </c>
      <c r="N66" s="92">
        <f t="shared" si="8"/>
        <v>25000</v>
      </c>
      <c r="O66" s="93">
        <f t="shared" si="8"/>
        <v>35800</v>
      </c>
      <c r="P66" s="53"/>
      <c r="Q66" s="74"/>
      <c r="R66" s="2"/>
      <c r="S66" s="5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2.75" customHeight="1">
      <c r="A67" s="52"/>
      <c r="B67" s="53"/>
      <c r="C67" s="94" t="s">
        <v>70</v>
      </c>
      <c r="D67" s="95">
        <f t="shared" ref="D67:O67" si="9">sum(D28:D54)+D22</f>
        <v>15750</v>
      </c>
      <c r="E67" s="95">
        <f t="shared" si="9"/>
        <v>18150</v>
      </c>
      <c r="F67" s="95">
        <f t="shared" si="9"/>
        <v>21000</v>
      </c>
      <c r="G67" s="95">
        <f t="shared" si="9"/>
        <v>14750</v>
      </c>
      <c r="H67" s="95">
        <f t="shared" si="9"/>
        <v>23850</v>
      </c>
      <c r="I67" s="95">
        <f t="shared" si="9"/>
        <v>18250</v>
      </c>
      <c r="J67" s="95">
        <f t="shared" si="9"/>
        <v>8350</v>
      </c>
      <c r="K67" s="95">
        <f t="shared" si="9"/>
        <v>14750</v>
      </c>
      <c r="L67" s="95">
        <f t="shared" si="9"/>
        <v>18400</v>
      </c>
      <c r="M67" s="95">
        <f t="shared" si="9"/>
        <v>24750</v>
      </c>
      <c r="N67" s="95">
        <f t="shared" si="9"/>
        <v>15750</v>
      </c>
      <c r="O67" s="96">
        <f t="shared" si="9"/>
        <v>22750</v>
      </c>
      <c r="P67" s="53"/>
      <c r="Q67" s="74"/>
      <c r="R67" s="2"/>
      <c r="S67" s="5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2.75" customHeight="1">
      <c r="A68" s="52"/>
      <c r="B68" s="53"/>
      <c r="C68" s="97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98"/>
      <c r="P68" s="53"/>
      <c r="Q68" s="74"/>
      <c r="R68" s="2"/>
      <c r="S68" s="5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2.75" customHeight="1">
      <c r="A69" s="52"/>
      <c r="B69" s="53"/>
      <c r="C69" s="99" t="s">
        <v>71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98"/>
      <c r="P69" s="53"/>
      <c r="Q69" s="74"/>
      <c r="R69" s="2"/>
      <c r="S69" s="5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2.75" customHeight="1">
      <c r="A70" s="52"/>
      <c r="B70" s="53"/>
      <c r="C70" s="100" t="s">
        <v>72</v>
      </c>
      <c r="D70" s="101">
        <f t="shared" ref="D70:O70" si="10">D67-(D67/(1+$V$3))</f>
        <v>2054.347826</v>
      </c>
      <c r="E70" s="101">
        <f t="shared" si="10"/>
        <v>2367.391304</v>
      </c>
      <c r="F70" s="101">
        <f t="shared" si="10"/>
        <v>2739.130435</v>
      </c>
      <c r="G70" s="101">
        <f t="shared" si="10"/>
        <v>1923.913043</v>
      </c>
      <c r="H70" s="101">
        <f t="shared" si="10"/>
        <v>3110.869565</v>
      </c>
      <c r="I70" s="101">
        <f t="shared" si="10"/>
        <v>2380.434783</v>
      </c>
      <c r="J70" s="101">
        <f t="shared" si="10"/>
        <v>1089.130435</v>
      </c>
      <c r="K70" s="101">
        <f t="shared" si="10"/>
        <v>1923.913043</v>
      </c>
      <c r="L70" s="101">
        <f t="shared" si="10"/>
        <v>2400</v>
      </c>
      <c r="M70" s="101">
        <f t="shared" si="10"/>
        <v>3228.26087</v>
      </c>
      <c r="N70" s="101">
        <f t="shared" si="10"/>
        <v>2054.347826</v>
      </c>
      <c r="O70" s="102">
        <f t="shared" si="10"/>
        <v>2967.391304</v>
      </c>
      <c r="P70" s="53"/>
      <c r="Q70" s="67">
        <f t="shared" ref="Q70:Q72" si="12">SUM(D70:O70)</f>
        <v>28239.13043</v>
      </c>
      <c r="R70" s="2"/>
      <c r="S70" s="5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2.75" customHeight="1">
      <c r="A71" s="52"/>
      <c r="B71" s="53"/>
      <c r="C71" s="100" t="s">
        <v>73</v>
      </c>
      <c r="D71" s="101">
        <f t="shared" ref="D71:O71" si="11">D66-(D66/(1+$V$3))</f>
        <v>3260.869565</v>
      </c>
      <c r="E71" s="101">
        <f t="shared" si="11"/>
        <v>4565.217391</v>
      </c>
      <c r="F71" s="101">
        <f t="shared" si="11"/>
        <v>5869.565217</v>
      </c>
      <c r="G71" s="101">
        <f t="shared" si="11"/>
        <v>1956.521739</v>
      </c>
      <c r="H71" s="101">
        <f t="shared" si="11"/>
        <v>3260.869565</v>
      </c>
      <c r="I71" s="101">
        <f t="shared" si="11"/>
        <v>3913.043478</v>
      </c>
      <c r="J71" s="101">
        <f t="shared" si="11"/>
        <v>1630.434783</v>
      </c>
      <c r="K71" s="101">
        <f t="shared" si="11"/>
        <v>3260.869565</v>
      </c>
      <c r="L71" s="101">
        <f t="shared" si="11"/>
        <v>4565.217391</v>
      </c>
      <c r="M71" s="101">
        <f t="shared" si="11"/>
        <v>5217.391304</v>
      </c>
      <c r="N71" s="101">
        <f t="shared" si="11"/>
        <v>3260.869565</v>
      </c>
      <c r="O71" s="102">
        <f t="shared" si="11"/>
        <v>4669.565217</v>
      </c>
      <c r="P71" s="53"/>
      <c r="Q71" s="67">
        <f t="shared" si="12"/>
        <v>45430.43478</v>
      </c>
      <c r="R71" s="2"/>
      <c r="S71" s="5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2.75" customHeight="1">
      <c r="A72" s="52"/>
      <c r="B72" s="53"/>
      <c r="C72" s="103" t="s">
        <v>74</v>
      </c>
      <c r="D72" s="104">
        <f t="shared" ref="D72:O72" si="13">D70-D71</f>
        <v>-1206.521739</v>
      </c>
      <c r="E72" s="104">
        <f t="shared" si="13"/>
        <v>-2197.826087</v>
      </c>
      <c r="F72" s="104">
        <f t="shared" si="13"/>
        <v>-3130.434783</v>
      </c>
      <c r="G72" s="104">
        <f t="shared" si="13"/>
        <v>-32.60869565</v>
      </c>
      <c r="H72" s="104">
        <f t="shared" si="13"/>
        <v>-150</v>
      </c>
      <c r="I72" s="104">
        <f t="shared" si="13"/>
        <v>-1532.608696</v>
      </c>
      <c r="J72" s="104">
        <f t="shared" si="13"/>
        <v>-541.3043478</v>
      </c>
      <c r="K72" s="104">
        <f t="shared" si="13"/>
        <v>-1336.956522</v>
      </c>
      <c r="L72" s="104">
        <f t="shared" si="13"/>
        <v>-2165.217391</v>
      </c>
      <c r="M72" s="104">
        <f t="shared" si="13"/>
        <v>-1989.130435</v>
      </c>
      <c r="N72" s="104">
        <f t="shared" si="13"/>
        <v>-1206.521739</v>
      </c>
      <c r="O72" s="105">
        <f t="shared" si="13"/>
        <v>-1702.173913</v>
      </c>
      <c r="P72" s="53"/>
      <c r="Q72" s="73">
        <f t="shared" si="12"/>
        <v>-17191.30435</v>
      </c>
      <c r="R72" s="2"/>
      <c r="S72" s="52"/>
      <c r="T72" s="2"/>
      <c r="U72" s="2"/>
      <c r="V72" s="2"/>
      <c r="W72" s="79">
        <f>Q24-Q64+Q72</f>
        <v>-59391.30435</v>
      </c>
      <c r="X72" s="2"/>
      <c r="Y72" s="2"/>
      <c r="Z72" s="2"/>
      <c r="AA72" s="2"/>
      <c r="AB72" s="2"/>
      <c r="AC72" s="2"/>
      <c r="AD72" s="2"/>
      <c r="AE72" s="2"/>
    </row>
    <row r="73" ht="12.75" customHeight="1">
      <c r="A73" s="52"/>
      <c r="B73" s="53"/>
      <c r="C73" s="2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53"/>
      <c r="Q73" s="106"/>
      <c r="R73" s="2"/>
      <c r="S73" s="5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2.75" customHeight="1">
      <c r="A74" s="52"/>
      <c r="B74" s="53"/>
      <c r="C74" s="107" t="s">
        <v>75</v>
      </c>
      <c r="D74" s="73">
        <f t="shared" ref="D74:O74" si="14">(D16+D71)-(D22+D64+D70)</f>
        <v>-4043.478261</v>
      </c>
      <c r="E74" s="73">
        <f t="shared" si="14"/>
        <v>4547.826087</v>
      </c>
      <c r="F74" s="73">
        <f t="shared" si="14"/>
        <v>12630.43478</v>
      </c>
      <c r="G74" s="73">
        <f t="shared" si="14"/>
        <v>-14217.3913</v>
      </c>
      <c r="H74" s="73">
        <f t="shared" si="14"/>
        <v>-13200</v>
      </c>
      <c r="I74" s="73">
        <f t="shared" si="14"/>
        <v>-1217.391304</v>
      </c>
      <c r="J74" s="73">
        <f t="shared" si="14"/>
        <v>-9808.695652</v>
      </c>
      <c r="K74" s="73">
        <f t="shared" si="14"/>
        <v>-2913.043478</v>
      </c>
      <c r="L74" s="73">
        <f t="shared" si="14"/>
        <v>4265.217391</v>
      </c>
      <c r="M74" s="73">
        <f t="shared" si="14"/>
        <v>2739.130435</v>
      </c>
      <c r="N74" s="73">
        <f t="shared" si="14"/>
        <v>-4043.478261</v>
      </c>
      <c r="O74" s="73">
        <f t="shared" si="14"/>
        <v>252.173913</v>
      </c>
      <c r="P74" s="53"/>
      <c r="Q74" s="73">
        <f>SUM(D74:O74)</f>
        <v>-25008.69565</v>
      </c>
      <c r="R74" s="2"/>
      <c r="S74" s="5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2.75" customHeight="1">
      <c r="A75" s="52"/>
      <c r="B75" s="53"/>
      <c r="C75" s="2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53"/>
      <c r="Q75" s="74"/>
      <c r="R75" s="2"/>
      <c r="S75" s="5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2.75" customHeight="1">
      <c r="A76" s="52"/>
      <c r="B76" s="53"/>
      <c r="C76" s="108" t="s">
        <v>76</v>
      </c>
      <c r="D76" s="109">
        <v>10000.0</v>
      </c>
      <c r="E76" s="101">
        <f t="shared" ref="E76:O76" si="15">D80</f>
        <v>5956.521739</v>
      </c>
      <c r="F76" s="101">
        <f t="shared" si="15"/>
        <v>10504.34783</v>
      </c>
      <c r="G76" s="101">
        <f t="shared" si="15"/>
        <v>23134.78261</v>
      </c>
      <c r="H76" s="101">
        <f t="shared" si="15"/>
        <v>8917.391304</v>
      </c>
      <c r="I76" s="101">
        <f t="shared" si="15"/>
        <v>-4282.608696</v>
      </c>
      <c r="J76" s="101">
        <f t="shared" si="15"/>
        <v>-5500</v>
      </c>
      <c r="K76" s="101">
        <f t="shared" si="15"/>
        <v>-15308.69565</v>
      </c>
      <c r="L76" s="101">
        <f t="shared" si="15"/>
        <v>-18221.73913</v>
      </c>
      <c r="M76" s="101">
        <f t="shared" si="15"/>
        <v>-13956.52174</v>
      </c>
      <c r="N76" s="101">
        <f t="shared" si="15"/>
        <v>-11217.3913</v>
      </c>
      <c r="O76" s="101">
        <f t="shared" si="15"/>
        <v>-15260.86957</v>
      </c>
      <c r="P76" s="53"/>
      <c r="Q76" s="74"/>
      <c r="R76" s="2"/>
      <c r="S76" s="5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2.75" customHeight="1">
      <c r="A77" s="52"/>
      <c r="B77" s="53"/>
      <c r="C77" s="110" t="s">
        <v>77</v>
      </c>
      <c r="D77" s="111">
        <f t="shared" ref="D77:O77" si="16">D16+D71</f>
        <v>28510.86957</v>
      </c>
      <c r="E77" s="111">
        <f t="shared" si="16"/>
        <v>39815.21739</v>
      </c>
      <c r="F77" s="111">
        <f t="shared" si="16"/>
        <v>51119.56522</v>
      </c>
      <c r="G77" s="111">
        <f t="shared" si="16"/>
        <v>17206.52174</v>
      </c>
      <c r="H77" s="111">
        <f t="shared" si="16"/>
        <v>28510.86957</v>
      </c>
      <c r="I77" s="111">
        <f t="shared" si="16"/>
        <v>34163.04348</v>
      </c>
      <c r="J77" s="111">
        <f t="shared" si="16"/>
        <v>14380.43478</v>
      </c>
      <c r="K77" s="111">
        <f t="shared" si="16"/>
        <v>28510.86957</v>
      </c>
      <c r="L77" s="111">
        <f t="shared" si="16"/>
        <v>39815.21739</v>
      </c>
      <c r="M77" s="111">
        <f t="shared" si="16"/>
        <v>45467.3913</v>
      </c>
      <c r="N77" s="111">
        <f t="shared" si="16"/>
        <v>28510.86957</v>
      </c>
      <c r="O77" s="111">
        <f t="shared" si="16"/>
        <v>40719.56522</v>
      </c>
      <c r="P77" s="53"/>
      <c r="Q77" s="74"/>
      <c r="R77" s="2"/>
      <c r="S77" s="5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2.75" customHeight="1">
      <c r="A78" s="52"/>
      <c r="B78" s="53"/>
      <c r="C78" s="2"/>
      <c r="D78" s="101">
        <f t="shared" ref="D78:O78" si="17">SUM(D76:D77)</f>
        <v>38510.86957</v>
      </c>
      <c r="E78" s="101">
        <f t="shared" si="17"/>
        <v>45771.73913</v>
      </c>
      <c r="F78" s="101">
        <f t="shared" si="17"/>
        <v>61623.91304</v>
      </c>
      <c r="G78" s="101">
        <f t="shared" si="17"/>
        <v>40341.30435</v>
      </c>
      <c r="H78" s="101">
        <f t="shared" si="17"/>
        <v>37428.26087</v>
      </c>
      <c r="I78" s="101">
        <f t="shared" si="17"/>
        <v>29880.43478</v>
      </c>
      <c r="J78" s="101">
        <f t="shared" si="17"/>
        <v>8880.434783</v>
      </c>
      <c r="K78" s="101">
        <f t="shared" si="17"/>
        <v>13202.17391</v>
      </c>
      <c r="L78" s="101">
        <f t="shared" si="17"/>
        <v>21593.47826</v>
      </c>
      <c r="M78" s="101">
        <f t="shared" si="17"/>
        <v>31510.86957</v>
      </c>
      <c r="N78" s="101">
        <f t="shared" si="17"/>
        <v>17293.47826</v>
      </c>
      <c r="O78" s="101">
        <f t="shared" si="17"/>
        <v>25458.69565</v>
      </c>
      <c r="P78" s="53"/>
      <c r="Q78" s="74"/>
      <c r="R78" s="2"/>
      <c r="S78" s="5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2.75" customHeight="1">
      <c r="A79" s="52"/>
      <c r="B79" s="53"/>
      <c r="C79" s="110" t="s">
        <v>78</v>
      </c>
      <c r="D79" s="101">
        <f t="shared" ref="D79:O79" si="18">D64+D22+D70</f>
        <v>32554.34783</v>
      </c>
      <c r="E79" s="101">
        <f t="shared" si="18"/>
        <v>35267.3913</v>
      </c>
      <c r="F79" s="101">
        <f t="shared" si="18"/>
        <v>38489.13043</v>
      </c>
      <c r="G79" s="101">
        <f t="shared" si="18"/>
        <v>31423.91304</v>
      </c>
      <c r="H79" s="101">
        <f t="shared" si="18"/>
        <v>41710.86957</v>
      </c>
      <c r="I79" s="101">
        <f t="shared" si="18"/>
        <v>35380.43478</v>
      </c>
      <c r="J79" s="101">
        <f t="shared" si="18"/>
        <v>24189.13043</v>
      </c>
      <c r="K79" s="101">
        <f t="shared" si="18"/>
        <v>31423.91304</v>
      </c>
      <c r="L79" s="101">
        <f t="shared" si="18"/>
        <v>35550</v>
      </c>
      <c r="M79" s="101">
        <f t="shared" si="18"/>
        <v>42728.26087</v>
      </c>
      <c r="N79" s="101">
        <f t="shared" si="18"/>
        <v>32554.34783</v>
      </c>
      <c r="O79" s="101">
        <f t="shared" si="18"/>
        <v>40467.3913</v>
      </c>
      <c r="P79" s="53"/>
      <c r="Q79" s="74"/>
      <c r="R79" s="2"/>
      <c r="S79" s="5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2.75" customHeight="1">
      <c r="A80" s="52"/>
      <c r="B80" s="53"/>
      <c r="C80" s="107" t="s">
        <v>79</v>
      </c>
      <c r="D80" s="73">
        <f t="shared" ref="D80:O80" si="19">D78-D79</f>
        <v>5956.521739</v>
      </c>
      <c r="E80" s="73">
        <f t="shared" si="19"/>
        <v>10504.34783</v>
      </c>
      <c r="F80" s="73">
        <f t="shared" si="19"/>
        <v>23134.78261</v>
      </c>
      <c r="G80" s="73">
        <f t="shared" si="19"/>
        <v>8917.391304</v>
      </c>
      <c r="H80" s="73">
        <f t="shared" si="19"/>
        <v>-4282.608696</v>
      </c>
      <c r="I80" s="73">
        <f t="shared" si="19"/>
        <v>-5500</v>
      </c>
      <c r="J80" s="73">
        <f t="shared" si="19"/>
        <v>-15308.69565</v>
      </c>
      <c r="K80" s="73">
        <f t="shared" si="19"/>
        <v>-18221.73913</v>
      </c>
      <c r="L80" s="73">
        <f t="shared" si="19"/>
        <v>-13956.52174</v>
      </c>
      <c r="M80" s="73">
        <f t="shared" si="19"/>
        <v>-11217.3913</v>
      </c>
      <c r="N80" s="73">
        <f t="shared" si="19"/>
        <v>-15260.86957</v>
      </c>
      <c r="O80" s="73">
        <f t="shared" si="19"/>
        <v>-15008.69565</v>
      </c>
      <c r="P80" s="53"/>
      <c r="Q80" s="74"/>
      <c r="R80" s="2"/>
      <c r="S80" s="5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2.75" customHeight="1">
      <c r="A81" s="52"/>
      <c r="B81" s="53"/>
      <c r="C81" s="2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53"/>
      <c r="Q81" s="74"/>
      <c r="R81" s="2"/>
      <c r="S81" s="5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2.75" customHeight="1">
      <c r="A82" s="52"/>
      <c r="B82" s="53"/>
      <c r="C82" s="2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53"/>
      <c r="Q82" s="74"/>
      <c r="R82" s="2"/>
      <c r="S82" s="5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2.75" customHeight="1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2.7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2.75" customHeight="1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2.75" customHeight="1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2.75" customHeight="1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2.75" customHeight="1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2.75" customHeight="1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2.75" customHeight="1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2.75" customHeight="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2.75" customHeight="1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2.75" customHeight="1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2.75" customHeight="1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2.75" customHeight="1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2.75" customHeight="1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2.75" customHeight="1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2.75" customHeight="1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2.75" customHeigh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2.75" customHeight="1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2.75" customHeight="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2.75" customHeight="1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2.75" customHeight="1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2.75" customHeight="1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2.75" customHeight="1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2.75" customHeight="1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2.75" customHeight="1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2.75" customHeight="1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2.75" customHeight="1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2.75" customHeight="1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2.75" customHeight="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2.75" customHeight="1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2.75" customHeight="1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2.75" customHeight="1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2.75" customHeight="1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2.75" customHeight="1">
      <c r="A116" s="52"/>
      <c r="B116" s="2"/>
      <c r="C116" s="2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2.75" customHeight="1">
      <c r="A117" s="52"/>
      <c r="B117" s="2"/>
      <c r="C117" s="2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2.75" customHeight="1">
      <c r="A118" s="52"/>
      <c r="B118" s="2"/>
      <c r="C118" s="2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2.75" customHeight="1">
      <c r="A119" s="52"/>
      <c r="B119" s="2"/>
      <c r="C119" s="2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2.75" customHeight="1">
      <c r="A120" s="52"/>
      <c r="B120" s="2"/>
      <c r="C120" s="2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2.75" customHeight="1">
      <c r="A121" s="52"/>
      <c r="B121" s="2"/>
      <c r="C121" s="2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2.75" customHeight="1">
      <c r="A122" s="52"/>
      <c r="B122" s="2"/>
      <c r="C122" s="2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2.75" customHeight="1">
      <c r="A123" s="52"/>
      <c r="B123" s="2"/>
      <c r="C123" s="2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2.75" customHeight="1">
      <c r="A124" s="52"/>
      <c r="B124" s="2"/>
      <c r="C124" s="2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2.75" customHeight="1">
      <c r="A125" s="52"/>
      <c r="B125" s="2"/>
      <c r="C125" s="2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2.75" customHeight="1">
      <c r="A126" s="52"/>
      <c r="B126" s="2"/>
      <c r="C126" s="2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2.75" customHeight="1">
      <c r="A127" s="52"/>
      <c r="B127" s="2"/>
      <c r="C127" s="2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2.75" customHeight="1">
      <c r="A128" s="52"/>
      <c r="B128" s="2"/>
      <c r="C128" s="2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2.75" customHeight="1">
      <c r="A129" s="52"/>
      <c r="B129" s="2"/>
      <c r="C129" s="2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2.75" customHeight="1">
      <c r="A130" s="52"/>
      <c r="B130" s="2"/>
      <c r="C130" s="2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2.75" customHeight="1">
      <c r="A131" s="2"/>
      <c r="B131" s="2"/>
      <c r="C131" s="2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2.75" customHeight="1">
      <c r="A132" s="2"/>
      <c r="B132" s="2"/>
      <c r="C132" s="2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2.75" customHeight="1">
      <c r="A133" s="2"/>
      <c r="B133" s="2"/>
      <c r="C133" s="2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2.75" customHeight="1">
      <c r="A134" s="2"/>
      <c r="B134" s="2"/>
      <c r="C134" s="2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2.75" customHeight="1">
      <c r="A135" s="2"/>
      <c r="B135" s="2"/>
      <c r="C135" s="2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2.75" customHeight="1">
      <c r="A136" s="2"/>
      <c r="B136" s="2"/>
      <c r="C136" s="2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2.75" customHeight="1">
      <c r="A137" s="2"/>
      <c r="B137" s="2"/>
      <c r="C137" s="2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2.75" customHeight="1">
      <c r="A138" s="2"/>
      <c r="B138" s="2"/>
      <c r="C138" s="2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2.75" customHeight="1">
      <c r="A139" s="2"/>
      <c r="B139" s="2"/>
      <c r="C139" s="2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2.75" customHeight="1">
      <c r="A140" s="2"/>
      <c r="B140" s="2"/>
      <c r="C140" s="2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2.75" customHeight="1">
      <c r="A141" s="2"/>
      <c r="B141" s="2"/>
      <c r="C141" s="2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2.75" customHeight="1">
      <c r="A142" s="2"/>
      <c r="B142" s="2"/>
      <c r="C142" s="2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2.75" customHeight="1">
      <c r="A143" s="2"/>
      <c r="B143" s="2"/>
      <c r="C143" s="2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2.75" customHeight="1">
      <c r="A144" s="2"/>
      <c r="B144" s="2"/>
      <c r="C144" s="2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2.75" customHeight="1">
      <c r="A145" s="2"/>
      <c r="B145" s="2"/>
      <c r="C145" s="2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2.75" customHeight="1">
      <c r="A146" s="2"/>
      <c r="B146" s="2"/>
      <c r="C146" s="2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2.75" customHeight="1">
      <c r="A147" s="2"/>
      <c r="B147" s="2"/>
      <c r="C147" s="2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2.75" customHeight="1">
      <c r="A148" s="2"/>
      <c r="B148" s="2"/>
      <c r="C148" s="2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2.75" customHeight="1">
      <c r="A149" s="2"/>
      <c r="B149" s="2"/>
      <c r="C149" s="2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2.75" customHeight="1">
      <c r="A150" s="2"/>
      <c r="B150" s="2"/>
      <c r="C150" s="2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2.75" customHeight="1">
      <c r="A151" s="2"/>
      <c r="B151" s="2"/>
      <c r="C151" s="2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2.75" customHeight="1">
      <c r="A152" s="2"/>
      <c r="B152" s="2"/>
      <c r="C152" s="2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2.75" customHeight="1">
      <c r="A153" s="2"/>
      <c r="B153" s="2"/>
      <c r="C153" s="2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2.75" customHeight="1">
      <c r="A154" s="2"/>
      <c r="B154" s="2"/>
      <c r="C154" s="2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2.75" customHeight="1">
      <c r="A155" s="2"/>
      <c r="B155" s="2"/>
      <c r="C155" s="2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2.75" customHeight="1">
      <c r="A156" s="2"/>
      <c r="B156" s="2"/>
      <c r="C156" s="2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2.75" customHeight="1">
      <c r="A157" s="2"/>
      <c r="B157" s="2"/>
      <c r="C157" s="2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2.75" customHeight="1">
      <c r="A158" s="2"/>
      <c r="B158" s="2"/>
      <c r="C158" s="2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2.75" customHeight="1">
      <c r="A159" s="2"/>
      <c r="B159" s="2"/>
      <c r="C159" s="2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2.75" customHeight="1">
      <c r="A160" s="2"/>
      <c r="B160" s="2"/>
      <c r="C160" s="2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2.75" customHeight="1">
      <c r="A161" s="2"/>
      <c r="B161" s="2"/>
      <c r="C161" s="2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2.75" customHeight="1">
      <c r="A162" s="2"/>
      <c r="B162" s="2"/>
      <c r="C162" s="2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2.75" customHeight="1">
      <c r="A163" s="2"/>
      <c r="B163" s="2"/>
      <c r="C163" s="2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2.75" customHeight="1">
      <c r="A164" s="2"/>
      <c r="B164" s="2"/>
      <c r="C164" s="2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2.75" customHeight="1">
      <c r="A165" s="2"/>
      <c r="B165" s="2"/>
      <c r="C165" s="2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2.75" customHeight="1">
      <c r="A166" s="2"/>
      <c r="B166" s="2"/>
      <c r="C166" s="2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2.75" customHeight="1">
      <c r="A167" s="2"/>
      <c r="B167" s="2"/>
      <c r="C167" s="2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2.75" customHeight="1">
      <c r="A168" s="2"/>
      <c r="B168" s="2"/>
      <c r="C168" s="2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2.75" customHeight="1">
      <c r="A169" s="2"/>
      <c r="B169" s="2"/>
      <c r="C169" s="2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2.75" customHeight="1">
      <c r="A170" s="2"/>
      <c r="B170" s="2"/>
      <c r="C170" s="2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2.75" customHeight="1">
      <c r="A171" s="2"/>
      <c r="B171" s="2"/>
      <c r="C171" s="2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2.75" customHeight="1">
      <c r="A172" s="2"/>
      <c r="B172" s="2"/>
      <c r="C172" s="2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2.75" customHeight="1">
      <c r="A173" s="2"/>
      <c r="B173" s="2"/>
      <c r="C173" s="2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2.75" customHeight="1">
      <c r="A174" s="2"/>
      <c r="B174" s="2"/>
      <c r="C174" s="2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2.75" customHeight="1">
      <c r="A175" s="2"/>
      <c r="B175" s="2"/>
      <c r="C175" s="2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2.75" customHeight="1">
      <c r="A176" s="2"/>
      <c r="B176" s="2"/>
      <c r="C176" s="2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2.75" customHeight="1">
      <c r="A177" s="2"/>
      <c r="B177" s="2"/>
      <c r="C177" s="2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2.75" customHeight="1">
      <c r="A178" s="2"/>
      <c r="B178" s="2"/>
      <c r="C178" s="2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2.75" customHeight="1">
      <c r="A179" s="2"/>
      <c r="B179" s="2"/>
      <c r="C179" s="2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2.75" customHeight="1">
      <c r="A180" s="2"/>
      <c r="B180" s="2"/>
      <c r="C180" s="2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2.75" customHeight="1">
      <c r="A181" s="2"/>
      <c r="B181" s="2"/>
      <c r="C181" s="2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2.75" customHeight="1">
      <c r="A182" s="2"/>
      <c r="B182" s="2"/>
      <c r="C182" s="2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2.75" customHeight="1">
      <c r="A183" s="2"/>
      <c r="B183" s="2"/>
      <c r="C183" s="2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2.75" customHeight="1">
      <c r="A184" s="2"/>
      <c r="B184" s="2"/>
      <c r="C184" s="2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2.75" customHeight="1">
      <c r="A185" s="2"/>
      <c r="B185" s="2"/>
      <c r="C185" s="2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2.75" customHeight="1">
      <c r="A186" s="2"/>
      <c r="B186" s="2"/>
      <c r="C186" s="2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2.75" customHeight="1">
      <c r="A187" s="2"/>
      <c r="B187" s="2"/>
      <c r="C187" s="2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2.75" customHeight="1">
      <c r="A188" s="2"/>
      <c r="B188" s="2"/>
      <c r="C188" s="2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2.75" customHeight="1">
      <c r="A189" s="2"/>
      <c r="B189" s="2"/>
      <c r="C189" s="2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2.75" customHeight="1">
      <c r="A190" s="2"/>
      <c r="B190" s="2"/>
      <c r="C190" s="2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2.75" customHeight="1">
      <c r="A191" s="2"/>
      <c r="B191" s="2"/>
      <c r="C191" s="2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2.75" customHeight="1">
      <c r="A192" s="2"/>
      <c r="B192" s="2"/>
      <c r="C192" s="2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2.75" customHeight="1">
      <c r="A193" s="2"/>
      <c r="B193" s="2"/>
      <c r="C193" s="2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2.75" customHeight="1">
      <c r="A194" s="2"/>
      <c r="B194" s="2"/>
      <c r="C194" s="2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2.75" customHeight="1">
      <c r="A195" s="2"/>
      <c r="B195" s="2"/>
      <c r="C195" s="2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2.75" customHeight="1">
      <c r="A196" s="2"/>
      <c r="B196" s="2"/>
      <c r="C196" s="2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2.75" customHeight="1">
      <c r="A197" s="2"/>
      <c r="B197" s="2"/>
      <c r="C197" s="2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2.75" customHeight="1">
      <c r="A198" s="2"/>
      <c r="B198" s="2"/>
      <c r="C198" s="2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2.75" customHeight="1">
      <c r="A199" s="2"/>
      <c r="B199" s="2"/>
      <c r="C199" s="2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2.75" customHeight="1">
      <c r="A200" s="2"/>
      <c r="B200" s="2"/>
      <c r="C200" s="2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2.75" customHeight="1">
      <c r="A201" s="2"/>
      <c r="B201" s="2"/>
      <c r="C201" s="2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2.75" customHeight="1">
      <c r="A202" s="2"/>
      <c r="B202" s="2"/>
      <c r="C202" s="2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2.75" customHeight="1">
      <c r="A203" s="2"/>
      <c r="B203" s="2"/>
      <c r="C203" s="2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2.75" customHeight="1">
      <c r="A204" s="2"/>
      <c r="B204" s="2"/>
      <c r="C204" s="2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2.75" customHeight="1">
      <c r="A205" s="2"/>
      <c r="B205" s="2"/>
      <c r="C205" s="2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2.75" customHeight="1">
      <c r="A206" s="2"/>
      <c r="B206" s="2"/>
      <c r="C206" s="2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2.75" customHeight="1">
      <c r="A207" s="2"/>
      <c r="B207" s="2"/>
      <c r="C207" s="2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2.75" customHeight="1">
      <c r="A208" s="2"/>
      <c r="B208" s="2"/>
      <c r="C208" s="2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2.75" customHeight="1">
      <c r="A209" s="2"/>
      <c r="B209" s="2"/>
      <c r="C209" s="2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2.75" customHeight="1">
      <c r="A210" s="2"/>
      <c r="B210" s="2"/>
      <c r="C210" s="2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2.75" customHeight="1">
      <c r="A211" s="2"/>
      <c r="B211" s="2"/>
      <c r="C211" s="2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2.75" customHeight="1">
      <c r="A212" s="2"/>
      <c r="B212" s="2"/>
      <c r="C212" s="2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2.75" customHeight="1">
      <c r="A213" s="2"/>
      <c r="B213" s="2"/>
      <c r="C213" s="2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2.75" customHeight="1">
      <c r="A214" s="2"/>
      <c r="B214" s="2"/>
      <c r="C214" s="2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2.75" customHeight="1">
      <c r="A215" s="2"/>
      <c r="B215" s="2"/>
      <c r="C215" s="2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2.75" customHeight="1">
      <c r="A216" s="2"/>
      <c r="B216" s="2"/>
      <c r="C216" s="2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2.75" customHeight="1">
      <c r="A217" s="2"/>
      <c r="B217" s="2"/>
      <c r="C217" s="2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2.75" customHeight="1">
      <c r="A218" s="2"/>
      <c r="B218" s="2"/>
      <c r="C218" s="2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2.75" customHeight="1">
      <c r="A219" s="2"/>
      <c r="B219" s="2"/>
      <c r="C219" s="2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2.75" customHeight="1">
      <c r="A220" s="2"/>
      <c r="B220" s="2"/>
      <c r="C220" s="2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2.75" customHeight="1">
      <c r="A221" s="2"/>
      <c r="B221" s="2"/>
      <c r="C221" s="2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2.75" customHeight="1">
      <c r="A222" s="2"/>
      <c r="B222" s="2"/>
      <c r="C222" s="2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2.75" customHeight="1">
      <c r="A223" s="2"/>
      <c r="B223" s="2"/>
      <c r="C223" s="2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2.75" customHeight="1">
      <c r="A224" s="2"/>
      <c r="B224" s="2"/>
      <c r="C224" s="2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2.75" customHeight="1">
      <c r="A225" s="2"/>
      <c r="B225" s="2"/>
      <c r="C225" s="2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2.75" customHeight="1">
      <c r="A226" s="2"/>
      <c r="B226" s="2"/>
      <c r="C226" s="2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2.75" customHeight="1">
      <c r="A227" s="2"/>
      <c r="B227" s="2"/>
      <c r="C227" s="2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2.75" customHeight="1">
      <c r="A228" s="2"/>
      <c r="B228" s="2"/>
      <c r="C228" s="2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2.75" customHeight="1">
      <c r="A229" s="2"/>
      <c r="B229" s="2"/>
      <c r="C229" s="2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2.75" customHeight="1">
      <c r="A230" s="2"/>
      <c r="B230" s="2"/>
      <c r="C230" s="2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2.75" customHeight="1">
      <c r="A231" s="2"/>
      <c r="B231" s="2"/>
      <c r="C231" s="2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2.75" customHeight="1">
      <c r="A232" s="2"/>
      <c r="B232" s="2"/>
      <c r="C232" s="2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2.75" customHeight="1">
      <c r="A233" s="2"/>
      <c r="B233" s="2"/>
      <c r="C233" s="2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2.75" customHeight="1">
      <c r="A234" s="2"/>
      <c r="B234" s="2"/>
      <c r="C234" s="2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2.75" customHeight="1">
      <c r="A235" s="2"/>
      <c r="B235" s="2"/>
      <c r="C235" s="2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2.75" customHeight="1">
      <c r="A236" s="2"/>
      <c r="B236" s="2"/>
      <c r="C236" s="2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2.75" customHeight="1">
      <c r="A237" s="2"/>
      <c r="B237" s="2"/>
      <c r="C237" s="2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2.75" customHeight="1">
      <c r="A238" s="2"/>
      <c r="B238" s="2"/>
      <c r="C238" s="2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2.75" customHeight="1">
      <c r="A239" s="2"/>
      <c r="B239" s="2"/>
      <c r="C239" s="2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2.75" customHeight="1">
      <c r="A240" s="2"/>
      <c r="B240" s="2"/>
      <c r="C240" s="2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2.75" customHeight="1">
      <c r="A241" s="2"/>
      <c r="B241" s="2"/>
      <c r="C241" s="2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2.75" customHeight="1">
      <c r="A242" s="2"/>
      <c r="B242" s="2"/>
      <c r="C242" s="2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2.75" customHeight="1">
      <c r="A243" s="2"/>
      <c r="B243" s="2"/>
      <c r="C243" s="2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2.75" customHeight="1">
      <c r="A244" s="2"/>
      <c r="B244" s="2"/>
      <c r="C244" s="2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2.75" customHeight="1">
      <c r="A245" s="2"/>
      <c r="B245" s="2"/>
      <c r="C245" s="2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2.75" customHeight="1">
      <c r="A246" s="2"/>
      <c r="B246" s="2"/>
      <c r="C246" s="2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2.75" customHeight="1">
      <c r="A247" s="2"/>
      <c r="B247" s="2"/>
      <c r="C247" s="2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2.75" customHeight="1">
      <c r="A248" s="2"/>
      <c r="B248" s="2"/>
      <c r="C248" s="2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2.75" customHeight="1">
      <c r="A249" s="2"/>
      <c r="B249" s="2"/>
      <c r="C249" s="2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2.75" customHeight="1">
      <c r="A250" s="2"/>
      <c r="B250" s="2"/>
      <c r="C250" s="2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2.75" customHeight="1">
      <c r="A251" s="2"/>
      <c r="B251" s="2"/>
      <c r="C251" s="2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2.75" customHeight="1">
      <c r="A252" s="2"/>
      <c r="B252" s="2"/>
      <c r="C252" s="2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2.75" customHeight="1">
      <c r="A253" s="2"/>
      <c r="B253" s="2"/>
      <c r="C253" s="2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2.75" customHeight="1">
      <c r="A254" s="2"/>
      <c r="B254" s="2"/>
      <c r="C254" s="2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2.75" customHeight="1">
      <c r="A255" s="2"/>
      <c r="B255" s="2"/>
      <c r="C255" s="2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2.75" customHeight="1">
      <c r="A256" s="2"/>
      <c r="B256" s="2"/>
      <c r="C256" s="2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2.75" customHeight="1">
      <c r="A257" s="2"/>
      <c r="B257" s="2"/>
      <c r="C257" s="2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2.75" customHeight="1">
      <c r="A258" s="2"/>
      <c r="B258" s="2"/>
      <c r="C258" s="2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2.75" customHeight="1">
      <c r="A259" s="2"/>
      <c r="B259" s="2"/>
      <c r="C259" s="2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2.75" customHeight="1">
      <c r="A260" s="2"/>
      <c r="B260" s="2"/>
      <c r="C260" s="2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2.75" customHeight="1">
      <c r="A261" s="2"/>
      <c r="B261" s="2"/>
      <c r="C261" s="2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2.75" customHeight="1">
      <c r="A262" s="2"/>
      <c r="B262" s="2"/>
      <c r="C262" s="2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2.75" customHeight="1">
      <c r="A263" s="2"/>
      <c r="B263" s="2"/>
      <c r="C263" s="2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2.75" customHeight="1">
      <c r="A264" s="2"/>
      <c r="B264" s="2"/>
      <c r="C264" s="2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2.75" customHeight="1">
      <c r="A265" s="2"/>
      <c r="B265" s="2"/>
      <c r="C265" s="2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2.75" customHeight="1">
      <c r="A266" s="2"/>
      <c r="B266" s="2"/>
      <c r="C266" s="2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2.75" customHeight="1">
      <c r="A267" s="2"/>
      <c r="B267" s="2"/>
      <c r="C267" s="2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2.75" customHeight="1">
      <c r="A268" s="2"/>
      <c r="B268" s="2"/>
      <c r="C268" s="2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2.75" customHeight="1">
      <c r="A269" s="2"/>
      <c r="B269" s="2"/>
      <c r="C269" s="2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2.75" customHeight="1">
      <c r="A270" s="2"/>
      <c r="B270" s="2"/>
      <c r="C270" s="2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2.75" customHeight="1">
      <c r="A271" s="2"/>
      <c r="B271" s="2"/>
      <c r="C271" s="2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2.75" customHeight="1">
      <c r="A272" s="2"/>
      <c r="B272" s="2"/>
      <c r="C272" s="2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2.75" customHeight="1">
      <c r="A273" s="2"/>
      <c r="B273" s="2"/>
      <c r="C273" s="2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2.75" customHeight="1">
      <c r="A274" s="2"/>
      <c r="B274" s="2"/>
      <c r="C274" s="2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2.75" customHeight="1">
      <c r="A275" s="2"/>
      <c r="B275" s="2"/>
      <c r="C275" s="2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2.75" customHeight="1">
      <c r="A276" s="2"/>
      <c r="B276" s="2"/>
      <c r="C276" s="2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2.75" customHeight="1">
      <c r="A277" s="2"/>
      <c r="B277" s="2"/>
      <c r="C277" s="2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2.75" customHeight="1">
      <c r="A278" s="2"/>
      <c r="B278" s="2"/>
      <c r="C278" s="2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2.75" customHeight="1">
      <c r="A279" s="2"/>
      <c r="B279" s="2"/>
      <c r="C279" s="2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2.75" customHeight="1">
      <c r="A280" s="2"/>
      <c r="B280" s="2"/>
      <c r="C280" s="2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ht="12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ht="12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ht="12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ht="12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ht="12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ht="12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ht="12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ht="12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ht="12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ht="12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ht="12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ht="12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ht="12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ht="12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ht="12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ht="12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ht="12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ht="12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ht="12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ht="12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ht="12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ht="12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</sheetData>
  <mergeCells count="3">
    <mergeCell ref="C3:C4"/>
    <mergeCell ref="U3:U4"/>
    <mergeCell ref="V3:V4"/>
  </mergeCells>
  <printOptions/>
  <pageMargins bottom="0.45" footer="0.0" header="0.0" left="0.2" right="0.21" top="0.39"/>
  <pageSetup paperSize="9" orientation="landscape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2.71"/>
    <col customWidth="1" min="3" max="3" width="36.71"/>
    <col customWidth="1" min="4" max="15" width="13.86"/>
    <col customWidth="1" min="16" max="16" width="2.14"/>
    <col customWidth="1" min="17" max="17" width="14.14"/>
    <col customWidth="1" min="18" max="18" width="2.86"/>
    <col customWidth="1" min="19" max="19" width="2.57"/>
    <col customWidth="1" min="20" max="20" width="18.86"/>
    <col customWidth="1" min="21" max="21" width="13.57"/>
    <col customWidth="1" min="22" max="22" width="8.71"/>
    <col customWidth="1" min="23" max="23" width="12.14"/>
    <col customWidth="1" min="24" max="24" width="12.43"/>
    <col customWidth="1" min="25" max="31" width="8.71"/>
  </cols>
  <sheetData>
    <row r="1" ht="11.25" customHeight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4"/>
      <c r="Z1" s="114"/>
      <c r="AA1" s="114"/>
      <c r="AB1" s="114"/>
      <c r="AC1" s="114"/>
      <c r="AD1" s="114"/>
      <c r="AE1" s="114"/>
    </row>
    <row r="2" ht="12.75" customHeight="1">
      <c r="A2" s="113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3"/>
      <c r="T2" s="115"/>
      <c r="U2" s="115"/>
      <c r="V2" s="114"/>
      <c r="W2" s="114"/>
      <c r="X2" s="114"/>
      <c r="Y2" s="114"/>
      <c r="Z2" s="114"/>
      <c r="AA2" s="114"/>
      <c r="AB2" s="114"/>
      <c r="AC2" s="114"/>
      <c r="AD2" s="114"/>
      <c r="AE2" s="114"/>
    </row>
    <row r="3" ht="12.75" customHeight="1">
      <c r="A3" s="113"/>
      <c r="B3" s="115"/>
      <c r="C3" s="116" t="s">
        <v>25</v>
      </c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5"/>
      <c r="Q3" s="117"/>
      <c r="R3" s="114"/>
      <c r="S3" s="113"/>
      <c r="T3" s="114"/>
      <c r="U3" s="118" t="s">
        <v>24</v>
      </c>
      <c r="V3" s="119">
        <f>Assumptions!F34</f>
        <v>0.15</v>
      </c>
      <c r="W3" s="114"/>
      <c r="X3" s="114"/>
      <c r="Y3" s="114"/>
      <c r="Z3" s="114"/>
      <c r="AA3" s="114"/>
      <c r="AB3" s="114"/>
      <c r="AC3" s="114"/>
      <c r="AD3" s="114"/>
      <c r="AE3" s="114"/>
    </row>
    <row r="4" ht="12.75" customHeight="1">
      <c r="A4" s="113"/>
      <c r="B4" s="115"/>
      <c r="C4" s="57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15"/>
      <c r="Q4" s="121"/>
      <c r="R4" s="114"/>
      <c r="S4" s="113"/>
      <c r="T4" s="114"/>
      <c r="V4" s="51"/>
      <c r="W4" s="114"/>
      <c r="X4" s="114"/>
      <c r="Y4" s="114"/>
      <c r="Z4" s="114"/>
      <c r="AA4" s="114"/>
      <c r="AB4" s="114"/>
      <c r="AC4" s="114"/>
      <c r="AD4" s="114"/>
      <c r="AE4" s="114"/>
    </row>
    <row r="5" ht="12.75" customHeight="1">
      <c r="A5" s="113"/>
      <c r="B5" s="115"/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5"/>
      <c r="Q5" s="114"/>
      <c r="R5" s="114"/>
      <c r="S5" s="113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</row>
    <row r="6" ht="15.75" customHeight="1">
      <c r="A6" s="113"/>
      <c r="B6" s="115"/>
      <c r="C6" s="122"/>
      <c r="D6" s="112">
        <f>'Budget Figures'!D6</f>
        <v>44287</v>
      </c>
      <c r="E6" s="112">
        <f>'Budget Figures'!E6</f>
        <v>44317</v>
      </c>
      <c r="F6" s="112">
        <f>'Budget Figures'!F6</f>
        <v>44348</v>
      </c>
      <c r="G6" s="112">
        <f>'Budget Figures'!G6</f>
        <v>44378</v>
      </c>
      <c r="H6" s="112">
        <f>'Budget Figures'!H6</f>
        <v>44409</v>
      </c>
      <c r="I6" s="112">
        <f>'Budget Figures'!I6</f>
        <v>44440</v>
      </c>
      <c r="J6" s="112">
        <f>'Budget Figures'!J6</f>
        <v>44470</v>
      </c>
      <c r="K6" s="112">
        <f>'Budget Figures'!K6</f>
        <v>44501</v>
      </c>
      <c r="L6" s="112">
        <f>'Budget Figures'!L6</f>
        <v>44531</v>
      </c>
      <c r="M6" s="112">
        <f>'Budget Figures'!M6</f>
        <v>44562</v>
      </c>
      <c r="N6" s="112">
        <f>'Budget Figures'!N6</f>
        <v>44593</v>
      </c>
      <c r="O6" s="112">
        <f>'Budget Figures'!O6</f>
        <v>44621</v>
      </c>
      <c r="P6" s="115"/>
      <c r="Q6" s="123" t="s">
        <v>26</v>
      </c>
      <c r="R6" s="114"/>
      <c r="S6" s="113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</row>
    <row r="7" ht="17.25" customHeight="1">
      <c r="A7" s="113"/>
      <c r="B7" s="115"/>
      <c r="C7" s="124" t="s">
        <v>27</v>
      </c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3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</row>
    <row r="8" ht="12.75" customHeight="1">
      <c r="A8" s="113"/>
      <c r="B8" s="115"/>
      <c r="C8" s="6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3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</row>
    <row r="9" ht="12.75" customHeight="1">
      <c r="A9" s="113"/>
      <c r="B9" s="115"/>
      <c r="C9" s="65" t="s">
        <v>3</v>
      </c>
      <c r="D9" s="125">
        <f>IF('Actual Figures'!D9&lt;&gt;"",'Actual Figures'!D9-'Budget Figures'!D9,"")</f>
        <v>0</v>
      </c>
      <c r="E9" s="125">
        <f>IF('Actual Figures'!E9&lt;&gt;"",'Actual Figures'!E9-'Budget Figures'!E9,"")</f>
        <v>0</v>
      </c>
      <c r="F9" s="125">
        <f>IF('Actual Figures'!F9&lt;&gt;"",'Actual Figures'!F9-'Budget Figures'!F9,"")</f>
        <v>0</v>
      </c>
      <c r="G9" s="125">
        <f>IF('Actual Figures'!G9&lt;&gt;"",'Actual Figures'!G9-'Budget Figures'!G9,"")</f>
        <v>0</v>
      </c>
      <c r="H9" s="125">
        <f>IF('Actual Figures'!H9&lt;&gt;"",'Actual Figures'!H9-'Budget Figures'!H9,"")</f>
        <v>0</v>
      </c>
      <c r="I9" s="125">
        <f>IF('Actual Figures'!I9&lt;&gt;"",'Actual Figures'!I9-'Budget Figures'!I9,"")</f>
        <v>0</v>
      </c>
      <c r="J9" s="125">
        <f>IF('Actual Figures'!J9&lt;&gt;"",'Actual Figures'!J9-'Budget Figures'!J9,"")</f>
        <v>0</v>
      </c>
      <c r="K9" s="125">
        <f>IF('Actual Figures'!K9&lt;&gt;"",'Actual Figures'!K9-'Budget Figures'!K9,"")</f>
        <v>0</v>
      </c>
      <c r="L9" s="125">
        <f>IF('Actual Figures'!L9&lt;&gt;"",'Actual Figures'!L9-'Budget Figures'!L9,"")</f>
        <v>0</v>
      </c>
      <c r="M9" s="125">
        <f>IF('Actual Figures'!M9&lt;&gt;"",'Actual Figures'!M9-'Budget Figures'!M9,"")</f>
        <v>0</v>
      </c>
      <c r="N9" s="125">
        <f>IF('Actual Figures'!N9&lt;&gt;"",'Actual Figures'!N9-'Budget Figures'!N9,"")</f>
        <v>0</v>
      </c>
      <c r="O9" s="125">
        <f>IF('Actual Figures'!O9&lt;&gt;"",'Actual Figures'!O9-'Budget Figures'!O9,"")</f>
        <v>0</v>
      </c>
      <c r="P9" s="115"/>
      <c r="Q9" s="67">
        <f t="shared" ref="Q9:Q14" si="1">SUM(D9:O9)</f>
        <v>0</v>
      </c>
      <c r="R9" s="114"/>
      <c r="S9" s="113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</row>
    <row r="10" ht="12.75" customHeight="1">
      <c r="A10" s="113"/>
      <c r="B10" s="115"/>
      <c r="C10" s="68" t="s">
        <v>28</v>
      </c>
      <c r="D10" s="125" t="str">
        <f>IF('Actual Figures'!D10&lt;&gt;"",'Actual Figures'!D10-'Budget Figures'!D10,"")</f>
        <v/>
      </c>
      <c r="E10" s="125" t="str">
        <f>IF('Actual Figures'!E10&lt;&gt;"",'Actual Figures'!E10-'Budget Figures'!E10,"")</f>
        <v/>
      </c>
      <c r="F10" s="125" t="str">
        <f>IF('Actual Figures'!F10&lt;&gt;"",'Actual Figures'!F10-'Budget Figures'!F10,"")</f>
        <v/>
      </c>
      <c r="G10" s="125" t="str">
        <f>IF('Actual Figures'!G10&lt;&gt;"",'Actual Figures'!G10-'Budget Figures'!G10,"")</f>
        <v/>
      </c>
      <c r="H10" s="125" t="str">
        <f>IF('Actual Figures'!H10&lt;&gt;"",'Actual Figures'!H10-'Budget Figures'!H10,"")</f>
        <v/>
      </c>
      <c r="I10" s="125" t="str">
        <f>IF('Actual Figures'!I10&lt;&gt;"",'Actual Figures'!I10-'Budget Figures'!I10,"")</f>
        <v/>
      </c>
      <c r="J10" s="125" t="str">
        <f>IF('Actual Figures'!J10&lt;&gt;"",'Actual Figures'!J10-'Budget Figures'!J10,"")</f>
        <v/>
      </c>
      <c r="K10" s="125" t="str">
        <f>IF('Actual Figures'!K10&lt;&gt;"",'Actual Figures'!K10-'Budget Figures'!K10,"")</f>
        <v/>
      </c>
      <c r="L10" s="125" t="str">
        <f>IF('Actual Figures'!L10&lt;&gt;"",'Actual Figures'!L10-'Budget Figures'!L10,"")</f>
        <v/>
      </c>
      <c r="M10" s="125" t="str">
        <f>IF('Actual Figures'!M10&lt;&gt;"",'Actual Figures'!M10-'Budget Figures'!M10,"")</f>
        <v/>
      </c>
      <c r="N10" s="125" t="str">
        <f>IF('Actual Figures'!N10&lt;&gt;"",'Actual Figures'!N10-'Budget Figures'!N10,"")</f>
        <v/>
      </c>
      <c r="O10" s="125" t="str">
        <f>IF('Actual Figures'!O10&lt;&gt;"",'Actual Figures'!O10-'Budget Figures'!O10,"")</f>
        <v/>
      </c>
      <c r="P10" s="115"/>
      <c r="Q10" s="67">
        <f t="shared" si="1"/>
        <v>0</v>
      </c>
      <c r="R10" s="114"/>
      <c r="S10" s="113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</row>
    <row r="11" ht="12.75" customHeight="1">
      <c r="A11" s="113"/>
      <c r="B11" s="115"/>
      <c r="C11" s="68" t="s">
        <v>29</v>
      </c>
      <c r="D11" s="125" t="str">
        <f>IF('Actual Figures'!D11&lt;&gt;"",'Actual Figures'!D11-'Budget Figures'!D11,"")</f>
        <v/>
      </c>
      <c r="E11" s="125" t="str">
        <f>IF('Actual Figures'!E11&lt;&gt;"",'Actual Figures'!E11-'Budget Figures'!E11,"")</f>
        <v/>
      </c>
      <c r="F11" s="125" t="str">
        <f>IF('Actual Figures'!F11&lt;&gt;"",'Actual Figures'!F11-'Budget Figures'!F11,"")</f>
        <v/>
      </c>
      <c r="G11" s="125" t="str">
        <f>IF('Actual Figures'!G11&lt;&gt;"",'Actual Figures'!G11-'Budget Figures'!G11,"")</f>
        <v/>
      </c>
      <c r="H11" s="125" t="str">
        <f>IF('Actual Figures'!H11&lt;&gt;"",'Actual Figures'!H11-'Budget Figures'!H11,"")</f>
        <v/>
      </c>
      <c r="I11" s="125" t="str">
        <f>IF('Actual Figures'!I11&lt;&gt;"",'Actual Figures'!I11-'Budget Figures'!I11,"")</f>
        <v/>
      </c>
      <c r="J11" s="125" t="str">
        <f>IF('Actual Figures'!J11&lt;&gt;"",'Actual Figures'!J11-'Budget Figures'!J11,"")</f>
        <v/>
      </c>
      <c r="K11" s="125" t="str">
        <f>IF('Actual Figures'!K11&lt;&gt;"",'Actual Figures'!K11-'Budget Figures'!K11,"")</f>
        <v/>
      </c>
      <c r="L11" s="125" t="str">
        <f>IF('Actual Figures'!L11&lt;&gt;"",'Actual Figures'!L11-'Budget Figures'!L11,"")</f>
        <v/>
      </c>
      <c r="M11" s="125" t="str">
        <f>IF('Actual Figures'!M11&lt;&gt;"",'Actual Figures'!M11-'Budget Figures'!M11,"")</f>
        <v/>
      </c>
      <c r="N11" s="125" t="str">
        <f>IF('Actual Figures'!N11&lt;&gt;"",'Actual Figures'!N11-'Budget Figures'!N11,"")</f>
        <v/>
      </c>
      <c r="O11" s="125" t="str">
        <f>IF('Actual Figures'!O11&lt;&gt;"",'Actual Figures'!O11-'Budget Figures'!O11,"")</f>
        <v/>
      </c>
      <c r="P11" s="115"/>
      <c r="Q11" s="67">
        <f t="shared" si="1"/>
        <v>0</v>
      </c>
      <c r="R11" s="114"/>
      <c r="S11" s="113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</row>
    <row r="12" ht="12.75" customHeight="1">
      <c r="A12" s="113"/>
      <c r="B12" s="115"/>
      <c r="C12" s="68" t="s">
        <v>30</v>
      </c>
      <c r="D12" s="125" t="str">
        <f>IF('Actual Figures'!D12&lt;&gt;"",'Actual Figures'!D12-'Budget Figures'!D12,"")</f>
        <v/>
      </c>
      <c r="E12" s="125" t="str">
        <f>IF('Actual Figures'!E12&lt;&gt;"",'Actual Figures'!E12-'Budget Figures'!E12,"")</f>
        <v/>
      </c>
      <c r="F12" s="125" t="str">
        <f>IF('Actual Figures'!F12&lt;&gt;"",'Actual Figures'!F12-'Budget Figures'!F12,"")</f>
        <v/>
      </c>
      <c r="G12" s="125" t="str">
        <f>IF('Actual Figures'!G12&lt;&gt;"",'Actual Figures'!G12-'Budget Figures'!G12,"")</f>
        <v/>
      </c>
      <c r="H12" s="125" t="str">
        <f>IF('Actual Figures'!H12&lt;&gt;"",'Actual Figures'!H12-'Budget Figures'!H12,"")</f>
        <v/>
      </c>
      <c r="I12" s="125" t="str">
        <f>IF('Actual Figures'!I12&lt;&gt;"",'Actual Figures'!I12-'Budget Figures'!I12,"")</f>
        <v/>
      </c>
      <c r="J12" s="125" t="str">
        <f>IF('Actual Figures'!J12&lt;&gt;"",'Actual Figures'!J12-'Budget Figures'!J12,"")</f>
        <v/>
      </c>
      <c r="K12" s="125" t="str">
        <f>IF('Actual Figures'!K12&lt;&gt;"",'Actual Figures'!K12-'Budget Figures'!K12,"")</f>
        <v/>
      </c>
      <c r="L12" s="125" t="str">
        <f>IF('Actual Figures'!L12&lt;&gt;"",'Actual Figures'!L12-'Budget Figures'!L12,"")</f>
        <v/>
      </c>
      <c r="M12" s="125" t="str">
        <f>IF('Actual Figures'!M12&lt;&gt;"",'Actual Figures'!M12-'Budget Figures'!M12,"")</f>
        <v/>
      </c>
      <c r="N12" s="125" t="str">
        <f>IF('Actual Figures'!N12&lt;&gt;"",'Actual Figures'!N12-'Budget Figures'!N12,"")</f>
        <v/>
      </c>
      <c r="O12" s="125" t="str">
        <f>IF('Actual Figures'!O12&lt;&gt;"",'Actual Figures'!O12-'Budget Figures'!O12,"")</f>
        <v/>
      </c>
      <c r="P12" s="115"/>
      <c r="Q12" s="67">
        <f t="shared" si="1"/>
        <v>0</v>
      </c>
      <c r="R12" s="114"/>
      <c r="S12" s="113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</row>
    <row r="13" ht="12.75" customHeight="1">
      <c r="A13" s="113"/>
      <c r="B13" s="115"/>
      <c r="C13" s="70" t="s">
        <v>31</v>
      </c>
      <c r="D13" s="125" t="str">
        <f>IF('Actual Figures'!D13&lt;&gt;"",'Actual Figures'!D13-'Budget Figures'!D13,"")</f>
        <v/>
      </c>
      <c r="E13" s="125" t="str">
        <f>IF('Actual Figures'!E13&lt;&gt;"",'Actual Figures'!E13-'Budget Figures'!E13,"")</f>
        <v/>
      </c>
      <c r="F13" s="125" t="str">
        <f>IF('Actual Figures'!F13&lt;&gt;"",'Actual Figures'!F13-'Budget Figures'!F13,"")</f>
        <v/>
      </c>
      <c r="G13" s="125" t="str">
        <f>IF('Actual Figures'!G13&lt;&gt;"",'Actual Figures'!G13-'Budget Figures'!G13,"")</f>
        <v/>
      </c>
      <c r="H13" s="125" t="str">
        <f>IF('Actual Figures'!H13&lt;&gt;"",'Actual Figures'!H13-'Budget Figures'!H13,"")</f>
        <v/>
      </c>
      <c r="I13" s="125" t="str">
        <f>IF('Actual Figures'!I13&lt;&gt;"",'Actual Figures'!I13-'Budget Figures'!I13,"")</f>
        <v/>
      </c>
      <c r="J13" s="125" t="str">
        <f>IF('Actual Figures'!J13&lt;&gt;"",'Actual Figures'!J13-'Budget Figures'!J13,"")</f>
        <v/>
      </c>
      <c r="K13" s="125" t="str">
        <f>IF('Actual Figures'!K13&lt;&gt;"",'Actual Figures'!K13-'Budget Figures'!K13,"")</f>
        <v/>
      </c>
      <c r="L13" s="125" t="str">
        <f>IF('Actual Figures'!L13&lt;&gt;"",'Actual Figures'!L13-'Budget Figures'!L13,"")</f>
        <v/>
      </c>
      <c r="M13" s="125" t="str">
        <f>IF('Actual Figures'!M13&lt;&gt;"",'Actual Figures'!M13-'Budget Figures'!M13,"")</f>
        <v/>
      </c>
      <c r="N13" s="125" t="str">
        <f>IF('Actual Figures'!N13&lt;&gt;"",'Actual Figures'!N13-'Budget Figures'!N13,"")</f>
        <v/>
      </c>
      <c r="O13" s="125" t="str">
        <f>IF('Actual Figures'!O13&lt;&gt;"",'Actual Figures'!O13-'Budget Figures'!O13,"")</f>
        <v/>
      </c>
      <c r="P13" s="115"/>
      <c r="Q13" s="67">
        <f t="shared" si="1"/>
        <v>0</v>
      </c>
      <c r="R13" s="114"/>
      <c r="S13" s="113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</row>
    <row r="14" ht="12.75" customHeight="1">
      <c r="A14" s="113"/>
      <c r="B14" s="115"/>
      <c r="C14" s="71" t="s">
        <v>32</v>
      </c>
      <c r="D14" s="125">
        <f>IF('Actual Figures'!D14&lt;&gt;"",'Actual Figures'!D14-'Budget Figures'!D14,"")</f>
        <v>0</v>
      </c>
      <c r="E14" s="125">
        <f>IF('Actual Figures'!E14&lt;&gt;"",'Actual Figures'!E14-'Budget Figures'!E14,"")</f>
        <v>0</v>
      </c>
      <c r="F14" s="125">
        <f>IF('Actual Figures'!F14&lt;&gt;"",'Actual Figures'!F14-'Budget Figures'!F14,"")</f>
        <v>0</v>
      </c>
      <c r="G14" s="125">
        <f>IF('Actual Figures'!G14&lt;&gt;"",'Actual Figures'!G14-'Budget Figures'!G14,"")</f>
        <v>0</v>
      </c>
      <c r="H14" s="125">
        <f>IF('Actual Figures'!H14&lt;&gt;"",'Actual Figures'!H14-'Budget Figures'!H14,"")</f>
        <v>0</v>
      </c>
      <c r="I14" s="125">
        <f>IF('Actual Figures'!I14&lt;&gt;"",'Actual Figures'!I14-'Budget Figures'!I14,"")</f>
        <v>0</v>
      </c>
      <c r="J14" s="125">
        <f>IF('Actual Figures'!J14&lt;&gt;"",'Actual Figures'!J14-'Budget Figures'!J14,"")</f>
        <v>0</v>
      </c>
      <c r="K14" s="125">
        <f>IF('Actual Figures'!K14&lt;&gt;"",'Actual Figures'!K14-'Budget Figures'!K14,"")</f>
        <v>0</v>
      </c>
      <c r="L14" s="125">
        <f>IF('Actual Figures'!L14&lt;&gt;"",'Actual Figures'!L14-'Budget Figures'!L14,"")</f>
        <v>0</v>
      </c>
      <c r="M14" s="125">
        <f>IF('Actual Figures'!M14&lt;&gt;"",'Actual Figures'!M14-'Budget Figures'!M14,"")</f>
        <v>0</v>
      </c>
      <c r="N14" s="125">
        <f>IF('Actual Figures'!N14&lt;&gt;"",'Actual Figures'!N14-'Budget Figures'!N14,"")</f>
        <v>0</v>
      </c>
      <c r="O14" s="125">
        <f>IF('Actual Figures'!O14&lt;&gt;"",'Actual Figures'!O14-'Budget Figures'!O14,"")</f>
        <v>0</v>
      </c>
      <c r="P14" s="115"/>
      <c r="Q14" s="67">
        <f t="shared" si="1"/>
        <v>0</v>
      </c>
      <c r="R14" s="114"/>
      <c r="S14" s="113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</row>
    <row r="15" ht="12.75" customHeight="1">
      <c r="A15" s="113"/>
      <c r="B15" s="115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5"/>
      <c r="Q15" s="114"/>
      <c r="R15" s="114"/>
      <c r="S15" s="113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</row>
    <row r="16" ht="12.75" customHeight="1">
      <c r="A16" s="113"/>
      <c r="B16" s="115"/>
      <c r="C16" s="126" t="s">
        <v>33</v>
      </c>
      <c r="D16" s="78">
        <f>IF('Actual Figures'!D16&lt;&gt;"",'Actual Figures'!D16-'Budget Figures'!D16,"")</f>
        <v>20000</v>
      </c>
      <c r="E16" s="78">
        <f>IF('Actual Figures'!E16&lt;&gt;"",'Actual Figures'!E16-'Budget Figures'!E16,"")</f>
        <v>16750</v>
      </c>
      <c r="F16" s="78">
        <f>IF('Actual Figures'!F16&lt;&gt;"",'Actual Figures'!F16-'Budget Figures'!F16,"")</f>
        <v>12750</v>
      </c>
      <c r="G16" s="78">
        <f>IF('Actual Figures'!G16&lt;&gt;"",'Actual Figures'!G16-'Budget Figures'!G16,"")</f>
        <v>-20000</v>
      </c>
      <c r="H16" s="78">
        <f>IF('Actual Figures'!H16&lt;&gt;"",'Actual Figures'!H16-'Budget Figures'!H16,"")</f>
        <v>-2000</v>
      </c>
      <c r="I16" s="78">
        <f>IF('Actual Figures'!I16&lt;&gt;"",'Actual Figures'!I16-'Budget Figures'!I16,"")</f>
        <v>6000</v>
      </c>
      <c r="J16" s="78">
        <f>IF('Actual Figures'!J16&lt;&gt;"",'Actual Figures'!J16-'Budget Figures'!J16,"")</f>
        <v>-11750</v>
      </c>
      <c r="K16" s="78">
        <f>IF('Actual Figures'!K16&lt;&gt;"",'Actual Figures'!K16-'Budget Figures'!K16,"")</f>
        <v>4125</v>
      </c>
      <c r="L16" s="78">
        <f>IF('Actual Figures'!L16&lt;&gt;"",'Actual Figures'!L16-'Budget Figures'!L16,"")</f>
        <v>11500</v>
      </c>
      <c r="M16" s="78">
        <f>IF('Actual Figures'!M16&lt;&gt;"",'Actual Figures'!M16-'Budget Figures'!M16,"")</f>
        <v>8125</v>
      </c>
      <c r="N16" s="78">
        <f>IF('Actual Figures'!N16&lt;&gt;"",'Actual Figures'!N16-'Budget Figures'!N16,"")</f>
        <v>-9750</v>
      </c>
      <c r="O16" s="78">
        <f>IF('Actual Figures'!O16&lt;&gt;"",'Actual Figures'!O16-'Budget Figures'!O16,"")</f>
        <v>3640</v>
      </c>
      <c r="P16" s="115"/>
      <c r="Q16" s="73">
        <f>SUM(D16:O16)</f>
        <v>39390</v>
      </c>
      <c r="R16" s="114"/>
      <c r="S16" s="113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</row>
    <row r="17" ht="12.75" customHeight="1">
      <c r="A17" s="113"/>
      <c r="B17" s="115"/>
      <c r="C17" s="11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115"/>
      <c r="Q17" s="74"/>
      <c r="R17" s="114"/>
      <c r="S17" s="113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</row>
    <row r="18" ht="15.75" customHeight="1">
      <c r="A18" s="113"/>
      <c r="B18" s="115"/>
      <c r="C18" s="127" t="s">
        <v>34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115"/>
      <c r="Q18" s="74"/>
      <c r="R18" s="114"/>
      <c r="S18" s="113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</row>
    <row r="19" ht="7.5" customHeight="1">
      <c r="A19" s="113"/>
      <c r="B19" s="115"/>
      <c r="C19" s="128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115"/>
      <c r="Q19" s="74"/>
      <c r="R19" s="114"/>
      <c r="S19" s="113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</row>
    <row r="20" ht="12.75" customHeight="1">
      <c r="A20" s="113"/>
      <c r="B20" s="115"/>
      <c r="C20" s="128" t="s">
        <v>17</v>
      </c>
      <c r="D20" s="129">
        <f>IF('Actual Figures'!D20&lt;&gt;"",'Actual Figures'!D20-'Budget Figures'!D20,"")</f>
        <v>0</v>
      </c>
      <c r="E20" s="129">
        <f>IF('Actual Figures'!E20&lt;&gt;"",'Actual Figures'!E20-'Budget Figures'!E20,"")</f>
        <v>0</v>
      </c>
      <c r="F20" s="129">
        <f>IF('Actual Figures'!F20&lt;&gt;"",'Actual Figures'!F20-'Budget Figures'!F20,"")</f>
        <v>0</v>
      </c>
      <c r="G20" s="129">
        <f>IF('Actual Figures'!G20&lt;&gt;"",'Actual Figures'!G20-'Budget Figures'!G20,"")</f>
        <v>0</v>
      </c>
      <c r="H20" s="129">
        <f>IF('Actual Figures'!H20&lt;&gt;"",'Actual Figures'!H20-'Budget Figures'!H20,"")</f>
        <v>0</v>
      </c>
      <c r="I20" s="129">
        <f>IF('Actual Figures'!I20&lt;&gt;"",'Actual Figures'!I20-'Budget Figures'!I20,"")</f>
        <v>0</v>
      </c>
      <c r="J20" s="129">
        <f>IF('Actual Figures'!J20&lt;&gt;"",'Actual Figures'!J20-'Budget Figures'!J20,"")</f>
        <v>0</v>
      </c>
      <c r="K20" s="129">
        <f>IF('Actual Figures'!K20&lt;&gt;"",'Actual Figures'!K20-'Budget Figures'!K20,"")</f>
        <v>0</v>
      </c>
      <c r="L20" s="129">
        <f>IF('Actual Figures'!L20&lt;&gt;"",'Actual Figures'!L20-'Budget Figures'!L20,"")</f>
        <v>0</v>
      </c>
      <c r="M20" s="129">
        <f>IF('Actual Figures'!M20&lt;&gt;"",'Actual Figures'!M20-'Budget Figures'!M20,"")</f>
        <v>0</v>
      </c>
      <c r="N20" s="129">
        <f>IF('Actual Figures'!N20&lt;&gt;"",'Actual Figures'!N20-'Budget Figures'!N20,"")</f>
        <v>0</v>
      </c>
      <c r="O20" s="129">
        <f>IF('Actual Figures'!O20&lt;&gt;"",'Actual Figures'!O20-'Budget Figures'!O20,"")</f>
        <v>0</v>
      </c>
      <c r="P20" s="115"/>
      <c r="Q20" s="78">
        <f>SUM(D20:O20)</f>
        <v>0</v>
      </c>
      <c r="R20" s="114"/>
      <c r="S20" s="113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</row>
    <row r="21" ht="7.5" customHeight="1">
      <c r="A21" s="113"/>
      <c r="B21" s="115"/>
      <c r="C21" s="128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115"/>
      <c r="Q21" s="106"/>
      <c r="R21" s="114"/>
      <c r="S21" s="113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</row>
    <row r="22" ht="12.75" customHeight="1">
      <c r="A22" s="113"/>
      <c r="B22" s="115"/>
      <c r="C22" s="127" t="s">
        <v>35</v>
      </c>
      <c r="D22" s="80">
        <f>IF('Actual Figures'!D22&lt;&gt;"",'Actual Figures'!D22-'Budget Figures'!D22,"")</f>
        <v>9100</v>
      </c>
      <c r="E22" s="80">
        <f>IF('Actual Figures'!E22&lt;&gt;"",'Actual Figures'!E22-'Budget Figures'!E22,"")</f>
        <v>2050</v>
      </c>
      <c r="F22" s="80">
        <f>IF('Actual Figures'!F22&lt;&gt;"",'Actual Figures'!F22-'Budget Figures'!F22,"")</f>
        <v>2200</v>
      </c>
      <c r="G22" s="80">
        <f>IF('Actual Figures'!G22&lt;&gt;"",'Actual Figures'!G22-'Budget Figures'!G22,"")</f>
        <v>-4050</v>
      </c>
      <c r="H22" s="80">
        <f>IF('Actual Figures'!H22&lt;&gt;"",'Actual Figures'!H22-'Budget Figures'!H22,"")</f>
        <v>5300</v>
      </c>
      <c r="I22" s="80">
        <f>IF('Actual Figures'!I22&lt;&gt;"",'Actual Figures'!I22-'Budget Figures'!I22,"")</f>
        <v>-3100</v>
      </c>
      <c r="J22" s="80">
        <f>IF('Actual Figures'!J22&lt;&gt;"",'Actual Figures'!J22-'Budget Figures'!J22,"")</f>
        <v>-6830</v>
      </c>
      <c r="K22" s="80">
        <f>IF('Actual Figures'!K22&lt;&gt;"",'Actual Figures'!K22-'Budget Figures'!K22,"")</f>
        <v>4010</v>
      </c>
      <c r="L22" s="80">
        <f>IF('Actual Figures'!L22&lt;&gt;"",'Actual Figures'!L22-'Budget Figures'!L22,"")</f>
        <v>2420</v>
      </c>
      <c r="M22" s="80">
        <f>IF('Actual Figures'!M22&lt;&gt;"",'Actual Figures'!M22-'Budget Figures'!M22,"")</f>
        <v>5050</v>
      </c>
      <c r="N22" s="80">
        <f>IF('Actual Figures'!N22&lt;&gt;"",'Actual Figures'!N22-'Budget Figures'!N22,"")</f>
        <v>-5950</v>
      </c>
      <c r="O22" s="80">
        <f>IF('Actual Figures'!O22&lt;&gt;"",'Actual Figures'!O22-'Budget Figures'!O22,"")</f>
        <v>4450</v>
      </c>
      <c r="P22" s="115"/>
      <c r="Q22" s="78">
        <f>SUM(D22:O22)</f>
        <v>14650</v>
      </c>
      <c r="R22" s="114"/>
      <c r="S22" s="113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</row>
    <row r="23" ht="12.75" customHeight="1">
      <c r="A23" s="113"/>
      <c r="B23" s="115"/>
      <c r="C23" s="11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115"/>
      <c r="Q23" s="106"/>
      <c r="R23" s="114"/>
      <c r="S23" s="113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</row>
    <row r="24" ht="12.75" customHeight="1">
      <c r="A24" s="113"/>
      <c r="B24" s="115"/>
      <c r="C24" s="130" t="s">
        <v>36</v>
      </c>
      <c r="D24" s="131">
        <f t="shared" ref="D24:O24" si="2">D16-D22</f>
        <v>10900</v>
      </c>
      <c r="E24" s="131">
        <f t="shared" si="2"/>
        <v>14700</v>
      </c>
      <c r="F24" s="131">
        <f t="shared" si="2"/>
        <v>10550</v>
      </c>
      <c r="G24" s="131">
        <f t="shared" si="2"/>
        <v>-15950</v>
      </c>
      <c r="H24" s="131">
        <f t="shared" si="2"/>
        <v>-7300</v>
      </c>
      <c r="I24" s="131">
        <f t="shared" si="2"/>
        <v>9100</v>
      </c>
      <c r="J24" s="131">
        <f t="shared" si="2"/>
        <v>-4920</v>
      </c>
      <c r="K24" s="131">
        <f t="shared" si="2"/>
        <v>115</v>
      </c>
      <c r="L24" s="131">
        <f t="shared" si="2"/>
        <v>9080</v>
      </c>
      <c r="M24" s="131">
        <f t="shared" si="2"/>
        <v>3075</v>
      </c>
      <c r="N24" s="131">
        <f t="shared" si="2"/>
        <v>-3800</v>
      </c>
      <c r="O24" s="131">
        <f t="shared" si="2"/>
        <v>-810</v>
      </c>
      <c r="P24" s="115"/>
      <c r="Q24" s="78">
        <f>SUM(D24:O24)</f>
        <v>24740</v>
      </c>
      <c r="R24" s="114"/>
      <c r="S24" s="113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</row>
    <row r="25" ht="12.75" customHeight="1">
      <c r="A25" s="113"/>
      <c r="B25" s="115"/>
      <c r="C25" s="11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115"/>
      <c r="Q25" s="74"/>
      <c r="R25" s="114"/>
      <c r="S25" s="113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</row>
    <row r="26" ht="12.75" customHeight="1">
      <c r="A26" s="113"/>
      <c r="B26" s="115"/>
      <c r="C26" s="132" t="s">
        <v>37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115"/>
      <c r="Q26" s="74"/>
      <c r="R26" s="114"/>
      <c r="S26" s="113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</row>
    <row r="27" ht="12.75" customHeight="1">
      <c r="A27" s="113"/>
      <c r="B27" s="115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5"/>
      <c r="Q27" s="114"/>
      <c r="R27" s="114"/>
      <c r="S27" s="113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</row>
    <row r="28" ht="12.75" customHeight="1">
      <c r="A28" s="113"/>
      <c r="B28" s="115"/>
      <c r="C28" s="84" t="s">
        <v>38</v>
      </c>
      <c r="D28" s="125">
        <f>IF('Actual Figures'!D28&lt;&gt;"",'Actual Figures'!D28-'Budget Figures'!D28,"")</f>
        <v>0</v>
      </c>
      <c r="E28" s="125">
        <f>IF('Actual Figures'!E28&lt;&gt;"",'Actual Figures'!E28-'Budget Figures'!E28,"")</f>
        <v>250</v>
      </c>
      <c r="F28" s="125">
        <f>IF('Actual Figures'!F28&lt;&gt;"",'Actual Figures'!F28-'Budget Figures'!F28,"")</f>
        <v>0</v>
      </c>
      <c r="G28" s="125">
        <f>IF('Actual Figures'!G28&lt;&gt;"",'Actual Figures'!G28-'Budget Figures'!G28,"")</f>
        <v>0</v>
      </c>
      <c r="H28" s="125">
        <f>IF('Actual Figures'!H28&lt;&gt;"",'Actual Figures'!H28-'Budget Figures'!H28,"")</f>
        <v>1000</v>
      </c>
      <c r="I28" s="125">
        <f>IF('Actual Figures'!I28&lt;&gt;"",'Actual Figures'!I28-'Budget Figures'!I28,"")</f>
        <v>0</v>
      </c>
      <c r="J28" s="125">
        <f>IF('Actual Figures'!J28&lt;&gt;"",'Actual Figures'!J28-'Budget Figures'!J28,"")</f>
        <v>0</v>
      </c>
      <c r="K28" s="125">
        <f>IF('Actual Figures'!K28&lt;&gt;"",'Actual Figures'!K28-'Budget Figures'!K28,"")</f>
        <v>0</v>
      </c>
      <c r="L28" s="125">
        <f>IF('Actual Figures'!L28&lt;&gt;"",'Actual Figures'!L28-'Budget Figures'!L28,"")</f>
        <v>350</v>
      </c>
      <c r="M28" s="125">
        <f>IF('Actual Figures'!M28&lt;&gt;"",'Actual Figures'!M28-'Budget Figures'!M28,"")</f>
        <v>0</v>
      </c>
      <c r="N28" s="125">
        <f>IF('Actual Figures'!N28&lt;&gt;"",'Actual Figures'!N28-'Budget Figures'!N28,"")</f>
        <v>0</v>
      </c>
      <c r="O28" s="125">
        <f>IF('Actual Figures'!O28&lt;&gt;"",'Actual Figures'!O28-'Budget Figures'!O28,"")</f>
        <v>0</v>
      </c>
      <c r="P28" s="115"/>
      <c r="Q28" s="67">
        <f t="shared" ref="Q28:Q54" si="3">SUM(D28:O28)</f>
        <v>1600</v>
      </c>
      <c r="R28" s="114"/>
      <c r="S28" s="113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</row>
    <row r="29" ht="12.75" customHeight="1">
      <c r="A29" s="113"/>
      <c r="B29" s="115"/>
      <c r="C29" s="84" t="s">
        <v>39</v>
      </c>
      <c r="D29" s="125" t="str">
        <f>IF('Actual Figures'!D29&lt;&gt;"",'Actual Figures'!D29-'Budget Figures'!D29,"")</f>
        <v/>
      </c>
      <c r="E29" s="125" t="str">
        <f>IF('Actual Figures'!E29&lt;&gt;"",'Actual Figures'!E29-'Budget Figures'!E29,"")</f>
        <v/>
      </c>
      <c r="F29" s="125" t="str">
        <f>IF('Actual Figures'!F29&lt;&gt;"",'Actual Figures'!F29-'Budget Figures'!F29,"")</f>
        <v/>
      </c>
      <c r="G29" s="125" t="str">
        <f>IF('Actual Figures'!G29&lt;&gt;"",'Actual Figures'!G29-'Budget Figures'!G29,"")</f>
        <v/>
      </c>
      <c r="H29" s="125" t="str">
        <f>IF('Actual Figures'!H29&lt;&gt;"",'Actual Figures'!H29-'Budget Figures'!H29,"")</f>
        <v/>
      </c>
      <c r="I29" s="125" t="str">
        <f>IF('Actual Figures'!I29&lt;&gt;"",'Actual Figures'!I29-'Budget Figures'!I29,"")</f>
        <v/>
      </c>
      <c r="J29" s="125" t="str">
        <f>IF('Actual Figures'!J29&lt;&gt;"",'Actual Figures'!J29-'Budget Figures'!J29,"")</f>
        <v/>
      </c>
      <c r="K29" s="125" t="str">
        <f>IF('Actual Figures'!K29&lt;&gt;"",'Actual Figures'!K29-'Budget Figures'!K29,"")</f>
        <v/>
      </c>
      <c r="L29" s="125" t="str">
        <f>IF('Actual Figures'!L29&lt;&gt;"",'Actual Figures'!L29-'Budget Figures'!L29,"")</f>
        <v/>
      </c>
      <c r="M29" s="125" t="str">
        <f>IF('Actual Figures'!M29&lt;&gt;"",'Actual Figures'!M29-'Budget Figures'!M29,"")</f>
        <v/>
      </c>
      <c r="N29" s="125" t="str">
        <f>IF('Actual Figures'!N29&lt;&gt;"",'Actual Figures'!N29-'Budget Figures'!N29,"")</f>
        <v/>
      </c>
      <c r="O29" s="125" t="str">
        <f>IF('Actual Figures'!O29&lt;&gt;"",'Actual Figures'!O29-'Budget Figures'!O29,"")</f>
        <v/>
      </c>
      <c r="P29" s="115"/>
      <c r="Q29" s="67">
        <f t="shared" si="3"/>
        <v>0</v>
      </c>
      <c r="R29" s="114"/>
      <c r="S29" s="113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</row>
    <row r="30" ht="12.75" customHeight="1">
      <c r="A30" s="113"/>
      <c r="B30" s="115"/>
      <c r="C30" s="84" t="s">
        <v>40</v>
      </c>
      <c r="D30" s="125" t="str">
        <f>IF('Actual Figures'!D30&lt;&gt;"",'Actual Figures'!D30-'Budget Figures'!D30,"")</f>
        <v/>
      </c>
      <c r="E30" s="125" t="str">
        <f>IF('Actual Figures'!E30&lt;&gt;"",'Actual Figures'!E30-'Budget Figures'!E30,"")</f>
        <v/>
      </c>
      <c r="F30" s="125" t="str">
        <f>IF('Actual Figures'!F30&lt;&gt;"",'Actual Figures'!F30-'Budget Figures'!F30,"")</f>
        <v/>
      </c>
      <c r="G30" s="125" t="str">
        <f>IF('Actual Figures'!G30&lt;&gt;"",'Actual Figures'!G30-'Budget Figures'!G30,"")</f>
        <v/>
      </c>
      <c r="H30" s="125" t="str">
        <f>IF('Actual Figures'!H30&lt;&gt;"",'Actual Figures'!H30-'Budget Figures'!H30,"")</f>
        <v/>
      </c>
      <c r="I30" s="125" t="str">
        <f>IF('Actual Figures'!I30&lt;&gt;"",'Actual Figures'!I30-'Budget Figures'!I30,"")</f>
        <v/>
      </c>
      <c r="J30" s="125" t="str">
        <f>IF('Actual Figures'!J30&lt;&gt;"",'Actual Figures'!J30-'Budget Figures'!J30,"")</f>
        <v/>
      </c>
      <c r="K30" s="125" t="str">
        <f>IF('Actual Figures'!K30&lt;&gt;"",'Actual Figures'!K30-'Budget Figures'!K30,"")</f>
        <v/>
      </c>
      <c r="L30" s="125" t="str">
        <f>IF('Actual Figures'!L30&lt;&gt;"",'Actual Figures'!L30-'Budget Figures'!L30,"")</f>
        <v/>
      </c>
      <c r="M30" s="125" t="str">
        <f>IF('Actual Figures'!M30&lt;&gt;"",'Actual Figures'!M30-'Budget Figures'!M30,"")</f>
        <v/>
      </c>
      <c r="N30" s="125" t="str">
        <f>IF('Actual Figures'!N30&lt;&gt;"",'Actual Figures'!N30-'Budget Figures'!N30,"")</f>
        <v/>
      </c>
      <c r="O30" s="125" t="str">
        <f>IF('Actual Figures'!O30&lt;&gt;"",'Actual Figures'!O30-'Budget Figures'!O30,"")</f>
        <v/>
      </c>
      <c r="P30" s="115"/>
      <c r="Q30" s="67">
        <f t="shared" si="3"/>
        <v>0</v>
      </c>
      <c r="R30" s="114"/>
      <c r="S30" s="113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</row>
    <row r="31" ht="12.75" customHeight="1">
      <c r="A31" s="113"/>
      <c r="B31" s="115"/>
      <c r="C31" s="84" t="s">
        <v>41</v>
      </c>
      <c r="D31" s="125" t="str">
        <f>IF('Actual Figures'!D31&lt;&gt;"",'Actual Figures'!D31-'Budget Figures'!D31,"")</f>
        <v/>
      </c>
      <c r="E31" s="125" t="str">
        <f>IF('Actual Figures'!E31&lt;&gt;"",'Actual Figures'!E31-'Budget Figures'!E31,"")</f>
        <v/>
      </c>
      <c r="F31" s="125" t="str">
        <f>IF('Actual Figures'!F31&lt;&gt;"",'Actual Figures'!F31-'Budget Figures'!F31,"")</f>
        <v/>
      </c>
      <c r="G31" s="125" t="str">
        <f>IF('Actual Figures'!G31&lt;&gt;"",'Actual Figures'!G31-'Budget Figures'!G31,"")</f>
        <v/>
      </c>
      <c r="H31" s="125" t="str">
        <f>IF('Actual Figures'!H31&lt;&gt;"",'Actual Figures'!H31-'Budget Figures'!H31,"")</f>
        <v/>
      </c>
      <c r="I31" s="125" t="str">
        <f>IF('Actual Figures'!I31&lt;&gt;"",'Actual Figures'!I31-'Budget Figures'!I31,"")</f>
        <v/>
      </c>
      <c r="J31" s="125" t="str">
        <f>IF('Actual Figures'!J31&lt;&gt;"",'Actual Figures'!J31-'Budget Figures'!J31,"")</f>
        <v/>
      </c>
      <c r="K31" s="125" t="str">
        <f>IF('Actual Figures'!K31&lt;&gt;"",'Actual Figures'!K31-'Budget Figures'!K31,"")</f>
        <v/>
      </c>
      <c r="L31" s="125" t="str">
        <f>IF('Actual Figures'!L31&lt;&gt;"",'Actual Figures'!L31-'Budget Figures'!L31,"")</f>
        <v/>
      </c>
      <c r="M31" s="125" t="str">
        <f>IF('Actual Figures'!M31&lt;&gt;"",'Actual Figures'!M31-'Budget Figures'!M31,"")</f>
        <v/>
      </c>
      <c r="N31" s="125" t="str">
        <f>IF('Actual Figures'!N31&lt;&gt;"",'Actual Figures'!N31-'Budget Figures'!N31,"")</f>
        <v/>
      </c>
      <c r="O31" s="125" t="str">
        <f>IF('Actual Figures'!O31&lt;&gt;"",'Actual Figures'!O31-'Budget Figures'!O31,"")</f>
        <v/>
      </c>
      <c r="P31" s="115"/>
      <c r="Q31" s="67">
        <f t="shared" si="3"/>
        <v>0</v>
      </c>
      <c r="R31" s="114"/>
      <c r="S31" s="113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</row>
    <row r="32" ht="12.75" customHeight="1">
      <c r="A32" s="113"/>
      <c r="B32" s="115"/>
      <c r="C32" s="84" t="s">
        <v>42</v>
      </c>
      <c r="D32" s="125">
        <f>IF('Actual Figures'!D32&lt;&gt;"",'Actual Figures'!D32-'Budget Figures'!D32,"")</f>
        <v>0</v>
      </c>
      <c r="E32" s="125">
        <f>IF('Actual Figures'!E32&lt;&gt;"",'Actual Figures'!E32-'Budget Figures'!E32,"")</f>
        <v>150</v>
      </c>
      <c r="F32" s="125">
        <f>IF('Actual Figures'!F32&lt;&gt;"",'Actual Figures'!F32-'Budget Figures'!F32,"")</f>
        <v>0</v>
      </c>
      <c r="G32" s="125">
        <f>IF('Actual Figures'!G32&lt;&gt;"",'Actual Figures'!G32-'Budget Figures'!G32,"")</f>
        <v>0</v>
      </c>
      <c r="H32" s="125">
        <f>IF('Actual Figures'!H32&lt;&gt;"",'Actual Figures'!H32-'Budget Figures'!H32,"")</f>
        <v>100</v>
      </c>
      <c r="I32" s="125">
        <f>IF('Actual Figures'!I32&lt;&gt;"",'Actual Figures'!I32-'Budget Figures'!I32,"")</f>
        <v>0</v>
      </c>
      <c r="J32" s="125">
        <f>IF('Actual Figures'!J32&lt;&gt;"",'Actual Figures'!J32-'Budget Figures'!J32,"")</f>
        <v>0</v>
      </c>
      <c r="K32" s="125">
        <f>IF('Actual Figures'!K32&lt;&gt;"",'Actual Figures'!K32-'Budget Figures'!K32,"")</f>
        <v>0</v>
      </c>
      <c r="L32" s="125">
        <f>IF('Actual Figures'!L32&lt;&gt;"",'Actual Figures'!L32-'Budget Figures'!L32,"")</f>
        <v>300</v>
      </c>
      <c r="M32" s="125">
        <f>IF('Actual Figures'!M32&lt;&gt;"",'Actual Figures'!M32-'Budget Figures'!M32,"")</f>
        <v>0</v>
      </c>
      <c r="N32" s="125">
        <f>IF('Actual Figures'!N32&lt;&gt;"",'Actual Figures'!N32-'Budget Figures'!N32,"")</f>
        <v>0</v>
      </c>
      <c r="O32" s="125">
        <f>IF('Actual Figures'!O32&lt;&gt;"",'Actual Figures'!O32-'Budget Figures'!O32,"")</f>
        <v>0</v>
      </c>
      <c r="P32" s="115"/>
      <c r="Q32" s="67">
        <f t="shared" si="3"/>
        <v>550</v>
      </c>
      <c r="R32" s="114"/>
      <c r="S32" s="113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</row>
    <row r="33" ht="12.75" customHeight="1">
      <c r="A33" s="113"/>
      <c r="B33" s="115"/>
      <c r="C33" s="84" t="s">
        <v>43</v>
      </c>
      <c r="D33" s="125" t="str">
        <f>IF('Actual Figures'!D33&lt;&gt;"",'Actual Figures'!D33-'Budget Figures'!D33,"")</f>
        <v/>
      </c>
      <c r="E33" s="125" t="str">
        <f>IF('Actual Figures'!E33&lt;&gt;"",'Actual Figures'!E33-'Budget Figures'!E33,"")</f>
        <v/>
      </c>
      <c r="F33" s="125" t="str">
        <f>IF('Actual Figures'!F33&lt;&gt;"",'Actual Figures'!F33-'Budget Figures'!F33,"")</f>
        <v/>
      </c>
      <c r="G33" s="125" t="str">
        <f>IF('Actual Figures'!G33&lt;&gt;"",'Actual Figures'!G33-'Budget Figures'!G33,"")</f>
        <v/>
      </c>
      <c r="H33" s="125" t="str">
        <f>IF('Actual Figures'!H33&lt;&gt;"",'Actual Figures'!H33-'Budget Figures'!H33,"")</f>
        <v/>
      </c>
      <c r="I33" s="125" t="str">
        <f>IF('Actual Figures'!I33&lt;&gt;"",'Actual Figures'!I33-'Budget Figures'!I33,"")</f>
        <v/>
      </c>
      <c r="J33" s="125" t="str">
        <f>IF('Actual Figures'!J33&lt;&gt;"",'Actual Figures'!J33-'Budget Figures'!J33,"")</f>
        <v/>
      </c>
      <c r="K33" s="125" t="str">
        <f>IF('Actual Figures'!K33&lt;&gt;"",'Actual Figures'!K33-'Budget Figures'!K33,"")</f>
        <v/>
      </c>
      <c r="L33" s="125" t="str">
        <f>IF('Actual Figures'!L33&lt;&gt;"",'Actual Figures'!L33-'Budget Figures'!L33,"")</f>
        <v/>
      </c>
      <c r="M33" s="125" t="str">
        <f>IF('Actual Figures'!M33&lt;&gt;"",'Actual Figures'!M33-'Budget Figures'!M33,"")</f>
        <v/>
      </c>
      <c r="N33" s="125" t="str">
        <f>IF('Actual Figures'!N33&lt;&gt;"",'Actual Figures'!N33-'Budget Figures'!N33,"")</f>
        <v/>
      </c>
      <c r="O33" s="125" t="str">
        <f>IF('Actual Figures'!O33&lt;&gt;"",'Actual Figures'!O33-'Budget Figures'!O33,"")</f>
        <v/>
      </c>
      <c r="P33" s="115"/>
      <c r="Q33" s="67">
        <f t="shared" si="3"/>
        <v>0</v>
      </c>
      <c r="R33" s="114"/>
      <c r="S33" s="113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</row>
    <row r="34" ht="12.75" customHeight="1">
      <c r="A34" s="113"/>
      <c r="B34" s="115"/>
      <c r="C34" s="84" t="s">
        <v>44</v>
      </c>
      <c r="D34" s="125" t="str">
        <f>IF('Actual Figures'!D34&lt;&gt;"",'Actual Figures'!D34-'Budget Figures'!D34,"")</f>
        <v/>
      </c>
      <c r="E34" s="125" t="str">
        <f>IF('Actual Figures'!E34&lt;&gt;"",'Actual Figures'!E34-'Budget Figures'!E34,"")</f>
        <v/>
      </c>
      <c r="F34" s="125" t="str">
        <f>IF('Actual Figures'!F34&lt;&gt;"",'Actual Figures'!F34-'Budget Figures'!F34,"")</f>
        <v/>
      </c>
      <c r="G34" s="125" t="str">
        <f>IF('Actual Figures'!G34&lt;&gt;"",'Actual Figures'!G34-'Budget Figures'!G34,"")</f>
        <v/>
      </c>
      <c r="H34" s="125" t="str">
        <f>IF('Actual Figures'!H34&lt;&gt;"",'Actual Figures'!H34-'Budget Figures'!H34,"")</f>
        <v/>
      </c>
      <c r="I34" s="125" t="str">
        <f>IF('Actual Figures'!I34&lt;&gt;"",'Actual Figures'!I34-'Budget Figures'!I34,"")</f>
        <v/>
      </c>
      <c r="J34" s="125" t="str">
        <f>IF('Actual Figures'!J34&lt;&gt;"",'Actual Figures'!J34-'Budget Figures'!J34,"")</f>
        <v/>
      </c>
      <c r="K34" s="125" t="str">
        <f>IF('Actual Figures'!K34&lt;&gt;"",'Actual Figures'!K34-'Budget Figures'!K34,"")</f>
        <v/>
      </c>
      <c r="L34" s="125" t="str">
        <f>IF('Actual Figures'!L34&lt;&gt;"",'Actual Figures'!L34-'Budget Figures'!L34,"")</f>
        <v/>
      </c>
      <c r="M34" s="125" t="str">
        <f>IF('Actual Figures'!M34&lt;&gt;"",'Actual Figures'!M34-'Budget Figures'!M34,"")</f>
        <v/>
      </c>
      <c r="N34" s="125" t="str">
        <f>IF('Actual Figures'!N34&lt;&gt;"",'Actual Figures'!N34-'Budget Figures'!N34,"")</f>
        <v/>
      </c>
      <c r="O34" s="125" t="str">
        <f>IF('Actual Figures'!O34&lt;&gt;"",'Actual Figures'!O34-'Budget Figures'!O34,"")</f>
        <v/>
      </c>
      <c r="P34" s="115"/>
      <c r="Q34" s="67">
        <f t="shared" si="3"/>
        <v>0</v>
      </c>
      <c r="R34" s="114"/>
      <c r="S34" s="113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</row>
    <row r="35" ht="12.75" customHeight="1">
      <c r="A35" s="113"/>
      <c r="B35" s="115"/>
      <c r="C35" s="84" t="s">
        <v>45</v>
      </c>
      <c r="D35" s="125" t="str">
        <f>IF('Actual Figures'!D35&lt;&gt;"",'Actual Figures'!D35-'Budget Figures'!D35,"")</f>
        <v/>
      </c>
      <c r="E35" s="125" t="str">
        <f>IF('Actual Figures'!E35&lt;&gt;"",'Actual Figures'!E35-'Budget Figures'!E35,"")</f>
        <v/>
      </c>
      <c r="F35" s="125" t="str">
        <f>IF('Actual Figures'!F35&lt;&gt;"",'Actual Figures'!F35-'Budget Figures'!F35,"")</f>
        <v/>
      </c>
      <c r="G35" s="125" t="str">
        <f>IF('Actual Figures'!G35&lt;&gt;"",'Actual Figures'!G35-'Budget Figures'!G35,"")</f>
        <v/>
      </c>
      <c r="H35" s="125" t="str">
        <f>IF('Actual Figures'!H35&lt;&gt;"",'Actual Figures'!H35-'Budget Figures'!H35,"")</f>
        <v/>
      </c>
      <c r="I35" s="125" t="str">
        <f>IF('Actual Figures'!I35&lt;&gt;"",'Actual Figures'!I35-'Budget Figures'!I35,"")</f>
        <v/>
      </c>
      <c r="J35" s="125" t="str">
        <f>IF('Actual Figures'!J35&lt;&gt;"",'Actual Figures'!J35-'Budget Figures'!J35,"")</f>
        <v/>
      </c>
      <c r="K35" s="125" t="str">
        <f>IF('Actual Figures'!K35&lt;&gt;"",'Actual Figures'!K35-'Budget Figures'!K35,"")</f>
        <v/>
      </c>
      <c r="L35" s="125" t="str">
        <f>IF('Actual Figures'!L35&lt;&gt;"",'Actual Figures'!L35-'Budget Figures'!L35,"")</f>
        <v/>
      </c>
      <c r="M35" s="125" t="str">
        <f>IF('Actual Figures'!M35&lt;&gt;"",'Actual Figures'!M35-'Budget Figures'!M35,"")</f>
        <v/>
      </c>
      <c r="N35" s="125" t="str">
        <f>IF('Actual Figures'!N35&lt;&gt;"",'Actual Figures'!N35-'Budget Figures'!N35,"")</f>
        <v/>
      </c>
      <c r="O35" s="125" t="str">
        <f>IF('Actual Figures'!O35&lt;&gt;"",'Actual Figures'!O35-'Budget Figures'!O35,"")</f>
        <v/>
      </c>
      <c r="P35" s="115"/>
      <c r="Q35" s="67">
        <f t="shared" si="3"/>
        <v>0</v>
      </c>
      <c r="R35" s="114"/>
      <c r="S35" s="113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</row>
    <row r="36" ht="12.75" customHeight="1">
      <c r="A36" s="113"/>
      <c r="B36" s="115"/>
      <c r="C36" s="84" t="s">
        <v>46</v>
      </c>
      <c r="D36" s="125">
        <f>IF('Actual Figures'!D36&lt;&gt;"",'Actual Figures'!D36-'Budget Figures'!D36,"")</f>
        <v>0</v>
      </c>
      <c r="E36" s="125">
        <f>IF('Actual Figures'!E36&lt;&gt;"",'Actual Figures'!E36-'Budget Figures'!E36,"")</f>
        <v>0</v>
      </c>
      <c r="F36" s="125">
        <f>IF('Actual Figures'!F36&lt;&gt;"",'Actual Figures'!F36-'Budget Figures'!F36,"")</f>
        <v>0</v>
      </c>
      <c r="G36" s="125">
        <f>IF('Actual Figures'!G36&lt;&gt;"",'Actual Figures'!G36-'Budget Figures'!G36,"")</f>
        <v>0</v>
      </c>
      <c r="H36" s="125">
        <f>IF('Actual Figures'!H36&lt;&gt;"",'Actual Figures'!H36-'Budget Figures'!H36,"")</f>
        <v>0</v>
      </c>
      <c r="I36" s="125">
        <f>IF('Actual Figures'!I36&lt;&gt;"",'Actual Figures'!I36-'Budget Figures'!I36,"")</f>
        <v>0</v>
      </c>
      <c r="J36" s="125">
        <f>IF('Actual Figures'!J36&lt;&gt;"",'Actual Figures'!J36-'Budget Figures'!J36,"")</f>
        <v>0</v>
      </c>
      <c r="K36" s="125">
        <f>IF('Actual Figures'!K36&lt;&gt;"",'Actual Figures'!K36-'Budget Figures'!K36,"")</f>
        <v>0</v>
      </c>
      <c r="L36" s="125">
        <f>IF('Actual Figures'!L36&lt;&gt;"",'Actual Figures'!L36-'Budget Figures'!L36,"")</f>
        <v>0</v>
      </c>
      <c r="M36" s="125">
        <f>IF('Actual Figures'!M36&lt;&gt;"",'Actual Figures'!M36-'Budget Figures'!M36,"")</f>
        <v>0</v>
      </c>
      <c r="N36" s="125">
        <f>IF('Actual Figures'!N36&lt;&gt;"",'Actual Figures'!N36-'Budget Figures'!N36,"")</f>
        <v>0</v>
      </c>
      <c r="O36" s="125">
        <f>IF('Actual Figures'!O36&lt;&gt;"",'Actual Figures'!O36-'Budget Figures'!O36,"")</f>
        <v>0</v>
      </c>
      <c r="P36" s="115"/>
      <c r="Q36" s="67">
        <f t="shared" si="3"/>
        <v>0</v>
      </c>
      <c r="R36" s="114"/>
      <c r="S36" s="113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</row>
    <row r="37" ht="12.75" customHeight="1">
      <c r="A37" s="113"/>
      <c r="B37" s="115"/>
      <c r="C37" s="84" t="s">
        <v>47</v>
      </c>
      <c r="D37" s="125" t="str">
        <f>IF('Actual Figures'!D37&lt;&gt;"",'Actual Figures'!D37-'Budget Figures'!D37,"")</f>
        <v/>
      </c>
      <c r="E37" s="125" t="str">
        <f>IF('Actual Figures'!E37&lt;&gt;"",'Actual Figures'!E37-'Budget Figures'!E37,"")</f>
        <v/>
      </c>
      <c r="F37" s="125" t="str">
        <f>IF('Actual Figures'!F37&lt;&gt;"",'Actual Figures'!F37-'Budget Figures'!F37,"")</f>
        <v/>
      </c>
      <c r="G37" s="125" t="str">
        <f>IF('Actual Figures'!G37&lt;&gt;"",'Actual Figures'!G37-'Budget Figures'!G37,"")</f>
        <v/>
      </c>
      <c r="H37" s="125" t="str">
        <f>IF('Actual Figures'!H37&lt;&gt;"",'Actual Figures'!H37-'Budget Figures'!H37,"")</f>
        <v/>
      </c>
      <c r="I37" s="125" t="str">
        <f>IF('Actual Figures'!I37&lt;&gt;"",'Actual Figures'!I37-'Budget Figures'!I37,"")</f>
        <v/>
      </c>
      <c r="J37" s="125" t="str">
        <f>IF('Actual Figures'!J37&lt;&gt;"",'Actual Figures'!J37-'Budget Figures'!J37,"")</f>
        <v/>
      </c>
      <c r="K37" s="125" t="str">
        <f>IF('Actual Figures'!K37&lt;&gt;"",'Actual Figures'!K37-'Budget Figures'!K37,"")</f>
        <v/>
      </c>
      <c r="L37" s="125" t="str">
        <f>IF('Actual Figures'!L37&lt;&gt;"",'Actual Figures'!L37-'Budget Figures'!L37,"")</f>
        <v/>
      </c>
      <c r="M37" s="125" t="str">
        <f>IF('Actual Figures'!M37&lt;&gt;"",'Actual Figures'!M37-'Budget Figures'!M37,"")</f>
        <v/>
      </c>
      <c r="N37" s="125" t="str">
        <f>IF('Actual Figures'!N37&lt;&gt;"",'Actual Figures'!N37-'Budget Figures'!N37,"")</f>
        <v/>
      </c>
      <c r="O37" s="125" t="str">
        <f>IF('Actual Figures'!O37&lt;&gt;"",'Actual Figures'!O37-'Budget Figures'!O37,"")</f>
        <v/>
      </c>
      <c r="P37" s="115"/>
      <c r="Q37" s="67">
        <f t="shared" si="3"/>
        <v>0</v>
      </c>
      <c r="R37" s="114"/>
      <c r="S37" s="113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</row>
    <row r="38" ht="12.75" customHeight="1">
      <c r="A38" s="113"/>
      <c r="B38" s="115"/>
      <c r="C38" s="84" t="s">
        <v>48</v>
      </c>
      <c r="D38" s="125" t="str">
        <f>IF('Actual Figures'!D38&lt;&gt;"",'Actual Figures'!D38-'Budget Figures'!D38,"")</f>
        <v/>
      </c>
      <c r="E38" s="125" t="str">
        <f>IF('Actual Figures'!E38&lt;&gt;"",'Actual Figures'!E38-'Budget Figures'!E38,"")</f>
        <v/>
      </c>
      <c r="F38" s="125" t="str">
        <f>IF('Actual Figures'!F38&lt;&gt;"",'Actual Figures'!F38-'Budget Figures'!F38,"")</f>
        <v/>
      </c>
      <c r="G38" s="125" t="str">
        <f>IF('Actual Figures'!G38&lt;&gt;"",'Actual Figures'!G38-'Budget Figures'!G38,"")</f>
        <v/>
      </c>
      <c r="H38" s="125" t="str">
        <f>IF('Actual Figures'!H38&lt;&gt;"",'Actual Figures'!H38-'Budget Figures'!H38,"")</f>
        <v/>
      </c>
      <c r="I38" s="125" t="str">
        <f>IF('Actual Figures'!I38&lt;&gt;"",'Actual Figures'!I38-'Budget Figures'!I38,"")</f>
        <v/>
      </c>
      <c r="J38" s="125" t="str">
        <f>IF('Actual Figures'!J38&lt;&gt;"",'Actual Figures'!J38-'Budget Figures'!J38,"")</f>
        <v/>
      </c>
      <c r="K38" s="125" t="str">
        <f>IF('Actual Figures'!K38&lt;&gt;"",'Actual Figures'!K38-'Budget Figures'!K38,"")</f>
        <v/>
      </c>
      <c r="L38" s="125" t="str">
        <f>IF('Actual Figures'!L38&lt;&gt;"",'Actual Figures'!L38-'Budget Figures'!L38,"")</f>
        <v/>
      </c>
      <c r="M38" s="125" t="str">
        <f>IF('Actual Figures'!M38&lt;&gt;"",'Actual Figures'!M38-'Budget Figures'!M38,"")</f>
        <v/>
      </c>
      <c r="N38" s="125" t="str">
        <f>IF('Actual Figures'!N38&lt;&gt;"",'Actual Figures'!N38-'Budget Figures'!N38,"")</f>
        <v/>
      </c>
      <c r="O38" s="125" t="str">
        <f>IF('Actual Figures'!O38&lt;&gt;"",'Actual Figures'!O38-'Budget Figures'!O38,"")</f>
        <v/>
      </c>
      <c r="P38" s="115"/>
      <c r="Q38" s="67">
        <f t="shared" si="3"/>
        <v>0</v>
      </c>
      <c r="R38" s="114"/>
      <c r="S38" s="113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</row>
    <row r="39" ht="12.75" customHeight="1">
      <c r="A39" s="113"/>
      <c r="B39" s="115"/>
      <c r="C39" s="84" t="s">
        <v>49</v>
      </c>
      <c r="D39" s="125" t="str">
        <f>IF('Actual Figures'!D39&lt;&gt;"",'Actual Figures'!D39-'Budget Figures'!D39,"")</f>
        <v/>
      </c>
      <c r="E39" s="125" t="str">
        <f>IF('Actual Figures'!E39&lt;&gt;"",'Actual Figures'!E39-'Budget Figures'!E39,"")</f>
        <v/>
      </c>
      <c r="F39" s="125" t="str">
        <f>IF('Actual Figures'!F39&lt;&gt;"",'Actual Figures'!F39-'Budget Figures'!F39,"")</f>
        <v/>
      </c>
      <c r="G39" s="125" t="str">
        <f>IF('Actual Figures'!G39&lt;&gt;"",'Actual Figures'!G39-'Budget Figures'!G39,"")</f>
        <v/>
      </c>
      <c r="H39" s="125" t="str">
        <f>IF('Actual Figures'!H39&lt;&gt;"",'Actual Figures'!H39-'Budget Figures'!H39,"")</f>
        <v/>
      </c>
      <c r="I39" s="125" t="str">
        <f>IF('Actual Figures'!I39&lt;&gt;"",'Actual Figures'!I39-'Budget Figures'!I39,"")</f>
        <v/>
      </c>
      <c r="J39" s="125" t="str">
        <f>IF('Actual Figures'!J39&lt;&gt;"",'Actual Figures'!J39-'Budget Figures'!J39,"")</f>
        <v/>
      </c>
      <c r="K39" s="125" t="str">
        <f>IF('Actual Figures'!K39&lt;&gt;"",'Actual Figures'!K39-'Budget Figures'!K39,"")</f>
        <v/>
      </c>
      <c r="L39" s="125" t="str">
        <f>IF('Actual Figures'!L39&lt;&gt;"",'Actual Figures'!L39-'Budget Figures'!L39,"")</f>
        <v/>
      </c>
      <c r="M39" s="125" t="str">
        <f>IF('Actual Figures'!M39&lt;&gt;"",'Actual Figures'!M39-'Budget Figures'!M39,"")</f>
        <v/>
      </c>
      <c r="N39" s="125" t="str">
        <f>IF('Actual Figures'!N39&lt;&gt;"",'Actual Figures'!N39-'Budget Figures'!N39,"")</f>
        <v/>
      </c>
      <c r="O39" s="125" t="str">
        <f>IF('Actual Figures'!O39&lt;&gt;"",'Actual Figures'!O39-'Budget Figures'!O39,"")</f>
        <v/>
      </c>
      <c r="P39" s="115"/>
      <c r="Q39" s="67">
        <f t="shared" si="3"/>
        <v>0</v>
      </c>
      <c r="R39" s="114"/>
      <c r="S39" s="113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</row>
    <row r="40" ht="12.75" customHeight="1">
      <c r="A40" s="113"/>
      <c r="B40" s="115"/>
      <c r="C40" s="84" t="s">
        <v>50</v>
      </c>
      <c r="D40" s="125" t="str">
        <f>IF('Actual Figures'!D40&lt;&gt;"",'Actual Figures'!D40-'Budget Figures'!D40,"")</f>
        <v/>
      </c>
      <c r="E40" s="125" t="str">
        <f>IF('Actual Figures'!E40&lt;&gt;"",'Actual Figures'!E40-'Budget Figures'!E40,"")</f>
        <v/>
      </c>
      <c r="F40" s="125" t="str">
        <f>IF('Actual Figures'!F40&lt;&gt;"",'Actual Figures'!F40-'Budget Figures'!F40,"")</f>
        <v/>
      </c>
      <c r="G40" s="125" t="str">
        <f>IF('Actual Figures'!G40&lt;&gt;"",'Actual Figures'!G40-'Budget Figures'!G40,"")</f>
        <v/>
      </c>
      <c r="H40" s="125" t="str">
        <f>IF('Actual Figures'!H40&lt;&gt;"",'Actual Figures'!H40-'Budget Figures'!H40,"")</f>
        <v/>
      </c>
      <c r="I40" s="125" t="str">
        <f>IF('Actual Figures'!I40&lt;&gt;"",'Actual Figures'!I40-'Budget Figures'!I40,"")</f>
        <v/>
      </c>
      <c r="J40" s="125" t="str">
        <f>IF('Actual Figures'!J40&lt;&gt;"",'Actual Figures'!J40-'Budget Figures'!J40,"")</f>
        <v/>
      </c>
      <c r="K40" s="125" t="str">
        <f>IF('Actual Figures'!K40&lt;&gt;"",'Actual Figures'!K40-'Budget Figures'!K40,"")</f>
        <v/>
      </c>
      <c r="L40" s="125" t="str">
        <f>IF('Actual Figures'!L40&lt;&gt;"",'Actual Figures'!L40-'Budget Figures'!L40,"")</f>
        <v/>
      </c>
      <c r="M40" s="125" t="str">
        <f>IF('Actual Figures'!M40&lt;&gt;"",'Actual Figures'!M40-'Budget Figures'!M40,"")</f>
        <v/>
      </c>
      <c r="N40" s="125" t="str">
        <f>IF('Actual Figures'!N40&lt;&gt;"",'Actual Figures'!N40-'Budget Figures'!N40,"")</f>
        <v/>
      </c>
      <c r="O40" s="125" t="str">
        <f>IF('Actual Figures'!O40&lt;&gt;"",'Actual Figures'!O40-'Budget Figures'!O40,"")</f>
        <v/>
      </c>
      <c r="P40" s="115"/>
      <c r="Q40" s="67">
        <f t="shared" si="3"/>
        <v>0</v>
      </c>
      <c r="R40" s="114"/>
      <c r="S40" s="113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</row>
    <row r="41" ht="12.75" customHeight="1">
      <c r="A41" s="113"/>
      <c r="B41" s="115"/>
      <c r="C41" s="84" t="s">
        <v>51</v>
      </c>
      <c r="D41" s="125">
        <f>IF('Actual Figures'!D41&lt;&gt;"",'Actual Figures'!D41-'Budget Figures'!D41,"")</f>
        <v>0</v>
      </c>
      <c r="E41" s="125">
        <f>IF('Actual Figures'!E41&lt;&gt;"",'Actual Figures'!E41-'Budget Figures'!E41,"")</f>
        <v>0</v>
      </c>
      <c r="F41" s="125">
        <f>IF('Actual Figures'!F41&lt;&gt;"",'Actual Figures'!F41-'Budget Figures'!F41,"")</f>
        <v>0</v>
      </c>
      <c r="G41" s="125">
        <f>IF('Actual Figures'!G41&lt;&gt;"",'Actual Figures'!G41-'Budget Figures'!G41,"")</f>
        <v>0</v>
      </c>
      <c r="H41" s="125">
        <f>IF('Actual Figures'!H41&lt;&gt;"",'Actual Figures'!H41-'Budget Figures'!H41,"")</f>
        <v>0</v>
      </c>
      <c r="I41" s="125">
        <f>IF('Actual Figures'!I41&lt;&gt;"",'Actual Figures'!I41-'Budget Figures'!I41,"")</f>
        <v>0</v>
      </c>
      <c r="J41" s="125">
        <f>IF('Actual Figures'!J41&lt;&gt;"",'Actual Figures'!J41-'Budget Figures'!J41,"")</f>
        <v>0</v>
      </c>
      <c r="K41" s="125">
        <f>IF('Actual Figures'!K41&lt;&gt;"",'Actual Figures'!K41-'Budget Figures'!K41,"")</f>
        <v>0</v>
      </c>
      <c r="L41" s="125">
        <f>IF('Actual Figures'!L41&lt;&gt;"",'Actual Figures'!L41-'Budget Figures'!L41,"")</f>
        <v>0</v>
      </c>
      <c r="M41" s="125">
        <f>IF('Actual Figures'!M41&lt;&gt;"",'Actual Figures'!M41-'Budget Figures'!M41,"")</f>
        <v>0</v>
      </c>
      <c r="N41" s="125">
        <f>IF('Actual Figures'!N41&lt;&gt;"",'Actual Figures'!N41-'Budget Figures'!N41,"")</f>
        <v>0</v>
      </c>
      <c r="O41" s="125">
        <f>IF('Actual Figures'!O41&lt;&gt;"",'Actual Figures'!O41-'Budget Figures'!O41,"")</f>
        <v>0</v>
      </c>
      <c r="P41" s="115"/>
      <c r="Q41" s="67">
        <f t="shared" si="3"/>
        <v>0</v>
      </c>
      <c r="R41" s="114"/>
      <c r="S41" s="113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</row>
    <row r="42" ht="12.75" customHeight="1">
      <c r="A42" s="113"/>
      <c r="B42" s="115"/>
      <c r="C42" s="84" t="s">
        <v>52</v>
      </c>
      <c r="D42" s="125" t="str">
        <f>IF('Actual Figures'!D42&lt;&gt;"",'Actual Figures'!D42-'Budget Figures'!D42,"")</f>
        <v/>
      </c>
      <c r="E42" s="125" t="str">
        <f>IF('Actual Figures'!E42&lt;&gt;"",'Actual Figures'!E42-'Budget Figures'!E42,"")</f>
        <v/>
      </c>
      <c r="F42" s="125" t="str">
        <f>IF('Actual Figures'!F42&lt;&gt;"",'Actual Figures'!F42-'Budget Figures'!F42,"")</f>
        <v/>
      </c>
      <c r="G42" s="125" t="str">
        <f>IF('Actual Figures'!G42&lt;&gt;"",'Actual Figures'!G42-'Budget Figures'!G42,"")</f>
        <v/>
      </c>
      <c r="H42" s="125" t="str">
        <f>IF('Actual Figures'!H42&lt;&gt;"",'Actual Figures'!H42-'Budget Figures'!H42,"")</f>
        <v/>
      </c>
      <c r="I42" s="125" t="str">
        <f>IF('Actual Figures'!I42&lt;&gt;"",'Actual Figures'!I42-'Budget Figures'!I42,"")</f>
        <v/>
      </c>
      <c r="J42" s="125" t="str">
        <f>IF('Actual Figures'!J42&lt;&gt;"",'Actual Figures'!J42-'Budget Figures'!J42,"")</f>
        <v/>
      </c>
      <c r="K42" s="125" t="str">
        <f>IF('Actual Figures'!K42&lt;&gt;"",'Actual Figures'!K42-'Budget Figures'!K42,"")</f>
        <v/>
      </c>
      <c r="L42" s="125" t="str">
        <f>IF('Actual Figures'!L42&lt;&gt;"",'Actual Figures'!L42-'Budget Figures'!L42,"")</f>
        <v/>
      </c>
      <c r="M42" s="125" t="str">
        <f>IF('Actual Figures'!M42&lt;&gt;"",'Actual Figures'!M42-'Budget Figures'!M42,"")</f>
        <v/>
      </c>
      <c r="N42" s="125" t="str">
        <f>IF('Actual Figures'!N42&lt;&gt;"",'Actual Figures'!N42-'Budget Figures'!N42,"")</f>
        <v/>
      </c>
      <c r="O42" s="125" t="str">
        <f>IF('Actual Figures'!O42&lt;&gt;"",'Actual Figures'!O42-'Budget Figures'!O42,"")</f>
        <v/>
      </c>
      <c r="P42" s="115"/>
      <c r="Q42" s="67">
        <f t="shared" si="3"/>
        <v>0</v>
      </c>
      <c r="R42" s="114"/>
      <c r="S42" s="113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</row>
    <row r="43" ht="12.75" customHeight="1">
      <c r="A43" s="113"/>
      <c r="B43" s="115"/>
      <c r="C43" s="84" t="s">
        <v>53</v>
      </c>
      <c r="D43" s="125" t="str">
        <f>IF('Actual Figures'!D43&lt;&gt;"",'Actual Figures'!D43-'Budget Figures'!D43,"")</f>
        <v/>
      </c>
      <c r="E43" s="125" t="str">
        <f>IF('Actual Figures'!E43&lt;&gt;"",'Actual Figures'!E43-'Budget Figures'!E43,"")</f>
        <v/>
      </c>
      <c r="F43" s="125" t="str">
        <f>IF('Actual Figures'!F43&lt;&gt;"",'Actual Figures'!F43-'Budget Figures'!F43,"")</f>
        <v/>
      </c>
      <c r="G43" s="125" t="str">
        <f>IF('Actual Figures'!G43&lt;&gt;"",'Actual Figures'!G43-'Budget Figures'!G43,"")</f>
        <v/>
      </c>
      <c r="H43" s="125" t="str">
        <f>IF('Actual Figures'!H43&lt;&gt;"",'Actual Figures'!H43-'Budget Figures'!H43,"")</f>
        <v/>
      </c>
      <c r="I43" s="125" t="str">
        <f>IF('Actual Figures'!I43&lt;&gt;"",'Actual Figures'!I43-'Budget Figures'!I43,"")</f>
        <v/>
      </c>
      <c r="J43" s="125" t="str">
        <f>IF('Actual Figures'!J43&lt;&gt;"",'Actual Figures'!J43-'Budget Figures'!J43,"")</f>
        <v/>
      </c>
      <c r="K43" s="125" t="str">
        <f>IF('Actual Figures'!K43&lt;&gt;"",'Actual Figures'!K43-'Budget Figures'!K43,"")</f>
        <v/>
      </c>
      <c r="L43" s="125" t="str">
        <f>IF('Actual Figures'!L43&lt;&gt;"",'Actual Figures'!L43-'Budget Figures'!L43,"")</f>
        <v/>
      </c>
      <c r="M43" s="125" t="str">
        <f>IF('Actual Figures'!M43&lt;&gt;"",'Actual Figures'!M43-'Budget Figures'!M43,"")</f>
        <v/>
      </c>
      <c r="N43" s="125" t="str">
        <f>IF('Actual Figures'!N43&lt;&gt;"",'Actual Figures'!N43-'Budget Figures'!N43,"")</f>
        <v/>
      </c>
      <c r="O43" s="125" t="str">
        <f>IF('Actual Figures'!O43&lt;&gt;"",'Actual Figures'!O43-'Budget Figures'!O43,"")</f>
        <v/>
      </c>
      <c r="P43" s="115"/>
      <c r="Q43" s="67">
        <f t="shared" si="3"/>
        <v>0</v>
      </c>
      <c r="R43" s="114"/>
      <c r="S43" s="113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</row>
    <row r="44" ht="12.75" customHeight="1">
      <c r="A44" s="113"/>
      <c r="B44" s="115"/>
      <c r="C44" s="84" t="s">
        <v>54</v>
      </c>
      <c r="D44" s="125" t="str">
        <f>IF('Actual Figures'!D44&lt;&gt;"",'Actual Figures'!D44-'Budget Figures'!D44,"")</f>
        <v/>
      </c>
      <c r="E44" s="125" t="str">
        <f>IF('Actual Figures'!E44&lt;&gt;"",'Actual Figures'!E44-'Budget Figures'!E44,"")</f>
        <v/>
      </c>
      <c r="F44" s="125" t="str">
        <f>IF('Actual Figures'!F44&lt;&gt;"",'Actual Figures'!F44-'Budget Figures'!F44,"")</f>
        <v/>
      </c>
      <c r="G44" s="125" t="str">
        <f>IF('Actual Figures'!G44&lt;&gt;"",'Actual Figures'!G44-'Budget Figures'!G44,"")</f>
        <v/>
      </c>
      <c r="H44" s="125" t="str">
        <f>IF('Actual Figures'!H44&lt;&gt;"",'Actual Figures'!H44-'Budget Figures'!H44,"")</f>
        <v/>
      </c>
      <c r="I44" s="125" t="str">
        <f>IF('Actual Figures'!I44&lt;&gt;"",'Actual Figures'!I44-'Budget Figures'!I44,"")</f>
        <v/>
      </c>
      <c r="J44" s="125" t="str">
        <f>IF('Actual Figures'!J44&lt;&gt;"",'Actual Figures'!J44-'Budget Figures'!J44,"")</f>
        <v/>
      </c>
      <c r="K44" s="125" t="str">
        <f>IF('Actual Figures'!K44&lt;&gt;"",'Actual Figures'!K44-'Budget Figures'!K44,"")</f>
        <v/>
      </c>
      <c r="L44" s="125" t="str">
        <f>IF('Actual Figures'!L44&lt;&gt;"",'Actual Figures'!L44-'Budget Figures'!L44,"")</f>
        <v/>
      </c>
      <c r="M44" s="125" t="str">
        <f>IF('Actual Figures'!M44&lt;&gt;"",'Actual Figures'!M44-'Budget Figures'!M44,"")</f>
        <v/>
      </c>
      <c r="N44" s="125" t="str">
        <f>IF('Actual Figures'!N44&lt;&gt;"",'Actual Figures'!N44-'Budget Figures'!N44,"")</f>
        <v/>
      </c>
      <c r="O44" s="125" t="str">
        <f>IF('Actual Figures'!O44&lt;&gt;"",'Actual Figures'!O44-'Budget Figures'!O44,"")</f>
        <v/>
      </c>
      <c r="P44" s="115"/>
      <c r="Q44" s="67">
        <f t="shared" si="3"/>
        <v>0</v>
      </c>
      <c r="R44" s="114"/>
      <c r="S44" s="113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</row>
    <row r="45" ht="12.75" customHeight="1">
      <c r="A45" s="113"/>
      <c r="B45" s="115"/>
      <c r="C45" s="84" t="s">
        <v>55</v>
      </c>
      <c r="D45" s="125" t="str">
        <f>IF('Actual Figures'!D45&lt;&gt;"",'Actual Figures'!D45-'Budget Figures'!D45,"")</f>
        <v/>
      </c>
      <c r="E45" s="125" t="str">
        <f>IF('Actual Figures'!E45&lt;&gt;"",'Actual Figures'!E45-'Budget Figures'!E45,"")</f>
        <v/>
      </c>
      <c r="F45" s="125" t="str">
        <f>IF('Actual Figures'!F45&lt;&gt;"",'Actual Figures'!F45-'Budget Figures'!F45,"")</f>
        <v/>
      </c>
      <c r="G45" s="125" t="str">
        <f>IF('Actual Figures'!G45&lt;&gt;"",'Actual Figures'!G45-'Budget Figures'!G45,"")</f>
        <v/>
      </c>
      <c r="H45" s="125" t="str">
        <f>IF('Actual Figures'!H45&lt;&gt;"",'Actual Figures'!H45-'Budget Figures'!H45,"")</f>
        <v/>
      </c>
      <c r="I45" s="125" t="str">
        <f>IF('Actual Figures'!I45&lt;&gt;"",'Actual Figures'!I45-'Budget Figures'!I45,"")</f>
        <v/>
      </c>
      <c r="J45" s="125" t="str">
        <f>IF('Actual Figures'!J45&lt;&gt;"",'Actual Figures'!J45-'Budget Figures'!J45,"")</f>
        <v/>
      </c>
      <c r="K45" s="125" t="str">
        <f>IF('Actual Figures'!K45&lt;&gt;"",'Actual Figures'!K45-'Budget Figures'!K45,"")</f>
        <v/>
      </c>
      <c r="L45" s="125" t="str">
        <f>IF('Actual Figures'!L45&lt;&gt;"",'Actual Figures'!L45-'Budget Figures'!L45,"")</f>
        <v/>
      </c>
      <c r="M45" s="125" t="str">
        <f>IF('Actual Figures'!M45&lt;&gt;"",'Actual Figures'!M45-'Budget Figures'!M45,"")</f>
        <v/>
      </c>
      <c r="N45" s="125" t="str">
        <f>IF('Actual Figures'!N45&lt;&gt;"",'Actual Figures'!N45-'Budget Figures'!N45,"")</f>
        <v/>
      </c>
      <c r="O45" s="125" t="str">
        <f>IF('Actual Figures'!O45&lt;&gt;"",'Actual Figures'!O45-'Budget Figures'!O45,"")</f>
        <v/>
      </c>
      <c r="P45" s="115"/>
      <c r="Q45" s="67">
        <f t="shared" si="3"/>
        <v>0</v>
      </c>
      <c r="R45" s="114"/>
      <c r="S45" s="113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</row>
    <row r="46" ht="12.75" customHeight="1">
      <c r="A46" s="113"/>
      <c r="B46" s="115"/>
      <c r="C46" s="84" t="s">
        <v>56</v>
      </c>
      <c r="D46" s="125" t="str">
        <f>IF('Actual Figures'!D46&lt;&gt;"",'Actual Figures'!D46-'Budget Figures'!D46,"")</f>
        <v/>
      </c>
      <c r="E46" s="125" t="str">
        <f>IF('Actual Figures'!E46&lt;&gt;"",'Actual Figures'!E46-'Budget Figures'!E46,"")</f>
        <v/>
      </c>
      <c r="F46" s="125" t="str">
        <f>IF('Actual Figures'!F46&lt;&gt;"",'Actual Figures'!F46-'Budget Figures'!F46,"")</f>
        <v/>
      </c>
      <c r="G46" s="125" t="str">
        <f>IF('Actual Figures'!G46&lt;&gt;"",'Actual Figures'!G46-'Budget Figures'!G46,"")</f>
        <v/>
      </c>
      <c r="H46" s="125" t="str">
        <f>IF('Actual Figures'!H46&lt;&gt;"",'Actual Figures'!H46-'Budget Figures'!H46,"")</f>
        <v/>
      </c>
      <c r="I46" s="125" t="str">
        <f>IF('Actual Figures'!I46&lt;&gt;"",'Actual Figures'!I46-'Budget Figures'!I46,"")</f>
        <v/>
      </c>
      <c r="J46" s="125" t="str">
        <f>IF('Actual Figures'!J46&lt;&gt;"",'Actual Figures'!J46-'Budget Figures'!J46,"")</f>
        <v/>
      </c>
      <c r="K46" s="125" t="str">
        <f>IF('Actual Figures'!K46&lt;&gt;"",'Actual Figures'!K46-'Budget Figures'!K46,"")</f>
        <v/>
      </c>
      <c r="L46" s="125" t="str">
        <f>IF('Actual Figures'!L46&lt;&gt;"",'Actual Figures'!L46-'Budget Figures'!L46,"")</f>
        <v/>
      </c>
      <c r="M46" s="125" t="str">
        <f>IF('Actual Figures'!M46&lt;&gt;"",'Actual Figures'!M46-'Budget Figures'!M46,"")</f>
        <v/>
      </c>
      <c r="N46" s="125" t="str">
        <f>IF('Actual Figures'!N46&lt;&gt;"",'Actual Figures'!N46-'Budget Figures'!N46,"")</f>
        <v/>
      </c>
      <c r="O46" s="125" t="str">
        <f>IF('Actual Figures'!O46&lt;&gt;"",'Actual Figures'!O46-'Budget Figures'!O46,"")</f>
        <v/>
      </c>
      <c r="P46" s="115"/>
      <c r="Q46" s="67">
        <f t="shared" si="3"/>
        <v>0</v>
      </c>
      <c r="R46" s="114"/>
      <c r="S46" s="113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</row>
    <row r="47" ht="12.75" customHeight="1">
      <c r="A47" s="113"/>
      <c r="B47" s="115"/>
      <c r="C47" s="84" t="s">
        <v>57</v>
      </c>
      <c r="D47" s="125" t="str">
        <f>IF('Actual Figures'!D47&lt;&gt;"",'Actual Figures'!D47-'Budget Figures'!D47,"")</f>
        <v/>
      </c>
      <c r="E47" s="125" t="str">
        <f>IF('Actual Figures'!E47&lt;&gt;"",'Actual Figures'!E47-'Budget Figures'!E47,"")</f>
        <v/>
      </c>
      <c r="F47" s="125" t="str">
        <f>IF('Actual Figures'!F47&lt;&gt;"",'Actual Figures'!F47-'Budget Figures'!F47,"")</f>
        <v/>
      </c>
      <c r="G47" s="125" t="str">
        <f>IF('Actual Figures'!G47&lt;&gt;"",'Actual Figures'!G47-'Budget Figures'!G47,"")</f>
        <v/>
      </c>
      <c r="H47" s="125" t="str">
        <f>IF('Actual Figures'!H47&lt;&gt;"",'Actual Figures'!H47-'Budget Figures'!H47,"")</f>
        <v/>
      </c>
      <c r="I47" s="125" t="str">
        <f>IF('Actual Figures'!I47&lt;&gt;"",'Actual Figures'!I47-'Budget Figures'!I47,"")</f>
        <v/>
      </c>
      <c r="J47" s="125" t="str">
        <f>IF('Actual Figures'!J47&lt;&gt;"",'Actual Figures'!J47-'Budget Figures'!J47,"")</f>
        <v/>
      </c>
      <c r="K47" s="125" t="str">
        <f>IF('Actual Figures'!K47&lt;&gt;"",'Actual Figures'!K47-'Budget Figures'!K47,"")</f>
        <v/>
      </c>
      <c r="L47" s="125" t="str">
        <f>IF('Actual Figures'!L47&lt;&gt;"",'Actual Figures'!L47-'Budget Figures'!L47,"")</f>
        <v/>
      </c>
      <c r="M47" s="125" t="str">
        <f>IF('Actual Figures'!M47&lt;&gt;"",'Actual Figures'!M47-'Budget Figures'!M47,"")</f>
        <v/>
      </c>
      <c r="N47" s="125" t="str">
        <f>IF('Actual Figures'!N47&lt;&gt;"",'Actual Figures'!N47-'Budget Figures'!N47,"")</f>
        <v/>
      </c>
      <c r="O47" s="125" t="str">
        <f>IF('Actual Figures'!O47&lt;&gt;"",'Actual Figures'!O47-'Budget Figures'!O47,"")</f>
        <v/>
      </c>
      <c r="P47" s="115"/>
      <c r="Q47" s="67">
        <f t="shared" si="3"/>
        <v>0</v>
      </c>
      <c r="R47" s="114"/>
      <c r="S47" s="113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</row>
    <row r="48" ht="12.75" customHeight="1">
      <c r="A48" s="113"/>
      <c r="B48" s="115"/>
      <c r="C48" s="87" t="s">
        <v>58</v>
      </c>
      <c r="D48" s="125">
        <f>IF('Actual Figures'!D48&lt;&gt;"",'Actual Figures'!D48-'Budget Figures'!D48,"")</f>
        <v>0</v>
      </c>
      <c r="E48" s="125">
        <f>IF('Actual Figures'!E48&lt;&gt;"",'Actual Figures'!E48-'Budget Figures'!E48,"")</f>
        <v>0</v>
      </c>
      <c r="F48" s="125">
        <f>IF('Actual Figures'!F48&lt;&gt;"",'Actual Figures'!F48-'Budget Figures'!F48,"")</f>
        <v>250</v>
      </c>
      <c r="G48" s="125">
        <f>IF('Actual Figures'!G48&lt;&gt;"",'Actual Figures'!G48-'Budget Figures'!G48,"")</f>
        <v>0</v>
      </c>
      <c r="H48" s="125">
        <f>IF('Actual Figures'!H48&lt;&gt;"",'Actual Figures'!H48-'Budget Figures'!H48,"")</f>
        <v>0</v>
      </c>
      <c r="I48" s="125">
        <f>IF('Actual Figures'!I48&lt;&gt;"",'Actual Figures'!I48-'Budget Figures'!I48,"")</f>
        <v>500</v>
      </c>
      <c r="J48" s="125">
        <f>IF('Actual Figures'!J48&lt;&gt;"",'Actual Figures'!J48-'Budget Figures'!J48,"")</f>
        <v>0</v>
      </c>
      <c r="K48" s="125">
        <f>IF('Actual Figures'!K48&lt;&gt;"",'Actual Figures'!K48-'Budget Figures'!K48,"")</f>
        <v>0</v>
      </c>
      <c r="L48" s="125">
        <f>IF('Actual Figures'!L48&lt;&gt;"",'Actual Figures'!L48-'Budget Figures'!L48,"")</f>
        <v>0</v>
      </c>
      <c r="M48" s="125">
        <f>IF('Actual Figures'!M48&lt;&gt;"",'Actual Figures'!M48-'Budget Figures'!M48,"")</f>
        <v>0</v>
      </c>
      <c r="N48" s="125">
        <f>IF('Actual Figures'!N48&lt;&gt;"",'Actual Figures'!N48-'Budget Figures'!N48,"")</f>
        <v>0</v>
      </c>
      <c r="O48" s="125">
        <f>IF('Actual Figures'!O48&lt;&gt;"",'Actual Figures'!O48-'Budget Figures'!O48,"")</f>
        <v>0</v>
      </c>
      <c r="P48" s="115"/>
      <c r="Q48" s="67">
        <f t="shared" si="3"/>
        <v>750</v>
      </c>
      <c r="R48" s="114"/>
      <c r="S48" s="113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</row>
    <row r="49" ht="12.75" customHeight="1">
      <c r="A49" s="113"/>
      <c r="B49" s="115"/>
      <c r="C49" s="84" t="s">
        <v>59</v>
      </c>
      <c r="D49" s="125" t="str">
        <f>IF('Actual Figures'!D49&lt;&gt;"",'Actual Figures'!D49-'Budget Figures'!D49,"")</f>
        <v/>
      </c>
      <c r="E49" s="125" t="str">
        <f>IF('Actual Figures'!E49&lt;&gt;"",'Actual Figures'!E49-'Budget Figures'!E49,"")</f>
        <v/>
      </c>
      <c r="F49" s="125" t="str">
        <f>IF('Actual Figures'!F49&lt;&gt;"",'Actual Figures'!F49-'Budget Figures'!F49,"")</f>
        <v/>
      </c>
      <c r="G49" s="125" t="str">
        <f>IF('Actual Figures'!G49&lt;&gt;"",'Actual Figures'!G49-'Budget Figures'!G49,"")</f>
        <v/>
      </c>
      <c r="H49" s="125" t="str">
        <f>IF('Actual Figures'!H49&lt;&gt;"",'Actual Figures'!H49-'Budget Figures'!H49,"")</f>
        <v/>
      </c>
      <c r="I49" s="125" t="str">
        <f>IF('Actual Figures'!I49&lt;&gt;"",'Actual Figures'!I49-'Budget Figures'!I49,"")</f>
        <v/>
      </c>
      <c r="J49" s="125" t="str">
        <f>IF('Actual Figures'!J49&lt;&gt;"",'Actual Figures'!J49-'Budget Figures'!J49,"")</f>
        <v/>
      </c>
      <c r="K49" s="125" t="str">
        <f>IF('Actual Figures'!K49&lt;&gt;"",'Actual Figures'!K49-'Budget Figures'!K49,"")</f>
        <v/>
      </c>
      <c r="L49" s="125" t="str">
        <f>IF('Actual Figures'!L49&lt;&gt;"",'Actual Figures'!L49-'Budget Figures'!L49,"")</f>
        <v/>
      </c>
      <c r="M49" s="125" t="str">
        <f>IF('Actual Figures'!M49&lt;&gt;"",'Actual Figures'!M49-'Budget Figures'!M49,"")</f>
        <v/>
      </c>
      <c r="N49" s="125" t="str">
        <f>IF('Actual Figures'!N49&lt;&gt;"",'Actual Figures'!N49-'Budget Figures'!N49,"")</f>
        <v/>
      </c>
      <c r="O49" s="125" t="str">
        <f>IF('Actual Figures'!O49&lt;&gt;"",'Actual Figures'!O49-'Budget Figures'!O49,"")</f>
        <v/>
      </c>
      <c r="P49" s="115"/>
      <c r="Q49" s="67">
        <f t="shared" si="3"/>
        <v>0</v>
      </c>
      <c r="R49" s="114"/>
      <c r="S49" s="113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</row>
    <row r="50" ht="12.75" customHeight="1">
      <c r="A50" s="113"/>
      <c r="B50" s="115"/>
      <c r="C50" s="84" t="s">
        <v>60</v>
      </c>
      <c r="D50" s="125" t="str">
        <f>IF('Actual Figures'!D50&lt;&gt;"",'Actual Figures'!D50-'Budget Figures'!D50,"")</f>
        <v/>
      </c>
      <c r="E50" s="125" t="str">
        <f>IF('Actual Figures'!E50&lt;&gt;"",'Actual Figures'!E50-'Budget Figures'!E50,"")</f>
        <v/>
      </c>
      <c r="F50" s="125" t="str">
        <f>IF('Actual Figures'!F50&lt;&gt;"",'Actual Figures'!F50-'Budget Figures'!F50,"")</f>
        <v/>
      </c>
      <c r="G50" s="125" t="str">
        <f>IF('Actual Figures'!G50&lt;&gt;"",'Actual Figures'!G50-'Budget Figures'!G50,"")</f>
        <v/>
      </c>
      <c r="H50" s="125" t="str">
        <f>IF('Actual Figures'!H50&lt;&gt;"",'Actual Figures'!H50-'Budget Figures'!H50,"")</f>
        <v/>
      </c>
      <c r="I50" s="125" t="str">
        <f>IF('Actual Figures'!I50&lt;&gt;"",'Actual Figures'!I50-'Budget Figures'!I50,"")</f>
        <v/>
      </c>
      <c r="J50" s="125" t="str">
        <f>IF('Actual Figures'!J50&lt;&gt;"",'Actual Figures'!J50-'Budget Figures'!J50,"")</f>
        <v/>
      </c>
      <c r="K50" s="125" t="str">
        <f>IF('Actual Figures'!K50&lt;&gt;"",'Actual Figures'!K50-'Budget Figures'!K50,"")</f>
        <v/>
      </c>
      <c r="L50" s="125" t="str">
        <f>IF('Actual Figures'!L50&lt;&gt;"",'Actual Figures'!L50-'Budget Figures'!L50,"")</f>
        <v/>
      </c>
      <c r="M50" s="125" t="str">
        <f>IF('Actual Figures'!M50&lt;&gt;"",'Actual Figures'!M50-'Budget Figures'!M50,"")</f>
        <v/>
      </c>
      <c r="N50" s="125" t="str">
        <f>IF('Actual Figures'!N50&lt;&gt;"",'Actual Figures'!N50-'Budget Figures'!N50,"")</f>
        <v/>
      </c>
      <c r="O50" s="125" t="str">
        <f>IF('Actual Figures'!O50&lt;&gt;"",'Actual Figures'!O50-'Budget Figures'!O50,"")</f>
        <v/>
      </c>
      <c r="P50" s="115"/>
      <c r="Q50" s="67">
        <f t="shared" si="3"/>
        <v>0</v>
      </c>
      <c r="R50" s="114"/>
      <c r="S50" s="113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</row>
    <row r="51" ht="12.75" customHeight="1">
      <c r="A51" s="113"/>
      <c r="B51" s="115"/>
      <c r="C51" s="84" t="s">
        <v>61</v>
      </c>
      <c r="D51" s="125" t="str">
        <f>IF('Actual Figures'!D51&lt;&gt;"",'Actual Figures'!D51-'Budget Figures'!D51,"")</f>
        <v/>
      </c>
      <c r="E51" s="125" t="str">
        <f>IF('Actual Figures'!E51&lt;&gt;"",'Actual Figures'!E51-'Budget Figures'!E51,"")</f>
        <v/>
      </c>
      <c r="F51" s="125" t="str">
        <f>IF('Actual Figures'!F51&lt;&gt;"",'Actual Figures'!F51-'Budget Figures'!F51,"")</f>
        <v/>
      </c>
      <c r="G51" s="125" t="str">
        <f>IF('Actual Figures'!G51&lt;&gt;"",'Actual Figures'!G51-'Budget Figures'!G51,"")</f>
        <v/>
      </c>
      <c r="H51" s="125" t="str">
        <f>IF('Actual Figures'!H51&lt;&gt;"",'Actual Figures'!H51-'Budget Figures'!H51,"")</f>
        <v/>
      </c>
      <c r="I51" s="125" t="str">
        <f>IF('Actual Figures'!I51&lt;&gt;"",'Actual Figures'!I51-'Budget Figures'!I51,"")</f>
        <v/>
      </c>
      <c r="J51" s="125" t="str">
        <f>IF('Actual Figures'!J51&lt;&gt;"",'Actual Figures'!J51-'Budget Figures'!J51,"")</f>
        <v/>
      </c>
      <c r="K51" s="125" t="str">
        <f>IF('Actual Figures'!K51&lt;&gt;"",'Actual Figures'!K51-'Budget Figures'!K51,"")</f>
        <v/>
      </c>
      <c r="L51" s="125" t="str">
        <f>IF('Actual Figures'!L51&lt;&gt;"",'Actual Figures'!L51-'Budget Figures'!L51,"")</f>
        <v/>
      </c>
      <c r="M51" s="125" t="str">
        <f>IF('Actual Figures'!M51&lt;&gt;"",'Actual Figures'!M51-'Budget Figures'!M51,"")</f>
        <v/>
      </c>
      <c r="N51" s="125" t="str">
        <f>IF('Actual Figures'!N51&lt;&gt;"",'Actual Figures'!N51-'Budget Figures'!N51,"")</f>
        <v/>
      </c>
      <c r="O51" s="125" t="str">
        <f>IF('Actual Figures'!O51&lt;&gt;"",'Actual Figures'!O51-'Budget Figures'!O51,"")</f>
        <v/>
      </c>
      <c r="P51" s="115"/>
      <c r="Q51" s="67">
        <f t="shared" si="3"/>
        <v>0</v>
      </c>
      <c r="R51" s="114"/>
      <c r="S51" s="113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</row>
    <row r="52" ht="12.75" customHeight="1">
      <c r="A52" s="113"/>
      <c r="B52" s="115"/>
      <c r="C52" s="84" t="s">
        <v>62</v>
      </c>
      <c r="D52" s="125" t="str">
        <f>IF('Actual Figures'!D52&lt;&gt;"",'Actual Figures'!D52-'Budget Figures'!D52,"")</f>
        <v/>
      </c>
      <c r="E52" s="125" t="str">
        <f>IF('Actual Figures'!E52&lt;&gt;"",'Actual Figures'!E52-'Budget Figures'!E52,"")</f>
        <v/>
      </c>
      <c r="F52" s="125" t="str">
        <f>IF('Actual Figures'!F52&lt;&gt;"",'Actual Figures'!F52-'Budget Figures'!F52,"")</f>
        <v/>
      </c>
      <c r="G52" s="125" t="str">
        <f>IF('Actual Figures'!G52&lt;&gt;"",'Actual Figures'!G52-'Budget Figures'!G52,"")</f>
        <v/>
      </c>
      <c r="H52" s="125" t="str">
        <f>IF('Actual Figures'!H52&lt;&gt;"",'Actual Figures'!H52-'Budget Figures'!H52,"")</f>
        <v/>
      </c>
      <c r="I52" s="125" t="str">
        <f>IF('Actual Figures'!I52&lt;&gt;"",'Actual Figures'!I52-'Budget Figures'!I52,"")</f>
        <v/>
      </c>
      <c r="J52" s="125" t="str">
        <f>IF('Actual Figures'!J52&lt;&gt;"",'Actual Figures'!J52-'Budget Figures'!J52,"")</f>
        <v/>
      </c>
      <c r="K52" s="125" t="str">
        <f>IF('Actual Figures'!K52&lt;&gt;"",'Actual Figures'!K52-'Budget Figures'!K52,"")</f>
        <v/>
      </c>
      <c r="L52" s="125" t="str">
        <f>IF('Actual Figures'!L52&lt;&gt;"",'Actual Figures'!L52-'Budget Figures'!L52,"")</f>
        <v/>
      </c>
      <c r="M52" s="125" t="str">
        <f>IF('Actual Figures'!M52&lt;&gt;"",'Actual Figures'!M52-'Budget Figures'!M52,"")</f>
        <v/>
      </c>
      <c r="N52" s="125" t="str">
        <f>IF('Actual Figures'!N52&lt;&gt;"",'Actual Figures'!N52-'Budget Figures'!N52,"")</f>
        <v/>
      </c>
      <c r="O52" s="125" t="str">
        <f>IF('Actual Figures'!O52&lt;&gt;"",'Actual Figures'!O52-'Budget Figures'!O52,"")</f>
        <v/>
      </c>
      <c r="P52" s="115"/>
      <c r="Q52" s="67">
        <f t="shared" si="3"/>
        <v>0</v>
      </c>
      <c r="R52" s="114"/>
      <c r="S52" s="113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</row>
    <row r="53" ht="12.75" customHeight="1">
      <c r="A53" s="113"/>
      <c r="B53" s="115"/>
      <c r="C53" s="84" t="s">
        <v>63</v>
      </c>
      <c r="D53" s="125" t="str">
        <f>IF('Actual Figures'!D53&lt;&gt;"",'Actual Figures'!D53-'Budget Figures'!D53,"")</f>
        <v/>
      </c>
      <c r="E53" s="125" t="str">
        <f>IF('Actual Figures'!E53&lt;&gt;"",'Actual Figures'!E53-'Budget Figures'!E53,"")</f>
        <v/>
      </c>
      <c r="F53" s="125" t="str">
        <f>IF('Actual Figures'!F53&lt;&gt;"",'Actual Figures'!F53-'Budget Figures'!F53,"")</f>
        <v/>
      </c>
      <c r="G53" s="125" t="str">
        <f>IF('Actual Figures'!G53&lt;&gt;"",'Actual Figures'!G53-'Budget Figures'!G53,"")</f>
        <v/>
      </c>
      <c r="H53" s="125" t="str">
        <f>IF('Actual Figures'!H53&lt;&gt;"",'Actual Figures'!H53-'Budget Figures'!H53,"")</f>
        <v/>
      </c>
      <c r="I53" s="125" t="str">
        <f>IF('Actual Figures'!I53&lt;&gt;"",'Actual Figures'!I53-'Budget Figures'!I53,"")</f>
        <v/>
      </c>
      <c r="J53" s="125" t="str">
        <f>IF('Actual Figures'!J53&lt;&gt;"",'Actual Figures'!J53-'Budget Figures'!J53,"")</f>
        <v/>
      </c>
      <c r="K53" s="125" t="str">
        <f>IF('Actual Figures'!K53&lt;&gt;"",'Actual Figures'!K53-'Budget Figures'!K53,"")</f>
        <v/>
      </c>
      <c r="L53" s="125" t="str">
        <f>IF('Actual Figures'!L53&lt;&gt;"",'Actual Figures'!L53-'Budget Figures'!L53,"")</f>
        <v/>
      </c>
      <c r="M53" s="125" t="str">
        <f>IF('Actual Figures'!M53&lt;&gt;"",'Actual Figures'!M53-'Budget Figures'!M53,"")</f>
        <v/>
      </c>
      <c r="N53" s="125" t="str">
        <f>IF('Actual Figures'!N53&lt;&gt;"",'Actual Figures'!N53-'Budget Figures'!N53,"")</f>
        <v/>
      </c>
      <c r="O53" s="125" t="str">
        <f>IF('Actual Figures'!O53&lt;&gt;"",'Actual Figures'!O53-'Budget Figures'!O53,"")</f>
        <v/>
      </c>
      <c r="P53" s="115"/>
      <c r="Q53" s="67">
        <f t="shared" si="3"/>
        <v>0</v>
      </c>
      <c r="R53" s="114"/>
      <c r="S53" s="113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</row>
    <row r="54" ht="12.75" customHeight="1">
      <c r="A54" s="113"/>
      <c r="B54" s="115"/>
      <c r="C54" s="84" t="s">
        <v>64</v>
      </c>
      <c r="D54" s="125" t="str">
        <f>IF('Actual Figures'!D54&lt;&gt;"",'Actual Figures'!D54-'Budget Figures'!D54,"")</f>
        <v/>
      </c>
      <c r="E54" s="125" t="str">
        <f>IF('Actual Figures'!E54&lt;&gt;"",'Actual Figures'!E54-'Budget Figures'!E54,"")</f>
        <v/>
      </c>
      <c r="F54" s="125" t="str">
        <f>IF('Actual Figures'!F54&lt;&gt;"",'Actual Figures'!F54-'Budget Figures'!F54,"")</f>
        <v/>
      </c>
      <c r="G54" s="125" t="str">
        <f>IF('Actual Figures'!G54&lt;&gt;"",'Actual Figures'!G54-'Budget Figures'!G54,"")</f>
        <v/>
      </c>
      <c r="H54" s="125" t="str">
        <f>IF('Actual Figures'!H54&lt;&gt;"",'Actual Figures'!H54-'Budget Figures'!H54,"")</f>
        <v/>
      </c>
      <c r="I54" s="125" t="str">
        <f>IF('Actual Figures'!I54&lt;&gt;"",'Actual Figures'!I54-'Budget Figures'!I54,"")</f>
        <v/>
      </c>
      <c r="J54" s="125" t="str">
        <f>IF('Actual Figures'!J54&lt;&gt;"",'Actual Figures'!J54-'Budget Figures'!J54,"")</f>
        <v/>
      </c>
      <c r="K54" s="125" t="str">
        <f>IF('Actual Figures'!K54&lt;&gt;"",'Actual Figures'!K54-'Budget Figures'!K54,"")</f>
        <v/>
      </c>
      <c r="L54" s="125" t="str">
        <f>IF('Actual Figures'!L54&lt;&gt;"",'Actual Figures'!L54-'Budget Figures'!L54,"")</f>
        <v/>
      </c>
      <c r="M54" s="125" t="str">
        <f>IF('Actual Figures'!M54&lt;&gt;"",'Actual Figures'!M54-'Budget Figures'!M54,"")</f>
        <v/>
      </c>
      <c r="N54" s="125" t="str">
        <f>IF('Actual Figures'!N54&lt;&gt;"",'Actual Figures'!N54-'Budget Figures'!N54,"")</f>
        <v/>
      </c>
      <c r="O54" s="125" t="str">
        <f>IF('Actual Figures'!O54&lt;&gt;"",'Actual Figures'!O54-'Budget Figures'!O54,"")</f>
        <v/>
      </c>
      <c r="P54" s="115"/>
      <c r="Q54" s="67">
        <f t="shared" si="3"/>
        <v>0</v>
      </c>
      <c r="R54" s="114"/>
      <c r="S54" s="113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</row>
    <row r="55" ht="12.75" customHeight="1">
      <c r="A55" s="113"/>
      <c r="B55" s="115"/>
      <c r="C55" s="88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5"/>
      <c r="Q55" s="114"/>
      <c r="R55" s="114"/>
      <c r="S55" s="113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</row>
    <row r="56" ht="12.75" customHeight="1">
      <c r="A56" s="113"/>
      <c r="B56" s="115"/>
      <c r="C56" s="133" t="s">
        <v>65</v>
      </c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5"/>
      <c r="Q56" s="114"/>
      <c r="R56" s="114"/>
      <c r="S56" s="113"/>
      <c r="T56" s="114"/>
      <c r="U56" s="114"/>
      <c r="V56" s="114"/>
      <c r="W56" s="114"/>
      <c r="X56" s="114"/>
      <c r="Y56" s="114"/>
      <c r="Z56" s="114"/>
      <c r="AA56" s="114"/>
      <c r="AB56" s="114"/>
      <c r="AC56" s="114"/>
      <c r="AD56" s="114"/>
      <c r="AE56" s="114"/>
    </row>
    <row r="57" ht="12.75" customHeight="1">
      <c r="A57" s="113"/>
      <c r="B57" s="115"/>
      <c r="C57" s="88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5"/>
      <c r="Q57" s="114"/>
      <c r="R57" s="114"/>
      <c r="S57" s="113"/>
      <c r="T57" s="114"/>
      <c r="U57" s="114"/>
      <c r="V57" s="114"/>
      <c r="W57" s="114"/>
      <c r="X57" s="114"/>
      <c r="Y57" s="114"/>
      <c r="Z57" s="114"/>
      <c r="AA57" s="114"/>
      <c r="AB57" s="114"/>
      <c r="AC57" s="114"/>
      <c r="AD57" s="114"/>
      <c r="AE57" s="114"/>
    </row>
    <row r="58" ht="12.75" customHeight="1">
      <c r="A58" s="113"/>
      <c r="B58" s="115"/>
      <c r="C58" s="134" t="s">
        <v>66</v>
      </c>
      <c r="D58" s="125">
        <f>IF('Actual Figures'!D58&lt;&gt;"",'Actual Figures'!D58-'Budget Figures'!D58,"")</f>
        <v>0</v>
      </c>
      <c r="E58" s="125">
        <f>IF('Actual Figures'!E58&lt;&gt;"",'Actual Figures'!E58-'Budget Figures'!E58,"")</f>
        <v>0</v>
      </c>
      <c r="F58" s="125">
        <f>IF('Actual Figures'!F58&lt;&gt;"",'Actual Figures'!F58-'Budget Figures'!F58,"")</f>
        <v>0</v>
      </c>
      <c r="G58" s="125">
        <f>IF('Actual Figures'!G58&lt;&gt;"",'Actual Figures'!G58-'Budget Figures'!G58,"")</f>
        <v>0</v>
      </c>
      <c r="H58" s="125">
        <f>IF('Actual Figures'!H58&lt;&gt;"",'Actual Figures'!H58-'Budget Figures'!H58,"")</f>
        <v>0</v>
      </c>
      <c r="I58" s="125">
        <f>IF('Actual Figures'!I58&lt;&gt;"",'Actual Figures'!I58-'Budget Figures'!I58,"")</f>
        <v>0</v>
      </c>
      <c r="J58" s="125">
        <f>IF('Actual Figures'!J58&lt;&gt;"",'Actual Figures'!J58-'Budget Figures'!J58,"")</f>
        <v>0</v>
      </c>
      <c r="K58" s="125">
        <f>IF('Actual Figures'!K58&lt;&gt;"",'Actual Figures'!K58-'Budget Figures'!K58,"")</f>
        <v>0</v>
      </c>
      <c r="L58" s="125">
        <f>IF('Actual Figures'!L58&lt;&gt;"",'Actual Figures'!L58-'Budget Figures'!L58,"")</f>
        <v>0</v>
      </c>
      <c r="M58" s="125">
        <f>IF('Actual Figures'!M58&lt;&gt;"",'Actual Figures'!M58-'Budget Figures'!M58,"")</f>
        <v>0</v>
      </c>
      <c r="N58" s="125">
        <f>IF('Actual Figures'!N58&lt;&gt;"",'Actual Figures'!N58-'Budget Figures'!N58,"")</f>
        <v>0</v>
      </c>
      <c r="O58" s="125">
        <f>IF('Actual Figures'!O58&lt;&gt;"",'Actual Figures'!O58-'Budget Figures'!O58,"")</f>
        <v>0</v>
      </c>
      <c r="P58" s="115"/>
      <c r="Q58" s="67">
        <f t="shared" ref="Q58:Q62" si="4">SUM(D58:O58)</f>
        <v>0</v>
      </c>
      <c r="R58" s="114"/>
      <c r="S58" s="113"/>
      <c r="T58" s="114"/>
      <c r="U58" s="114"/>
      <c r="V58" s="114"/>
      <c r="W58" s="114"/>
      <c r="X58" s="114"/>
      <c r="Y58" s="114"/>
      <c r="Z58" s="114"/>
      <c r="AA58" s="114"/>
      <c r="AB58" s="114"/>
      <c r="AC58" s="114"/>
      <c r="AD58" s="114"/>
      <c r="AE58" s="114"/>
    </row>
    <row r="59" ht="12.75" customHeight="1">
      <c r="A59" s="113"/>
      <c r="B59" s="115"/>
      <c r="C59" s="134" t="s">
        <v>67</v>
      </c>
      <c r="D59" s="125">
        <f>IF('Actual Figures'!D59&lt;&gt;"",'Actual Figures'!D59-'Budget Figures'!D59,"")</f>
        <v>0</v>
      </c>
      <c r="E59" s="125">
        <f>IF('Actual Figures'!E59&lt;&gt;"",'Actual Figures'!E59-'Budget Figures'!E59,"")</f>
        <v>0</v>
      </c>
      <c r="F59" s="125">
        <f>IF('Actual Figures'!F59&lt;&gt;"",'Actual Figures'!F59-'Budget Figures'!F59,"")</f>
        <v>0</v>
      </c>
      <c r="G59" s="125">
        <f>IF('Actual Figures'!G59&lt;&gt;"",'Actual Figures'!G59-'Budget Figures'!G59,"")</f>
        <v>0</v>
      </c>
      <c r="H59" s="125">
        <f>IF('Actual Figures'!H59&lt;&gt;"",'Actual Figures'!H59-'Budget Figures'!H59,"")</f>
        <v>0</v>
      </c>
      <c r="I59" s="125">
        <f>IF('Actual Figures'!I59&lt;&gt;"",'Actual Figures'!I59-'Budget Figures'!I59,"")</f>
        <v>0</v>
      </c>
      <c r="J59" s="125">
        <f>IF('Actual Figures'!J59&lt;&gt;"",'Actual Figures'!J59-'Budget Figures'!J59,"")</f>
        <v>0</v>
      </c>
      <c r="K59" s="125">
        <f>IF('Actual Figures'!K59&lt;&gt;"",'Actual Figures'!K59-'Budget Figures'!K59,"")</f>
        <v>0</v>
      </c>
      <c r="L59" s="125">
        <f>IF('Actual Figures'!L59&lt;&gt;"",'Actual Figures'!L59-'Budget Figures'!L59,"")</f>
        <v>0</v>
      </c>
      <c r="M59" s="125">
        <f>IF('Actual Figures'!M59&lt;&gt;"",'Actual Figures'!M59-'Budget Figures'!M59,"")</f>
        <v>0</v>
      </c>
      <c r="N59" s="125">
        <f>IF('Actual Figures'!N59&lt;&gt;"",'Actual Figures'!N59-'Budget Figures'!N59,"")</f>
        <v>0</v>
      </c>
      <c r="O59" s="125">
        <f>IF('Actual Figures'!O59&lt;&gt;"",'Actual Figures'!O59-'Budget Figures'!O59,"")</f>
        <v>0</v>
      </c>
      <c r="P59" s="115"/>
      <c r="Q59" s="67">
        <f t="shared" si="4"/>
        <v>0</v>
      </c>
      <c r="R59" s="114"/>
      <c r="S59" s="113"/>
      <c r="T59" s="114"/>
      <c r="U59" s="114"/>
      <c r="V59" s="114"/>
      <c r="W59" s="114"/>
      <c r="X59" s="114"/>
      <c r="Y59" s="114"/>
      <c r="Z59" s="114"/>
      <c r="AA59" s="114"/>
      <c r="AB59" s="114"/>
      <c r="AC59" s="114"/>
      <c r="AD59" s="114"/>
      <c r="AE59" s="114"/>
    </row>
    <row r="60" ht="12.75" customHeight="1">
      <c r="A60" s="113"/>
      <c r="B60" s="115"/>
      <c r="C60" s="134" t="s">
        <v>59</v>
      </c>
      <c r="D60" s="125" t="str">
        <f>IF('Actual Figures'!D60&lt;&gt;"",'Actual Figures'!D60-'Budget Figures'!D60,"")</f>
        <v/>
      </c>
      <c r="E60" s="125" t="str">
        <f>IF('Actual Figures'!E60&lt;&gt;"",'Actual Figures'!E60-'Budget Figures'!E60,"")</f>
        <v/>
      </c>
      <c r="F60" s="125" t="str">
        <f>IF('Actual Figures'!F60&lt;&gt;"",'Actual Figures'!F60-'Budget Figures'!F60,"")</f>
        <v/>
      </c>
      <c r="G60" s="125" t="str">
        <f>IF('Actual Figures'!G60&lt;&gt;"",'Actual Figures'!G60-'Budget Figures'!G60,"")</f>
        <v/>
      </c>
      <c r="H60" s="125" t="str">
        <f>IF('Actual Figures'!H60&lt;&gt;"",'Actual Figures'!H60-'Budget Figures'!H60,"")</f>
        <v/>
      </c>
      <c r="I60" s="125" t="str">
        <f>IF('Actual Figures'!I60&lt;&gt;"",'Actual Figures'!I60-'Budget Figures'!I60,"")</f>
        <v/>
      </c>
      <c r="J60" s="125" t="str">
        <f>IF('Actual Figures'!J60&lt;&gt;"",'Actual Figures'!J60-'Budget Figures'!J60,"")</f>
        <v/>
      </c>
      <c r="K60" s="125" t="str">
        <f>IF('Actual Figures'!K60&lt;&gt;"",'Actual Figures'!K60-'Budget Figures'!K60,"")</f>
        <v/>
      </c>
      <c r="L60" s="125" t="str">
        <f>IF('Actual Figures'!L60&lt;&gt;"",'Actual Figures'!L60-'Budget Figures'!L60,"")</f>
        <v/>
      </c>
      <c r="M60" s="125" t="str">
        <f>IF('Actual Figures'!M60&lt;&gt;"",'Actual Figures'!M60-'Budget Figures'!M60,"")</f>
        <v/>
      </c>
      <c r="N60" s="125" t="str">
        <f>IF('Actual Figures'!N60&lt;&gt;"",'Actual Figures'!N60-'Budget Figures'!N60,"")</f>
        <v/>
      </c>
      <c r="O60" s="125" t="str">
        <f>IF('Actual Figures'!O60&lt;&gt;"",'Actual Figures'!O60-'Budget Figures'!O60,"")</f>
        <v/>
      </c>
      <c r="P60" s="115"/>
      <c r="Q60" s="67">
        <f t="shared" si="4"/>
        <v>0</v>
      </c>
      <c r="R60" s="114"/>
      <c r="S60" s="113"/>
      <c r="T60" s="114"/>
      <c r="U60" s="114"/>
      <c r="V60" s="114"/>
      <c r="W60" s="114"/>
      <c r="X60" s="114"/>
      <c r="Y60" s="114"/>
      <c r="Z60" s="114"/>
      <c r="AA60" s="114"/>
      <c r="AB60" s="114"/>
      <c r="AC60" s="114"/>
      <c r="AD60" s="114"/>
      <c r="AE60" s="114"/>
    </row>
    <row r="61" ht="12.75" customHeight="1">
      <c r="A61" s="113"/>
      <c r="B61" s="115"/>
      <c r="C61" s="134" t="s">
        <v>60</v>
      </c>
      <c r="D61" s="125" t="str">
        <f>IF('Actual Figures'!D61&lt;&gt;"",'Actual Figures'!D61-'Budget Figures'!D61,"")</f>
        <v/>
      </c>
      <c r="E61" s="125" t="str">
        <f>IF('Actual Figures'!E61&lt;&gt;"",'Actual Figures'!E61-'Budget Figures'!E61,"")</f>
        <v/>
      </c>
      <c r="F61" s="125" t="str">
        <f>IF('Actual Figures'!F61&lt;&gt;"",'Actual Figures'!F61-'Budget Figures'!F61,"")</f>
        <v/>
      </c>
      <c r="G61" s="125" t="str">
        <f>IF('Actual Figures'!G61&lt;&gt;"",'Actual Figures'!G61-'Budget Figures'!G61,"")</f>
        <v/>
      </c>
      <c r="H61" s="125" t="str">
        <f>IF('Actual Figures'!H61&lt;&gt;"",'Actual Figures'!H61-'Budget Figures'!H61,"")</f>
        <v/>
      </c>
      <c r="I61" s="125" t="str">
        <f>IF('Actual Figures'!I61&lt;&gt;"",'Actual Figures'!I61-'Budget Figures'!I61,"")</f>
        <v/>
      </c>
      <c r="J61" s="125" t="str">
        <f>IF('Actual Figures'!J61&lt;&gt;"",'Actual Figures'!J61-'Budget Figures'!J61,"")</f>
        <v/>
      </c>
      <c r="K61" s="125" t="str">
        <f>IF('Actual Figures'!K61&lt;&gt;"",'Actual Figures'!K61-'Budget Figures'!K61,"")</f>
        <v/>
      </c>
      <c r="L61" s="125" t="str">
        <f>IF('Actual Figures'!L61&lt;&gt;"",'Actual Figures'!L61-'Budget Figures'!L61,"")</f>
        <v/>
      </c>
      <c r="M61" s="125" t="str">
        <f>IF('Actual Figures'!M61&lt;&gt;"",'Actual Figures'!M61-'Budget Figures'!M61,"")</f>
        <v/>
      </c>
      <c r="N61" s="125" t="str">
        <f>IF('Actual Figures'!N61&lt;&gt;"",'Actual Figures'!N61-'Budget Figures'!N61,"")</f>
        <v/>
      </c>
      <c r="O61" s="125" t="str">
        <f>IF('Actual Figures'!O61&lt;&gt;"",'Actual Figures'!O61-'Budget Figures'!O61,"")</f>
        <v/>
      </c>
      <c r="P61" s="115"/>
      <c r="Q61" s="67">
        <f t="shared" si="4"/>
        <v>0</v>
      </c>
      <c r="R61" s="114"/>
      <c r="S61" s="113"/>
      <c r="T61" s="114"/>
      <c r="U61" s="114"/>
      <c r="V61" s="114"/>
      <c r="W61" s="114"/>
      <c r="X61" s="114"/>
      <c r="Y61" s="114"/>
      <c r="Z61" s="114"/>
      <c r="AA61" s="114"/>
      <c r="AB61" s="114"/>
      <c r="AC61" s="114"/>
      <c r="AD61" s="114"/>
      <c r="AE61" s="114"/>
    </row>
    <row r="62" ht="12.75" customHeight="1">
      <c r="A62" s="113"/>
      <c r="B62" s="115"/>
      <c r="C62" s="134" t="s">
        <v>61</v>
      </c>
      <c r="D62" s="125" t="str">
        <f>IF('Actual Figures'!D62&lt;&gt;"",'Actual Figures'!D62-'Budget Figures'!D62,"")</f>
        <v/>
      </c>
      <c r="E62" s="125" t="str">
        <f>IF('Actual Figures'!E62&lt;&gt;"",'Actual Figures'!E62-'Budget Figures'!E62,"")</f>
        <v/>
      </c>
      <c r="F62" s="125" t="str">
        <f>IF('Actual Figures'!F62&lt;&gt;"",'Actual Figures'!F62-'Budget Figures'!F62,"")</f>
        <v/>
      </c>
      <c r="G62" s="125" t="str">
        <f>IF('Actual Figures'!G62&lt;&gt;"",'Actual Figures'!G62-'Budget Figures'!G62,"")</f>
        <v/>
      </c>
      <c r="H62" s="125" t="str">
        <f>IF('Actual Figures'!H62&lt;&gt;"",'Actual Figures'!H62-'Budget Figures'!H62,"")</f>
        <v/>
      </c>
      <c r="I62" s="125" t="str">
        <f>IF('Actual Figures'!I62&lt;&gt;"",'Actual Figures'!I62-'Budget Figures'!I62,"")</f>
        <v/>
      </c>
      <c r="J62" s="125" t="str">
        <f>IF('Actual Figures'!J62&lt;&gt;"",'Actual Figures'!J62-'Budget Figures'!J62,"")</f>
        <v/>
      </c>
      <c r="K62" s="125" t="str">
        <f>IF('Actual Figures'!K62&lt;&gt;"",'Actual Figures'!K62-'Budget Figures'!K62,"")</f>
        <v/>
      </c>
      <c r="L62" s="125" t="str">
        <f>IF('Actual Figures'!L62&lt;&gt;"",'Actual Figures'!L62-'Budget Figures'!L62,"")</f>
        <v/>
      </c>
      <c r="M62" s="125" t="str">
        <f>IF('Actual Figures'!M62&lt;&gt;"",'Actual Figures'!M62-'Budget Figures'!M62,"")</f>
        <v/>
      </c>
      <c r="N62" s="125" t="str">
        <f>IF('Actual Figures'!N62&lt;&gt;"",'Actual Figures'!N62-'Budget Figures'!N62,"")</f>
        <v/>
      </c>
      <c r="O62" s="125" t="str">
        <f>IF('Actual Figures'!O62&lt;&gt;"",'Actual Figures'!O62-'Budget Figures'!O62,"")</f>
        <v/>
      </c>
      <c r="P62" s="115"/>
      <c r="Q62" s="67">
        <f t="shared" si="4"/>
        <v>0</v>
      </c>
      <c r="R62" s="114"/>
      <c r="S62" s="113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</row>
    <row r="63" ht="12.75" customHeight="1">
      <c r="A63" s="113"/>
      <c r="B63" s="115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5"/>
      <c r="Q63" s="114"/>
      <c r="R63" s="114"/>
      <c r="S63" s="113"/>
      <c r="T63" s="114"/>
      <c r="U63" s="114"/>
      <c r="V63" s="114"/>
      <c r="W63" s="114"/>
      <c r="X63" s="114"/>
      <c r="Y63" s="114"/>
      <c r="Z63" s="114"/>
      <c r="AA63" s="114"/>
      <c r="AB63" s="114"/>
      <c r="AC63" s="114"/>
      <c r="AD63" s="114"/>
      <c r="AE63" s="114"/>
    </row>
    <row r="64" ht="12.75" customHeight="1">
      <c r="A64" s="113"/>
      <c r="B64" s="115"/>
      <c r="C64" s="72" t="s">
        <v>68</v>
      </c>
      <c r="D64" s="78">
        <f>IF('Actual Figures'!D64&lt;&gt;"",'Actual Figures'!D64-'Budget Figures'!D64,"")</f>
        <v>0</v>
      </c>
      <c r="E64" s="78">
        <f>IF('Actual Figures'!E64&lt;&gt;"",'Actual Figures'!E64-'Budget Figures'!E64,"")</f>
        <v>400</v>
      </c>
      <c r="F64" s="78">
        <f>IF('Actual Figures'!F64&lt;&gt;"",'Actual Figures'!F64-'Budget Figures'!F64,"")</f>
        <v>250</v>
      </c>
      <c r="G64" s="78">
        <f>IF('Actual Figures'!G64&lt;&gt;"",'Actual Figures'!G64-'Budget Figures'!G64,"")</f>
        <v>0</v>
      </c>
      <c r="H64" s="78">
        <f>IF('Actual Figures'!H64&lt;&gt;"",'Actual Figures'!H64-'Budget Figures'!H64,"")</f>
        <v>1100</v>
      </c>
      <c r="I64" s="78">
        <f>IF('Actual Figures'!I64&lt;&gt;"",'Actual Figures'!I64-'Budget Figures'!I64,"")</f>
        <v>500</v>
      </c>
      <c r="J64" s="78">
        <f>IF('Actual Figures'!J64&lt;&gt;"",'Actual Figures'!J64-'Budget Figures'!J64,"")</f>
        <v>0</v>
      </c>
      <c r="K64" s="78">
        <f>IF('Actual Figures'!K64&lt;&gt;"",'Actual Figures'!K64-'Budget Figures'!K64,"")</f>
        <v>0</v>
      </c>
      <c r="L64" s="78">
        <f>IF('Actual Figures'!L64&lt;&gt;"",'Actual Figures'!L64-'Budget Figures'!L64,"")</f>
        <v>650</v>
      </c>
      <c r="M64" s="78">
        <f>IF('Actual Figures'!M64&lt;&gt;"",'Actual Figures'!M64-'Budget Figures'!M64,"")</f>
        <v>0</v>
      </c>
      <c r="N64" s="78">
        <f>IF('Actual Figures'!N64&lt;&gt;"",'Actual Figures'!N64-'Budget Figures'!N64,"")</f>
        <v>0</v>
      </c>
      <c r="O64" s="78">
        <f>IF('Actual Figures'!O64&lt;&gt;"",'Actual Figures'!O64-'Budget Figures'!O64,"")</f>
        <v>0</v>
      </c>
      <c r="P64" s="115"/>
      <c r="Q64" s="73">
        <f>SUM(D64:O64)</f>
        <v>2900</v>
      </c>
      <c r="R64" s="114"/>
      <c r="S64" s="113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</row>
    <row r="65" ht="12.75" customHeight="1">
      <c r="A65" s="113"/>
      <c r="B65" s="115"/>
      <c r="C65" s="135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115"/>
      <c r="Q65" s="74"/>
      <c r="R65" s="114"/>
      <c r="S65" s="113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</row>
    <row r="66" ht="12.75" customHeight="1">
      <c r="A66" s="113"/>
      <c r="B66" s="115"/>
      <c r="C66" s="91" t="s">
        <v>69</v>
      </c>
      <c r="D66" s="129">
        <f>IF('Actual Figures'!D66&lt;&gt;"",'Actual Figures'!D66-'Budget Figures'!D66,"")</f>
        <v>20000</v>
      </c>
      <c r="E66" s="129">
        <f>IF('Actual Figures'!E66&lt;&gt;"",'Actual Figures'!E66-'Budget Figures'!E66,"")</f>
        <v>16750</v>
      </c>
      <c r="F66" s="129">
        <f>IF('Actual Figures'!F66&lt;&gt;"",'Actual Figures'!F66-'Budget Figures'!F66,"")</f>
        <v>12750</v>
      </c>
      <c r="G66" s="129">
        <f>IF('Actual Figures'!G66&lt;&gt;"",'Actual Figures'!G66-'Budget Figures'!G66,"")</f>
        <v>-20000</v>
      </c>
      <c r="H66" s="129">
        <f>IF('Actual Figures'!H66&lt;&gt;"",'Actual Figures'!H66-'Budget Figures'!H66,"")</f>
        <v>-2000</v>
      </c>
      <c r="I66" s="129">
        <f>IF('Actual Figures'!I66&lt;&gt;"",'Actual Figures'!I66-'Budget Figures'!I66,"")</f>
        <v>6000</v>
      </c>
      <c r="J66" s="129">
        <f>IF('Actual Figures'!J66&lt;&gt;"",'Actual Figures'!J66-'Budget Figures'!J66,"")</f>
        <v>-11750</v>
      </c>
      <c r="K66" s="129">
        <f>IF('Actual Figures'!K66&lt;&gt;"",'Actual Figures'!K66-'Budget Figures'!K66,"")</f>
        <v>4125</v>
      </c>
      <c r="L66" s="129">
        <f>IF('Actual Figures'!L66&lt;&gt;"",'Actual Figures'!L66-'Budget Figures'!L66,"")</f>
        <v>11500</v>
      </c>
      <c r="M66" s="129">
        <f>IF('Actual Figures'!M66&lt;&gt;"",'Actual Figures'!M66-'Budget Figures'!M66,"")</f>
        <v>8125</v>
      </c>
      <c r="N66" s="129">
        <f>IF('Actual Figures'!N66&lt;&gt;"",'Actual Figures'!N66-'Budget Figures'!N66,"")</f>
        <v>-9750</v>
      </c>
      <c r="O66" s="129">
        <f>IF('Actual Figures'!O66&lt;&gt;"",'Actual Figures'!O66-'Budget Figures'!O66,"")</f>
        <v>3640</v>
      </c>
      <c r="P66" s="115"/>
      <c r="Q66" s="74"/>
      <c r="R66" s="114"/>
      <c r="S66" s="113"/>
      <c r="T66" s="114"/>
      <c r="U66" s="114"/>
      <c r="V66" s="114"/>
      <c r="W66" s="114"/>
      <c r="X66" s="114"/>
      <c r="Y66" s="114"/>
      <c r="Z66" s="114"/>
      <c r="AA66" s="114"/>
      <c r="AB66" s="114"/>
      <c r="AC66" s="114"/>
      <c r="AD66" s="114"/>
      <c r="AE66" s="114"/>
    </row>
    <row r="67" ht="12.75" customHeight="1">
      <c r="A67" s="113"/>
      <c r="B67" s="115"/>
      <c r="C67" s="94" t="s">
        <v>70</v>
      </c>
      <c r="D67" s="129">
        <f>IF('Actual Figures'!D67&lt;&gt;"",'Actual Figures'!D67-'Budget Figures'!D67,"")</f>
        <v>9100</v>
      </c>
      <c r="E67" s="129">
        <f>IF('Actual Figures'!E67&lt;&gt;"",'Actual Figures'!E67-'Budget Figures'!E67,"")</f>
        <v>2450</v>
      </c>
      <c r="F67" s="129">
        <f>IF('Actual Figures'!F67&lt;&gt;"",'Actual Figures'!F67-'Budget Figures'!F67,"")</f>
        <v>2450</v>
      </c>
      <c r="G67" s="129">
        <f>IF('Actual Figures'!G67&lt;&gt;"",'Actual Figures'!G67-'Budget Figures'!G67,"")</f>
        <v>-4050</v>
      </c>
      <c r="H67" s="129">
        <f>IF('Actual Figures'!H67&lt;&gt;"",'Actual Figures'!H67-'Budget Figures'!H67,"")</f>
        <v>6400</v>
      </c>
      <c r="I67" s="129">
        <f>IF('Actual Figures'!I67&lt;&gt;"",'Actual Figures'!I67-'Budget Figures'!I67,"")</f>
        <v>-2600</v>
      </c>
      <c r="J67" s="129">
        <f>IF('Actual Figures'!J67&lt;&gt;"",'Actual Figures'!J67-'Budget Figures'!J67,"")</f>
        <v>-6830</v>
      </c>
      <c r="K67" s="129">
        <f>IF('Actual Figures'!K67&lt;&gt;"",'Actual Figures'!K67-'Budget Figures'!K67,"")</f>
        <v>4010</v>
      </c>
      <c r="L67" s="129">
        <f>IF('Actual Figures'!L67&lt;&gt;"",'Actual Figures'!L67-'Budget Figures'!L67,"")</f>
        <v>3070</v>
      </c>
      <c r="M67" s="129">
        <f>IF('Actual Figures'!M67&lt;&gt;"",'Actual Figures'!M67-'Budget Figures'!M67,"")</f>
        <v>5050</v>
      </c>
      <c r="N67" s="129">
        <f>IF('Actual Figures'!N67&lt;&gt;"",'Actual Figures'!N67-'Budget Figures'!N67,"")</f>
        <v>-5950</v>
      </c>
      <c r="O67" s="129">
        <f>IF('Actual Figures'!O67&lt;&gt;"",'Actual Figures'!O67-'Budget Figures'!O67,"")</f>
        <v>4450</v>
      </c>
      <c r="P67" s="115"/>
      <c r="Q67" s="74"/>
      <c r="R67" s="114"/>
      <c r="S67" s="113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</row>
    <row r="68" ht="12.75" customHeight="1">
      <c r="A68" s="113"/>
      <c r="B68" s="115"/>
      <c r="C68" s="97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98"/>
      <c r="P68" s="115"/>
      <c r="Q68" s="74"/>
      <c r="R68" s="114"/>
      <c r="S68" s="113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</row>
    <row r="69" ht="12.75" customHeight="1">
      <c r="A69" s="113"/>
      <c r="B69" s="115"/>
      <c r="C69" s="99" t="s">
        <v>71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98"/>
      <c r="P69" s="115"/>
      <c r="Q69" s="74"/>
      <c r="R69" s="114"/>
      <c r="S69" s="113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</row>
    <row r="70" ht="12.75" customHeight="1">
      <c r="A70" s="113"/>
      <c r="B70" s="115"/>
      <c r="C70" s="136" t="s">
        <v>72</v>
      </c>
      <c r="D70" s="129">
        <f>IF('Actual Figures'!D70&lt;&gt;"",'Actual Figures'!D70-'Budget Figures'!D70,"")</f>
        <v>1186.956522</v>
      </c>
      <c r="E70" s="129">
        <f>IF('Actual Figures'!E70&lt;&gt;"",'Actual Figures'!E70-'Budget Figures'!E70,"")</f>
        <v>319.5652174</v>
      </c>
      <c r="F70" s="129">
        <f>IF('Actual Figures'!F70&lt;&gt;"",'Actual Figures'!F70-'Budget Figures'!F70,"")</f>
        <v>319.5652174</v>
      </c>
      <c r="G70" s="129">
        <f>IF('Actual Figures'!G70&lt;&gt;"",'Actual Figures'!G70-'Budget Figures'!G70,"")</f>
        <v>-528.2608696</v>
      </c>
      <c r="H70" s="129">
        <f>IF('Actual Figures'!H70&lt;&gt;"",'Actual Figures'!H70-'Budget Figures'!H70,"")</f>
        <v>834.7826087</v>
      </c>
      <c r="I70" s="129">
        <f>IF('Actual Figures'!I70&lt;&gt;"",'Actual Figures'!I70-'Budget Figures'!I70,"")</f>
        <v>-339.1304348</v>
      </c>
      <c r="J70" s="129">
        <f>IF('Actual Figures'!J70&lt;&gt;"",'Actual Figures'!J70-'Budget Figures'!J70,"")</f>
        <v>-890.8695652</v>
      </c>
      <c r="K70" s="129">
        <f>IF('Actual Figures'!K70&lt;&gt;"",'Actual Figures'!K70-'Budget Figures'!K70,"")</f>
        <v>523.0434783</v>
      </c>
      <c r="L70" s="129">
        <f>IF('Actual Figures'!L70&lt;&gt;"",'Actual Figures'!L70-'Budget Figures'!L70,"")</f>
        <v>400.4347826</v>
      </c>
      <c r="M70" s="129">
        <f>IF('Actual Figures'!M70&lt;&gt;"",'Actual Figures'!M70-'Budget Figures'!M70,"")</f>
        <v>658.6956522</v>
      </c>
      <c r="N70" s="129">
        <f>IF('Actual Figures'!N70&lt;&gt;"",'Actual Figures'!N70-'Budget Figures'!N70,"")</f>
        <v>-776.0869565</v>
      </c>
      <c r="O70" s="129">
        <f>IF('Actual Figures'!O70&lt;&gt;"",'Actual Figures'!O70-'Budget Figures'!O70,"")</f>
        <v>580.4347826</v>
      </c>
      <c r="P70" s="115"/>
      <c r="Q70" s="67">
        <f t="shared" ref="Q70:Q72" si="5">SUM(D70:O70)</f>
        <v>2289.130435</v>
      </c>
      <c r="R70" s="114"/>
      <c r="S70" s="113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</row>
    <row r="71" ht="12.75" customHeight="1">
      <c r="A71" s="113"/>
      <c r="B71" s="115"/>
      <c r="C71" s="136" t="s">
        <v>73</v>
      </c>
      <c r="D71" s="129">
        <f>IF('Actual Figures'!D71&lt;&gt;"",'Actual Figures'!D71-'Budget Figures'!D71,"")</f>
        <v>2608.695652</v>
      </c>
      <c r="E71" s="129">
        <f>IF('Actual Figures'!E71&lt;&gt;"",'Actual Figures'!E71-'Budget Figures'!E71,"")</f>
        <v>2184.782609</v>
      </c>
      <c r="F71" s="129">
        <f>IF('Actual Figures'!F71&lt;&gt;"",'Actual Figures'!F71-'Budget Figures'!F71,"")</f>
        <v>1663.043478</v>
      </c>
      <c r="G71" s="129">
        <f>IF('Actual Figures'!G71&lt;&gt;"",'Actual Figures'!G71-'Budget Figures'!G71,"")</f>
        <v>-2608.695652</v>
      </c>
      <c r="H71" s="129">
        <f>IF('Actual Figures'!H71&lt;&gt;"",'Actual Figures'!H71-'Budget Figures'!H71,"")</f>
        <v>-260.8695652</v>
      </c>
      <c r="I71" s="129">
        <f>IF('Actual Figures'!I71&lt;&gt;"",'Actual Figures'!I71-'Budget Figures'!I71,"")</f>
        <v>782.6086957</v>
      </c>
      <c r="J71" s="129">
        <f>IF('Actual Figures'!J71&lt;&gt;"",'Actual Figures'!J71-'Budget Figures'!J71,"")</f>
        <v>-1532.608696</v>
      </c>
      <c r="K71" s="129">
        <f>IF('Actual Figures'!K71&lt;&gt;"",'Actual Figures'!K71-'Budget Figures'!K71,"")</f>
        <v>538.0434783</v>
      </c>
      <c r="L71" s="129">
        <f>IF('Actual Figures'!L71&lt;&gt;"",'Actual Figures'!L71-'Budget Figures'!L71,"")</f>
        <v>1500</v>
      </c>
      <c r="M71" s="129">
        <f>IF('Actual Figures'!M71&lt;&gt;"",'Actual Figures'!M71-'Budget Figures'!M71,"")</f>
        <v>1059.782609</v>
      </c>
      <c r="N71" s="129">
        <f>IF('Actual Figures'!N71&lt;&gt;"",'Actual Figures'!N71-'Budget Figures'!N71,"")</f>
        <v>-1271.73913</v>
      </c>
      <c r="O71" s="129">
        <f>IF('Actual Figures'!O71&lt;&gt;"",'Actual Figures'!O71-'Budget Figures'!O71,"")</f>
        <v>474.7826087</v>
      </c>
      <c r="P71" s="115"/>
      <c r="Q71" s="67">
        <f t="shared" si="5"/>
        <v>5137.826087</v>
      </c>
      <c r="R71" s="114"/>
      <c r="S71" s="113"/>
      <c r="T71" s="114"/>
      <c r="U71" s="114"/>
      <c r="V71" s="114"/>
      <c r="W71" s="114"/>
      <c r="X71" s="114"/>
      <c r="Y71" s="114"/>
      <c r="Z71" s="114"/>
      <c r="AA71" s="114"/>
      <c r="AB71" s="114"/>
      <c r="AC71" s="114"/>
      <c r="AD71" s="114"/>
      <c r="AE71" s="114"/>
    </row>
    <row r="72" ht="12.75" customHeight="1">
      <c r="A72" s="113"/>
      <c r="B72" s="115"/>
      <c r="C72" s="103" t="s">
        <v>74</v>
      </c>
      <c r="D72" s="78">
        <f>IF('Actual Figures'!D72&lt;&gt;"",'Actual Figures'!D72-'Budget Figures'!D72,"")</f>
        <v>-1421.73913</v>
      </c>
      <c r="E72" s="78">
        <f>IF('Actual Figures'!E72&lt;&gt;"",'Actual Figures'!E72-'Budget Figures'!E72,"")</f>
        <v>-1865.217391</v>
      </c>
      <c r="F72" s="78">
        <f>IF('Actual Figures'!F72&lt;&gt;"",'Actual Figures'!F72-'Budget Figures'!F72,"")</f>
        <v>-1343.478261</v>
      </c>
      <c r="G72" s="78">
        <f>IF('Actual Figures'!G72&lt;&gt;"",'Actual Figures'!G72-'Budget Figures'!G72,"")</f>
        <v>2080.434783</v>
      </c>
      <c r="H72" s="78">
        <f>IF('Actual Figures'!H72&lt;&gt;"",'Actual Figures'!H72-'Budget Figures'!H72,"")</f>
        <v>1095.652174</v>
      </c>
      <c r="I72" s="78">
        <f>IF('Actual Figures'!I72&lt;&gt;"",'Actual Figures'!I72-'Budget Figures'!I72,"")</f>
        <v>-1121.73913</v>
      </c>
      <c r="J72" s="78">
        <f>IF('Actual Figures'!J72&lt;&gt;"",'Actual Figures'!J72-'Budget Figures'!J72,"")</f>
        <v>641.7391304</v>
      </c>
      <c r="K72" s="78">
        <f>IF('Actual Figures'!K72&lt;&gt;"",'Actual Figures'!K72-'Budget Figures'!K72,"")</f>
        <v>-15</v>
      </c>
      <c r="L72" s="78">
        <f>IF('Actual Figures'!L72&lt;&gt;"",'Actual Figures'!L72-'Budget Figures'!L72,"")</f>
        <v>-1099.565217</v>
      </c>
      <c r="M72" s="78">
        <f>IF('Actual Figures'!M72&lt;&gt;"",'Actual Figures'!M72-'Budget Figures'!M72,"")</f>
        <v>-401.0869565</v>
      </c>
      <c r="N72" s="78">
        <f>IF('Actual Figures'!N72&lt;&gt;"",'Actual Figures'!N72-'Budget Figures'!N72,"")</f>
        <v>495.6521739</v>
      </c>
      <c r="O72" s="78">
        <f>IF('Actual Figures'!O72&lt;&gt;"",'Actual Figures'!O72-'Budget Figures'!O72,"")</f>
        <v>105.6521739</v>
      </c>
      <c r="P72" s="115"/>
      <c r="Q72" s="73">
        <f t="shared" si="5"/>
        <v>-2848.695652</v>
      </c>
      <c r="R72" s="114"/>
      <c r="S72" s="113"/>
      <c r="T72" s="114"/>
      <c r="U72" s="114"/>
      <c r="V72" s="114"/>
      <c r="W72" s="114"/>
      <c r="X72" s="114"/>
      <c r="Y72" s="114"/>
      <c r="Z72" s="114"/>
      <c r="AA72" s="114"/>
      <c r="AB72" s="114"/>
      <c r="AC72" s="114"/>
      <c r="AD72" s="114"/>
      <c r="AE72" s="114"/>
    </row>
    <row r="73" ht="12.75" customHeight="1">
      <c r="A73" s="113"/>
      <c r="B73" s="115"/>
      <c r="C73" s="135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15"/>
      <c r="Q73" s="106"/>
      <c r="R73" s="114"/>
      <c r="S73" s="113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</row>
    <row r="74" ht="12.75" customHeight="1">
      <c r="A74" s="113"/>
      <c r="B74" s="115"/>
      <c r="C74" s="107" t="s">
        <v>75</v>
      </c>
      <c r="D74" s="78">
        <f>IF('Actual Figures'!D74&lt;&gt;"",'Actual Figures'!D74-'Budget Figures'!D74,"")</f>
        <v>12321.73913</v>
      </c>
      <c r="E74" s="78">
        <f>IF('Actual Figures'!E74&lt;&gt;"",'Actual Figures'!E74-'Budget Figures'!E74,"")</f>
        <v>16165.21739</v>
      </c>
      <c r="F74" s="78">
        <f>IF('Actual Figures'!F74&lt;&gt;"",'Actual Figures'!F74-'Budget Figures'!F74,"")</f>
        <v>11643.47826</v>
      </c>
      <c r="G74" s="78">
        <f>IF('Actual Figures'!G74&lt;&gt;"",'Actual Figures'!G74-'Budget Figures'!G74,"")</f>
        <v>-18030.43478</v>
      </c>
      <c r="H74" s="78">
        <f>IF('Actual Figures'!H74&lt;&gt;"",'Actual Figures'!H74-'Budget Figures'!H74,"")</f>
        <v>-9495.652174</v>
      </c>
      <c r="I74" s="78">
        <f>IF('Actual Figures'!I74&lt;&gt;"",'Actual Figures'!I74-'Budget Figures'!I74,"")</f>
        <v>9721.73913</v>
      </c>
      <c r="J74" s="78">
        <f>IF('Actual Figures'!J74&lt;&gt;"",'Actual Figures'!J74-'Budget Figures'!J74,"")</f>
        <v>-5561.73913</v>
      </c>
      <c r="K74" s="78">
        <f>IF('Actual Figures'!K74&lt;&gt;"",'Actual Figures'!K74-'Budget Figures'!K74,"")</f>
        <v>130</v>
      </c>
      <c r="L74" s="78">
        <f>IF('Actual Figures'!L74&lt;&gt;"",'Actual Figures'!L74-'Budget Figures'!L74,"")</f>
        <v>9529.565217</v>
      </c>
      <c r="M74" s="78">
        <f>IF('Actual Figures'!M74&lt;&gt;"",'Actual Figures'!M74-'Budget Figures'!M74,"")</f>
        <v>3476.086957</v>
      </c>
      <c r="N74" s="78">
        <f>IF('Actual Figures'!N74&lt;&gt;"",'Actual Figures'!N74-'Budget Figures'!N74,"")</f>
        <v>-4295.652174</v>
      </c>
      <c r="O74" s="78">
        <f>IF('Actual Figures'!O74&lt;&gt;"",'Actual Figures'!O74-'Budget Figures'!O74,"")</f>
        <v>-915.6521739</v>
      </c>
      <c r="P74" s="115"/>
      <c r="Q74" s="73">
        <f>SUM(D74:O74)</f>
        <v>24688.69565</v>
      </c>
      <c r="R74" s="114"/>
      <c r="S74" s="113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</row>
    <row r="75" ht="12.75" customHeight="1">
      <c r="A75" s="113"/>
      <c r="B75" s="115"/>
      <c r="C75" s="135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115"/>
      <c r="Q75" s="74"/>
      <c r="R75" s="114"/>
      <c r="S75" s="113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</row>
    <row r="76" ht="12.75" customHeight="1">
      <c r="A76" s="113"/>
      <c r="B76" s="115"/>
      <c r="C76" s="137" t="s">
        <v>76</v>
      </c>
      <c r="D76" s="129">
        <f>IF('Actual Figures'!D76&lt;&gt;"",'Actual Figures'!D76-'Budget Figures'!D76,"")</f>
        <v>0</v>
      </c>
      <c r="E76" s="129">
        <f>IF('Actual Figures'!E76&lt;&gt;"",'Actual Figures'!E76-'Budget Figures'!E76,"")</f>
        <v>12321.73913</v>
      </c>
      <c r="F76" s="129">
        <f>IF('Actual Figures'!F76&lt;&gt;"",'Actual Figures'!F76-'Budget Figures'!F76,"")</f>
        <v>28486.95652</v>
      </c>
      <c r="G76" s="129">
        <f>IF('Actual Figures'!G76&lt;&gt;"",'Actual Figures'!G76-'Budget Figures'!G76,"")</f>
        <v>40130.43478</v>
      </c>
      <c r="H76" s="129">
        <f>IF('Actual Figures'!H76&lt;&gt;"",'Actual Figures'!H76-'Budget Figures'!H76,"")</f>
        <v>22100</v>
      </c>
      <c r="I76" s="129">
        <f>IF('Actual Figures'!I76&lt;&gt;"",'Actual Figures'!I76-'Budget Figures'!I76,"")</f>
        <v>12604.34783</v>
      </c>
      <c r="J76" s="129">
        <f>IF('Actual Figures'!J76&lt;&gt;"",'Actual Figures'!J76-'Budget Figures'!J76,"")</f>
        <v>22326.08696</v>
      </c>
      <c r="K76" s="129">
        <f>IF('Actual Figures'!K76&lt;&gt;"",'Actual Figures'!K76-'Budget Figures'!K76,"")</f>
        <v>16764.34783</v>
      </c>
      <c r="L76" s="129">
        <f>IF('Actual Figures'!L76&lt;&gt;"",'Actual Figures'!L76-'Budget Figures'!L76,"")</f>
        <v>16894.34783</v>
      </c>
      <c r="M76" s="129">
        <f>IF('Actual Figures'!M76&lt;&gt;"",'Actual Figures'!M76-'Budget Figures'!M76,"")</f>
        <v>26423.91304</v>
      </c>
      <c r="N76" s="129">
        <f>IF('Actual Figures'!N76&lt;&gt;"",'Actual Figures'!N76-'Budget Figures'!N76,"")</f>
        <v>29900</v>
      </c>
      <c r="O76" s="129">
        <f>IF('Actual Figures'!O76&lt;&gt;"",'Actual Figures'!O76-'Budget Figures'!O76,"")</f>
        <v>25604.34783</v>
      </c>
      <c r="P76" s="115"/>
      <c r="Q76" s="74"/>
      <c r="R76" s="114"/>
      <c r="S76" s="113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</row>
    <row r="77" ht="12.75" customHeight="1">
      <c r="A77" s="113"/>
      <c r="B77" s="115"/>
      <c r="C77" s="138" t="s">
        <v>77</v>
      </c>
      <c r="D77" s="129">
        <f>IF('Actual Figures'!D77&lt;&gt;"",'Actual Figures'!D77-'Budget Figures'!D77,"")</f>
        <v>22608.69565</v>
      </c>
      <c r="E77" s="129">
        <f>IF('Actual Figures'!E77&lt;&gt;"",'Actual Figures'!E77-'Budget Figures'!E77,"")</f>
        <v>18934.78261</v>
      </c>
      <c r="F77" s="129">
        <f>IF('Actual Figures'!F77&lt;&gt;"",'Actual Figures'!F77-'Budget Figures'!F77,"")</f>
        <v>14413.04348</v>
      </c>
      <c r="G77" s="129">
        <f>IF('Actual Figures'!G77&lt;&gt;"",'Actual Figures'!G77-'Budget Figures'!G77,"")</f>
        <v>-22608.69565</v>
      </c>
      <c r="H77" s="129">
        <f>IF('Actual Figures'!H77&lt;&gt;"",'Actual Figures'!H77-'Budget Figures'!H77,"")</f>
        <v>-2260.869565</v>
      </c>
      <c r="I77" s="129">
        <f>IF('Actual Figures'!I77&lt;&gt;"",'Actual Figures'!I77-'Budget Figures'!I77,"")</f>
        <v>6782.608696</v>
      </c>
      <c r="J77" s="129">
        <f>IF('Actual Figures'!J77&lt;&gt;"",'Actual Figures'!J77-'Budget Figures'!J77,"")</f>
        <v>-13282.6087</v>
      </c>
      <c r="K77" s="129">
        <f>IF('Actual Figures'!K77&lt;&gt;"",'Actual Figures'!K77-'Budget Figures'!K77,"")</f>
        <v>4663.043478</v>
      </c>
      <c r="L77" s="129">
        <f>IF('Actual Figures'!L77&lt;&gt;"",'Actual Figures'!L77-'Budget Figures'!L77,"")</f>
        <v>13000</v>
      </c>
      <c r="M77" s="129">
        <f>IF('Actual Figures'!M77&lt;&gt;"",'Actual Figures'!M77-'Budget Figures'!M77,"")</f>
        <v>9184.782609</v>
      </c>
      <c r="N77" s="129">
        <f>IF('Actual Figures'!N77&lt;&gt;"",'Actual Figures'!N77-'Budget Figures'!N77,"")</f>
        <v>-11021.73913</v>
      </c>
      <c r="O77" s="129">
        <f>IF('Actual Figures'!O77&lt;&gt;"",'Actual Figures'!O77-'Budget Figures'!O77,"")</f>
        <v>4114.782609</v>
      </c>
      <c r="P77" s="115"/>
      <c r="Q77" s="74"/>
      <c r="R77" s="114"/>
      <c r="S77" s="113"/>
      <c r="T77" s="114"/>
      <c r="U77" s="114"/>
      <c r="V77" s="114"/>
      <c r="W77" s="114"/>
      <c r="X77" s="114"/>
      <c r="Y77" s="114"/>
      <c r="Z77" s="114"/>
      <c r="AA77" s="114"/>
      <c r="AB77" s="114"/>
      <c r="AC77" s="114"/>
      <c r="AD77" s="114"/>
      <c r="AE77" s="114"/>
    </row>
    <row r="78" ht="12.75" customHeight="1">
      <c r="A78" s="113"/>
      <c r="B78" s="115"/>
      <c r="C78" s="114"/>
      <c r="D78" s="129">
        <f>IF('Actual Figures'!D78&lt;&gt;"",'Actual Figures'!D78-'Budget Figures'!D78,"")</f>
        <v>22608.69565</v>
      </c>
      <c r="E78" s="129">
        <f>IF('Actual Figures'!E78&lt;&gt;"",'Actual Figures'!E78-'Budget Figures'!E78,"")</f>
        <v>31256.52174</v>
      </c>
      <c r="F78" s="129">
        <f>IF('Actual Figures'!F78&lt;&gt;"",'Actual Figures'!F78-'Budget Figures'!F78,"")</f>
        <v>42900</v>
      </c>
      <c r="G78" s="129">
        <f>IF('Actual Figures'!G78&lt;&gt;"",'Actual Figures'!G78-'Budget Figures'!G78,"")</f>
        <v>17521.73913</v>
      </c>
      <c r="H78" s="129">
        <f>IF('Actual Figures'!H78&lt;&gt;"",'Actual Figures'!H78-'Budget Figures'!H78,"")</f>
        <v>19839.13043</v>
      </c>
      <c r="I78" s="129">
        <f>IF('Actual Figures'!I78&lt;&gt;"",'Actual Figures'!I78-'Budget Figures'!I78,"")</f>
        <v>19386.95652</v>
      </c>
      <c r="J78" s="129">
        <f>IF('Actual Figures'!J78&lt;&gt;"",'Actual Figures'!J78-'Budget Figures'!J78,"")</f>
        <v>9043.478261</v>
      </c>
      <c r="K78" s="129">
        <f>IF('Actual Figures'!K78&lt;&gt;"",'Actual Figures'!K78-'Budget Figures'!K78,"")</f>
        <v>21427.3913</v>
      </c>
      <c r="L78" s="129">
        <f>IF('Actual Figures'!L78&lt;&gt;"",'Actual Figures'!L78-'Budget Figures'!L78,"")</f>
        <v>29894.34783</v>
      </c>
      <c r="M78" s="129">
        <f>IF('Actual Figures'!M78&lt;&gt;"",'Actual Figures'!M78-'Budget Figures'!M78,"")</f>
        <v>35608.69565</v>
      </c>
      <c r="N78" s="129">
        <f>IF('Actual Figures'!N78&lt;&gt;"",'Actual Figures'!N78-'Budget Figures'!N78,"")</f>
        <v>18878.26087</v>
      </c>
      <c r="O78" s="129">
        <f>IF('Actual Figures'!O78&lt;&gt;"",'Actual Figures'!O78-'Budget Figures'!O78,"")</f>
        <v>29719.13043</v>
      </c>
      <c r="P78" s="115"/>
      <c r="Q78" s="74"/>
      <c r="R78" s="114"/>
      <c r="S78" s="113"/>
      <c r="T78" s="114"/>
      <c r="U78" s="114"/>
      <c r="V78" s="114"/>
      <c r="W78" s="114"/>
      <c r="X78" s="114"/>
      <c r="Y78" s="114"/>
      <c r="Z78" s="114"/>
      <c r="AA78" s="114"/>
      <c r="AB78" s="114"/>
      <c r="AC78" s="114"/>
      <c r="AD78" s="114"/>
      <c r="AE78" s="114"/>
    </row>
    <row r="79" ht="12.75" customHeight="1">
      <c r="A79" s="113"/>
      <c r="B79" s="115"/>
      <c r="C79" s="138" t="s">
        <v>78</v>
      </c>
      <c r="D79" s="129">
        <f>IF('Actual Figures'!D79&lt;&gt;"",'Actual Figures'!D79-'Budget Figures'!D79,"")</f>
        <v>10286.95652</v>
      </c>
      <c r="E79" s="129">
        <f>IF('Actual Figures'!E79&lt;&gt;"",'Actual Figures'!E79-'Budget Figures'!E79,"")</f>
        <v>2769.565217</v>
      </c>
      <c r="F79" s="129">
        <f>IF('Actual Figures'!F79&lt;&gt;"",'Actual Figures'!F79-'Budget Figures'!F79,"")</f>
        <v>2769.565217</v>
      </c>
      <c r="G79" s="129">
        <f>IF('Actual Figures'!G79&lt;&gt;"",'Actual Figures'!G79-'Budget Figures'!G79,"")</f>
        <v>-4578.26087</v>
      </c>
      <c r="H79" s="129">
        <f>IF('Actual Figures'!H79&lt;&gt;"",'Actual Figures'!H79-'Budget Figures'!H79,"")</f>
        <v>7234.782609</v>
      </c>
      <c r="I79" s="129">
        <f>IF('Actual Figures'!I79&lt;&gt;"",'Actual Figures'!I79-'Budget Figures'!I79,"")</f>
        <v>-2939.130435</v>
      </c>
      <c r="J79" s="129">
        <f>IF('Actual Figures'!J79&lt;&gt;"",'Actual Figures'!J79-'Budget Figures'!J79,"")</f>
        <v>-7720.869565</v>
      </c>
      <c r="K79" s="129">
        <f>IF('Actual Figures'!K79&lt;&gt;"",'Actual Figures'!K79-'Budget Figures'!K79,"")</f>
        <v>4533.043478</v>
      </c>
      <c r="L79" s="129">
        <f>IF('Actual Figures'!L79&lt;&gt;"",'Actual Figures'!L79-'Budget Figures'!L79,"")</f>
        <v>3470.434783</v>
      </c>
      <c r="M79" s="129">
        <f>IF('Actual Figures'!M79&lt;&gt;"",'Actual Figures'!M79-'Budget Figures'!M79,"")</f>
        <v>5708.695652</v>
      </c>
      <c r="N79" s="129">
        <f>IF('Actual Figures'!N79&lt;&gt;"",'Actual Figures'!N79-'Budget Figures'!N79,"")</f>
        <v>-6726.086957</v>
      </c>
      <c r="O79" s="129">
        <f>IF('Actual Figures'!O79&lt;&gt;"",'Actual Figures'!O79-'Budget Figures'!O79,"")</f>
        <v>5030.434783</v>
      </c>
      <c r="P79" s="115"/>
      <c r="Q79" s="74"/>
      <c r="R79" s="114"/>
      <c r="S79" s="113"/>
      <c r="T79" s="114"/>
      <c r="U79" s="114"/>
      <c r="V79" s="114"/>
      <c r="W79" s="114"/>
      <c r="X79" s="114"/>
      <c r="Y79" s="114"/>
      <c r="Z79" s="114"/>
      <c r="AA79" s="114"/>
      <c r="AB79" s="114"/>
      <c r="AC79" s="114"/>
      <c r="AD79" s="114"/>
      <c r="AE79" s="114"/>
    </row>
    <row r="80" ht="12.75" customHeight="1">
      <c r="A80" s="113"/>
      <c r="B80" s="115"/>
      <c r="C80" s="107" t="s">
        <v>79</v>
      </c>
      <c r="D80" s="78">
        <f>IF('Actual Figures'!D80&lt;&gt;"",'Actual Figures'!D80-'Budget Figures'!D80,"")</f>
        <v>12321.73913</v>
      </c>
      <c r="E80" s="78">
        <f>IF('Actual Figures'!E80&lt;&gt;"",'Actual Figures'!E80-'Budget Figures'!E80,"")</f>
        <v>28486.95652</v>
      </c>
      <c r="F80" s="78">
        <f>IF('Actual Figures'!F80&lt;&gt;"",'Actual Figures'!F80-'Budget Figures'!F80,"")</f>
        <v>40130.43478</v>
      </c>
      <c r="G80" s="78">
        <f>IF('Actual Figures'!G80&lt;&gt;"",'Actual Figures'!G80-'Budget Figures'!G80,"")</f>
        <v>22100</v>
      </c>
      <c r="H80" s="78">
        <f>IF('Actual Figures'!H80&lt;&gt;"",'Actual Figures'!H80-'Budget Figures'!H80,"")</f>
        <v>12604.34783</v>
      </c>
      <c r="I80" s="78">
        <f>IF('Actual Figures'!I80&lt;&gt;"",'Actual Figures'!I80-'Budget Figures'!I80,"")</f>
        <v>22326.08696</v>
      </c>
      <c r="J80" s="78">
        <f>IF('Actual Figures'!J80&lt;&gt;"",'Actual Figures'!J80-'Budget Figures'!J80,"")</f>
        <v>16764.34783</v>
      </c>
      <c r="K80" s="78">
        <f>IF('Actual Figures'!K80&lt;&gt;"",'Actual Figures'!K80-'Budget Figures'!K80,"")</f>
        <v>16894.34783</v>
      </c>
      <c r="L80" s="78">
        <f>IF('Actual Figures'!L80&lt;&gt;"",'Actual Figures'!L80-'Budget Figures'!L80,"")</f>
        <v>26423.91304</v>
      </c>
      <c r="M80" s="78">
        <f>IF('Actual Figures'!M80&lt;&gt;"",'Actual Figures'!M80-'Budget Figures'!M80,"")</f>
        <v>29900</v>
      </c>
      <c r="N80" s="78">
        <f>IF('Actual Figures'!N80&lt;&gt;"",'Actual Figures'!N80-'Budget Figures'!N80,"")</f>
        <v>25604.34783</v>
      </c>
      <c r="O80" s="78">
        <f>IF('Actual Figures'!O80&lt;&gt;"",'Actual Figures'!O80-'Budget Figures'!O80,"")</f>
        <v>24688.69565</v>
      </c>
      <c r="P80" s="115"/>
      <c r="Q80" s="74"/>
      <c r="R80" s="114"/>
      <c r="S80" s="113"/>
      <c r="T80" s="114"/>
      <c r="U80" s="114"/>
      <c r="V80" s="114"/>
      <c r="W80" s="114"/>
      <c r="X80" s="114"/>
      <c r="Y80" s="114"/>
      <c r="Z80" s="114"/>
      <c r="AA80" s="114"/>
      <c r="AB80" s="114"/>
      <c r="AC80" s="114"/>
      <c r="AD80" s="114"/>
      <c r="AE80" s="114"/>
    </row>
    <row r="81" ht="12.75" customHeight="1">
      <c r="A81" s="113"/>
      <c r="B81" s="115"/>
      <c r="C81" s="11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115"/>
      <c r="Q81" s="74"/>
      <c r="R81" s="114"/>
      <c r="S81" s="113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</row>
    <row r="82" ht="12.75" customHeight="1">
      <c r="A82" s="113"/>
      <c r="B82" s="115"/>
      <c r="C82" s="11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115"/>
      <c r="Q82" s="74"/>
      <c r="R82" s="114"/>
      <c r="S82" s="113"/>
      <c r="T82" s="114"/>
      <c r="U82" s="114"/>
      <c r="V82" s="114"/>
      <c r="W82" s="114"/>
      <c r="X82" s="114"/>
      <c r="Y82" s="114"/>
      <c r="Z82" s="114"/>
      <c r="AA82" s="114"/>
      <c r="AB82" s="114"/>
      <c r="AC82" s="114"/>
      <c r="AD82" s="114"/>
      <c r="AE82" s="114"/>
    </row>
    <row r="83" ht="12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4"/>
      <c r="U83" s="114"/>
      <c r="V83" s="114"/>
      <c r="W83" s="114"/>
      <c r="X83" s="114"/>
      <c r="Y83" s="114"/>
      <c r="Z83" s="114"/>
      <c r="AA83" s="114"/>
      <c r="AB83" s="114"/>
      <c r="AC83" s="114"/>
      <c r="AD83" s="114"/>
      <c r="AE83" s="114"/>
    </row>
    <row r="84" ht="12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  <c r="AD84" s="114"/>
      <c r="AE84" s="114"/>
    </row>
    <row r="85" ht="12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</row>
    <row r="86" ht="12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4"/>
      <c r="U86" s="114"/>
      <c r="V86" s="114"/>
      <c r="W86" s="114"/>
      <c r="X86" s="114"/>
      <c r="Y86" s="114"/>
      <c r="Z86" s="114"/>
      <c r="AA86" s="114"/>
      <c r="AB86" s="114"/>
      <c r="AC86" s="114"/>
      <c r="AD86" s="114"/>
      <c r="AE86" s="114"/>
    </row>
    <row r="87" ht="12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4"/>
      <c r="U87" s="114"/>
      <c r="V87" s="114"/>
      <c r="W87" s="114"/>
      <c r="X87" s="114"/>
      <c r="Y87" s="114"/>
      <c r="Z87" s="114"/>
      <c r="AA87" s="114"/>
      <c r="AB87" s="114"/>
      <c r="AC87" s="114"/>
      <c r="AD87" s="114"/>
      <c r="AE87" s="114"/>
    </row>
    <row r="88" ht="12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4"/>
      <c r="U88" s="114"/>
      <c r="V88" s="114"/>
      <c r="W88" s="114"/>
      <c r="X88" s="114"/>
      <c r="Y88" s="114"/>
      <c r="Z88" s="114"/>
      <c r="AA88" s="114"/>
      <c r="AB88" s="114"/>
      <c r="AC88" s="114"/>
      <c r="AD88" s="114"/>
      <c r="AE88" s="114"/>
    </row>
    <row r="89" ht="12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4"/>
      <c r="U89" s="114"/>
      <c r="V89" s="114"/>
      <c r="W89" s="114"/>
      <c r="X89" s="114"/>
      <c r="Y89" s="114"/>
      <c r="Z89" s="114"/>
      <c r="AA89" s="114"/>
      <c r="AB89" s="114"/>
      <c r="AC89" s="114"/>
      <c r="AD89" s="114"/>
      <c r="AE89" s="114"/>
    </row>
    <row r="90" ht="12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4"/>
      <c r="U90" s="114"/>
      <c r="V90" s="114"/>
      <c r="W90" s="114"/>
      <c r="X90" s="114"/>
      <c r="Y90" s="114"/>
      <c r="Z90" s="114"/>
      <c r="AA90" s="114"/>
      <c r="AB90" s="114"/>
      <c r="AC90" s="114"/>
      <c r="AD90" s="114"/>
      <c r="AE90" s="114"/>
    </row>
    <row r="91" ht="12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4"/>
      <c r="U91" s="114"/>
      <c r="V91" s="114"/>
      <c r="W91" s="114"/>
      <c r="X91" s="114"/>
      <c r="Y91" s="114"/>
      <c r="Z91" s="114"/>
      <c r="AA91" s="114"/>
      <c r="AB91" s="114"/>
      <c r="AC91" s="114"/>
      <c r="AD91" s="114"/>
      <c r="AE91" s="114"/>
    </row>
    <row r="92" ht="12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4"/>
      <c r="U92" s="114"/>
      <c r="V92" s="114"/>
      <c r="W92" s="114"/>
      <c r="X92" s="114"/>
      <c r="Y92" s="114"/>
      <c r="Z92" s="114"/>
      <c r="AA92" s="114"/>
      <c r="AB92" s="114"/>
      <c r="AC92" s="114"/>
      <c r="AD92" s="114"/>
      <c r="AE92" s="114"/>
    </row>
    <row r="93" ht="12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4"/>
      <c r="U93" s="114"/>
      <c r="V93" s="114"/>
      <c r="W93" s="114"/>
      <c r="X93" s="114"/>
      <c r="Y93" s="114"/>
      <c r="Z93" s="114"/>
      <c r="AA93" s="114"/>
      <c r="AB93" s="114"/>
      <c r="AC93" s="114"/>
      <c r="AD93" s="114"/>
      <c r="AE93" s="114"/>
    </row>
    <row r="94" ht="12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4"/>
      <c r="U94" s="114"/>
      <c r="V94" s="114"/>
      <c r="W94" s="114"/>
      <c r="X94" s="114"/>
      <c r="Y94" s="114"/>
      <c r="Z94" s="114"/>
      <c r="AA94" s="114"/>
      <c r="AB94" s="114"/>
      <c r="AC94" s="114"/>
      <c r="AD94" s="114"/>
      <c r="AE94" s="114"/>
    </row>
    <row r="95" ht="12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4"/>
      <c r="U95" s="114"/>
      <c r="V95" s="114"/>
      <c r="W95" s="114"/>
      <c r="X95" s="114"/>
      <c r="Y95" s="114"/>
      <c r="Z95" s="114"/>
      <c r="AA95" s="114"/>
      <c r="AB95" s="114"/>
      <c r="AC95" s="114"/>
      <c r="AD95" s="114"/>
      <c r="AE95" s="114"/>
    </row>
    <row r="96" ht="12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4"/>
      <c r="U96" s="114"/>
      <c r="V96" s="114"/>
      <c r="W96" s="114"/>
      <c r="X96" s="114"/>
      <c r="Y96" s="114"/>
      <c r="Z96" s="114"/>
      <c r="AA96" s="114"/>
      <c r="AB96" s="114"/>
      <c r="AC96" s="114"/>
      <c r="AD96" s="114"/>
      <c r="AE96" s="114"/>
    </row>
    <row r="97" ht="12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4"/>
      <c r="U97" s="114"/>
      <c r="V97" s="114"/>
      <c r="W97" s="114"/>
      <c r="X97" s="114"/>
      <c r="Y97" s="114"/>
      <c r="Z97" s="114"/>
      <c r="AA97" s="114"/>
      <c r="AB97" s="114"/>
      <c r="AC97" s="114"/>
      <c r="AD97" s="114"/>
      <c r="AE97" s="114"/>
    </row>
    <row r="98" ht="12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4"/>
      <c r="U98" s="114"/>
      <c r="V98" s="114"/>
      <c r="W98" s="114"/>
      <c r="X98" s="114"/>
      <c r="Y98" s="114"/>
      <c r="Z98" s="114"/>
      <c r="AA98" s="114"/>
      <c r="AB98" s="114"/>
      <c r="AC98" s="114"/>
      <c r="AD98" s="114"/>
      <c r="AE98" s="114"/>
    </row>
    <row r="99" ht="12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4"/>
      <c r="U99" s="114"/>
      <c r="V99" s="114"/>
      <c r="W99" s="114"/>
      <c r="X99" s="114"/>
      <c r="Y99" s="114"/>
      <c r="Z99" s="114"/>
      <c r="AA99" s="114"/>
      <c r="AB99" s="114"/>
      <c r="AC99" s="114"/>
      <c r="AD99" s="114"/>
      <c r="AE99" s="114"/>
    </row>
    <row r="100" ht="12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4"/>
      <c r="U100" s="114"/>
      <c r="V100" s="114"/>
      <c r="W100" s="114"/>
      <c r="X100" s="114"/>
      <c r="Y100" s="114"/>
      <c r="Z100" s="114"/>
      <c r="AA100" s="114"/>
      <c r="AB100" s="114"/>
      <c r="AC100" s="114"/>
      <c r="AD100" s="114"/>
      <c r="AE100" s="114"/>
    </row>
    <row r="101" ht="12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4"/>
      <c r="U101" s="114"/>
      <c r="V101" s="114"/>
      <c r="W101" s="114"/>
      <c r="X101" s="114"/>
      <c r="Y101" s="114"/>
      <c r="Z101" s="114"/>
      <c r="AA101" s="114"/>
      <c r="AB101" s="114"/>
      <c r="AC101" s="114"/>
      <c r="AD101" s="114"/>
      <c r="AE101" s="114"/>
    </row>
    <row r="102" ht="12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4"/>
      <c r="U102" s="114"/>
      <c r="V102" s="114"/>
      <c r="W102" s="114"/>
      <c r="X102" s="114"/>
      <c r="Y102" s="114"/>
      <c r="Z102" s="114"/>
      <c r="AA102" s="114"/>
      <c r="AB102" s="114"/>
      <c r="AC102" s="114"/>
      <c r="AD102" s="114"/>
      <c r="AE102" s="114"/>
    </row>
    <row r="103" ht="12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4"/>
      <c r="U103" s="114"/>
      <c r="V103" s="114"/>
      <c r="W103" s="114"/>
      <c r="X103" s="114"/>
      <c r="Y103" s="114"/>
      <c r="Z103" s="114"/>
      <c r="AA103" s="114"/>
      <c r="AB103" s="114"/>
      <c r="AC103" s="114"/>
      <c r="AD103" s="114"/>
      <c r="AE103" s="114"/>
    </row>
    <row r="104" ht="12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4"/>
      <c r="U104" s="114"/>
      <c r="V104" s="114"/>
      <c r="W104" s="114"/>
      <c r="X104" s="114"/>
      <c r="Y104" s="114"/>
      <c r="Z104" s="114"/>
      <c r="AA104" s="114"/>
      <c r="AB104" s="114"/>
      <c r="AC104" s="114"/>
      <c r="AD104" s="114"/>
      <c r="AE104" s="114"/>
    </row>
    <row r="105" ht="12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4"/>
      <c r="U105" s="114"/>
      <c r="V105" s="114"/>
      <c r="W105" s="114"/>
      <c r="X105" s="114"/>
      <c r="Y105" s="114"/>
      <c r="Z105" s="114"/>
      <c r="AA105" s="114"/>
      <c r="AB105" s="114"/>
      <c r="AC105" s="114"/>
      <c r="AD105" s="114"/>
      <c r="AE105" s="114"/>
    </row>
    <row r="106" ht="12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4"/>
      <c r="U106" s="114"/>
      <c r="V106" s="114"/>
      <c r="W106" s="114"/>
      <c r="X106" s="114"/>
      <c r="Y106" s="114"/>
      <c r="Z106" s="114"/>
      <c r="AA106" s="114"/>
      <c r="AB106" s="114"/>
      <c r="AC106" s="114"/>
      <c r="AD106" s="114"/>
      <c r="AE106" s="114"/>
    </row>
    <row r="107" ht="12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4"/>
      <c r="U107" s="114"/>
      <c r="V107" s="114"/>
      <c r="W107" s="114"/>
      <c r="X107" s="114"/>
      <c r="Y107" s="114"/>
      <c r="Z107" s="114"/>
      <c r="AA107" s="114"/>
      <c r="AB107" s="114"/>
      <c r="AC107" s="114"/>
      <c r="AD107" s="114"/>
      <c r="AE107" s="114"/>
    </row>
    <row r="108" ht="12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4"/>
      <c r="U108" s="114"/>
      <c r="V108" s="114"/>
      <c r="W108" s="114"/>
      <c r="X108" s="114"/>
      <c r="Y108" s="114"/>
      <c r="Z108" s="114"/>
      <c r="AA108" s="114"/>
      <c r="AB108" s="114"/>
      <c r="AC108" s="114"/>
      <c r="AD108" s="114"/>
      <c r="AE108" s="114"/>
    </row>
    <row r="109" ht="12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4"/>
      <c r="U109" s="114"/>
      <c r="V109" s="114"/>
      <c r="W109" s="114"/>
      <c r="X109" s="114"/>
      <c r="Y109" s="114"/>
      <c r="Z109" s="114"/>
      <c r="AA109" s="114"/>
      <c r="AB109" s="114"/>
      <c r="AC109" s="114"/>
      <c r="AD109" s="114"/>
      <c r="AE109" s="114"/>
    </row>
    <row r="110" ht="12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4"/>
      <c r="U110" s="114"/>
      <c r="V110" s="114"/>
      <c r="W110" s="114"/>
      <c r="X110" s="114"/>
      <c r="Y110" s="114"/>
      <c r="Z110" s="114"/>
      <c r="AA110" s="114"/>
      <c r="AB110" s="114"/>
      <c r="AC110" s="114"/>
      <c r="AD110" s="114"/>
      <c r="AE110" s="114"/>
    </row>
    <row r="111" ht="12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4"/>
      <c r="U111" s="114"/>
      <c r="V111" s="114"/>
      <c r="W111" s="114"/>
      <c r="X111" s="114"/>
      <c r="Y111" s="114"/>
      <c r="Z111" s="114"/>
      <c r="AA111" s="114"/>
      <c r="AB111" s="114"/>
      <c r="AC111" s="114"/>
      <c r="AD111" s="114"/>
      <c r="AE111" s="114"/>
    </row>
    <row r="112" ht="12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4"/>
      <c r="U112" s="114"/>
      <c r="V112" s="114"/>
      <c r="W112" s="114"/>
      <c r="X112" s="114"/>
      <c r="Y112" s="114"/>
      <c r="Z112" s="114"/>
      <c r="AA112" s="114"/>
      <c r="AB112" s="114"/>
      <c r="AC112" s="114"/>
      <c r="AD112" s="114"/>
      <c r="AE112" s="114"/>
    </row>
    <row r="113" ht="12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4"/>
      <c r="U113" s="114"/>
      <c r="V113" s="114"/>
      <c r="W113" s="114"/>
      <c r="X113" s="114"/>
      <c r="Y113" s="114"/>
      <c r="Z113" s="114"/>
      <c r="AA113" s="114"/>
      <c r="AB113" s="114"/>
      <c r="AC113" s="114"/>
      <c r="AD113" s="114"/>
      <c r="AE113" s="114"/>
    </row>
    <row r="114" ht="12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4"/>
      <c r="U114" s="114"/>
      <c r="V114" s="114"/>
      <c r="W114" s="114"/>
      <c r="X114" s="114"/>
      <c r="Y114" s="114"/>
      <c r="Z114" s="114"/>
      <c r="AA114" s="114"/>
      <c r="AB114" s="114"/>
      <c r="AC114" s="114"/>
      <c r="AD114" s="114"/>
      <c r="AE114" s="114"/>
    </row>
    <row r="115" ht="12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4"/>
      <c r="U115" s="114"/>
      <c r="V115" s="114"/>
      <c r="W115" s="114"/>
      <c r="X115" s="114"/>
      <c r="Y115" s="114"/>
      <c r="Z115" s="114"/>
      <c r="AA115" s="114"/>
      <c r="AB115" s="114"/>
      <c r="AC115" s="114"/>
      <c r="AD115" s="114"/>
      <c r="AE115" s="114"/>
    </row>
    <row r="116" ht="12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4"/>
      <c r="U116" s="114"/>
      <c r="V116" s="114"/>
      <c r="W116" s="114"/>
      <c r="X116" s="114"/>
      <c r="Y116" s="114"/>
      <c r="Z116" s="114"/>
      <c r="AA116" s="114"/>
      <c r="AB116" s="114"/>
      <c r="AC116" s="114"/>
      <c r="AD116" s="114"/>
      <c r="AE116" s="114"/>
    </row>
    <row r="117" ht="12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4"/>
      <c r="U117" s="114"/>
      <c r="V117" s="114"/>
      <c r="W117" s="114"/>
      <c r="X117" s="114"/>
      <c r="Y117" s="114"/>
      <c r="Z117" s="114"/>
      <c r="AA117" s="114"/>
      <c r="AB117" s="114"/>
      <c r="AC117" s="114"/>
      <c r="AD117" s="114"/>
      <c r="AE117" s="114"/>
    </row>
    <row r="118" ht="12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4"/>
      <c r="U118" s="114"/>
      <c r="V118" s="114"/>
      <c r="W118" s="114"/>
      <c r="X118" s="114"/>
      <c r="Y118" s="114"/>
      <c r="Z118" s="114"/>
      <c r="AA118" s="114"/>
      <c r="AB118" s="114"/>
      <c r="AC118" s="114"/>
      <c r="AD118" s="114"/>
      <c r="AE118" s="114"/>
    </row>
    <row r="119" ht="12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4"/>
      <c r="U119" s="114"/>
      <c r="V119" s="114"/>
      <c r="W119" s="114"/>
      <c r="X119" s="114"/>
      <c r="Y119" s="114"/>
      <c r="Z119" s="114"/>
      <c r="AA119" s="114"/>
      <c r="AB119" s="114"/>
      <c r="AC119" s="114"/>
      <c r="AD119" s="114"/>
      <c r="AE119" s="114"/>
    </row>
    <row r="120" ht="12.75" customHeight="1">
      <c r="A120" s="113"/>
      <c r="B120" s="114"/>
      <c r="C120" s="11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114"/>
      <c r="S120" s="113"/>
      <c r="T120" s="114"/>
      <c r="U120" s="114"/>
      <c r="V120" s="114"/>
      <c r="W120" s="114"/>
      <c r="X120" s="114"/>
      <c r="Y120" s="114"/>
      <c r="Z120" s="114"/>
      <c r="AA120" s="114"/>
      <c r="AB120" s="114"/>
      <c r="AC120" s="114"/>
      <c r="AD120" s="114"/>
      <c r="AE120" s="114"/>
    </row>
    <row r="121" ht="12.75" customHeight="1">
      <c r="A121" s="113"/>
      <c r="B121" s="114"/>
      <c r="C121" s="11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114"/>
      <c r="S121" s="113"/>
      <c r="T121" s="114"/>
      <c r="U121" s="114"/>
      <c r="V121" s="114"/>
      <c r="W121" s="114"/>
      <c r="X121" s="114"/>
      <c r="Y121" s="114"/>
      <c r="Z121" s="114"/>
      <c r="AA121" s="114"/>
      <c r="AB121" s="114"/>
      <c r="AC121" s="114"/>
      <c r="AD121" s="114"/>
      <c r="AE121" s="114"/>
    </row>
    <row r="122" ht="12.75" customHeight="1">
      <c r="A122" s="113"/>
      <c r="B122" s="114"/>
      <c r="C122" s="11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114"/>
      <c r="S122" s="113"/>
      <c r="T122" s="114"/>
      <c r="U122" s="114"/>
      <c r="V122" s="114"/>
      <c r="W122" s="114"/>
      <c r="X122" s="114"/>
      <c r="Y122" s="114"/>
      <c r="Z122" s="114"/>
      <c r="AA122" s="114"/>
      <c r="AB122" s="114"/>
      <c r="AC122" s="114"/>
      <c r="AD122" s="114"/>
      <c r="AE122" s="114"/>
    </row>
    <row r="123" ht="12.75" customHeight="1">
      <c r="A123" s="113"/>
      <c r="B123" s="114"/>
      <c r="C123" s="11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114"/>
      <c r="S123" s="113"/>
      <c r="T123" s="114"/>
      <c r="U123" s="114"/>
      <c r="V123" s="114"/>
      <c r="W123" s="114"/>
      <c r="X123" s="114"/>
      <c r="Y123" s="114"/>
      <c r="Z123" s="114"/>
      <c r="AA123" s="114"/>
      <c r="AB123" s="114"/>
      <c r="AC123" s="114"/>
      <c r="AD123" s="114"/>
      <c r="AE123" s="114"/>
    </row>
    <row r="124" ht="12.75" customHeight="1">
      <c r="A124" s="113"/>
      <c r="B124" s="114"/>
      <c r="C124" s="11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114"/>
      <c r="S124" s="113"/>
      <c r="T124" s="114"/>
      <c r="U124" s="114"/>
      <c r="V124" s="114"/>
      <c r="W124" s="114"/>
      <c r="X124" s="114"/>
      <c r="Y124" s="114"/>
      <c r="Z124" s="114"/>
      <c r="AA124" s="114"/>
      <c r="AB124" s="114"/>
      <c r="AC124" s="114"/>
      <c r="AD124" s="114"/>
      <c r="AE124" s="114"/>
    </row>
    <row r="125" ht="12.75" customHeight="1">
      <c r="A125" s="113"/>
      <c r="B125" s="114"/>
      <c r="C125" s="11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114"/>
      <c r="S125" s="113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</row>
    <row r="126" ht="12.75" customHeight="1">
      <c r="A126" s="113"/>
      <c r="B126" s="114"/>
      <c r="C126" s="11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114"/>
      <c r="S126" s="113"/>
      <c r="T126" s="114"/>
      <c r="U126" s="114"/>
      <c r="V126" s="114"/>
      <c r="W126" s="114"/>
      <c r="X126" s="114"/>
      <c r="Y126" s="114"/>
      <c r="Z126" s="114"/>
      <c r="AA126" s="114"/>
      <c r="AB126" s="114"/>
      <c r="AC126" s="114"/>
      <c r="AD126" s="114"/>
      <c r="AE126" s="114"/>
    </row>
    <row r="127" ht="12.75" customHeight="1">
      <c r="A127" s="113"/>
      <c r="B127" s="114"/>
      <c r="C127" s="11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114"/>
      <c r="S127" s="113"/>
      <c r="T127" s="114"/>
      <c r="U127" s="114"/>
      <c r="V127" s="114"/>
      <c r="W127" s="114"/>
      <c r="X127" s="114"/>
      <c r="Y127" s="114"/>
      <c r="Z127" s="114"/>
      <c r="AA127" s="114"/>
      <c r="AB127" s="114"/>
      <c r="AC127" s="114"/>
      <c r="AD127" s="114"/>
      <c r="AE127" s="114"/>
    </row>
    <row r="128" ht="12.75" customHeight="1">
      <c r="A128" s="113"/>
      <c r="B128" s="114"/>
      <c r="C128" s="11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114"/>
      <c r="S128" s="113"/>
      <c r="T128" s="114"/>
      <c r="U128" s="114"/>
      <c r="V128" s="114"/>
      <c r="W128" s="114"/>
      <c r="X128" s="114"/>
      <c r="Y128" s="114"/>
      <c r="Z128" s="114"/>
      <c r="AA128" s="114"/>
      <c r="AB128" s="114"/>
      <c r="AC128" s="114"/>
      <c r="AD128" s="114"/>
      <c r="AE128" s="114"/>
    </row>
    <row r="129" ht="12.75" customHeight="1">
      <c r="A129" s="113"/>
      <c r="B129" s="114"/>
      <c r="C129" s="11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114"/>
      <c r="S129" s="113"/>
      <c r="T129" s="114"/>
      <c r="U129" s="114"/>
      <c r="V129" s="114"/>
      <c r="W129" s="114"/>
      <c r="X129" s="114"/>
      <c r="Y129" s="114"/>
      <c r="Z129" s="114"/>
      <c r="AA129" s="114"/>
      <c r="AB129" s="114"/>
      <c r="AC129" s="114"/>
      <c r="AD129" s="114"/>
      <c r="AE129" s="114"/>
    </row>
    <row r="130" ht="12.75" customHeight="1">
      <c r="A130" s="113"/>
      <c r="B130" s="114"/>
      <c r="C130" s="11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114"/>
      <c r="S130" s="113"/>
      <c r="T130" s="114"/>
      <c r="U130" s="114"/>
      <c r="V130" s="114"/>
      <c r="W130" s="114"/>
      <c r="X130" s="114"/>
      <c r="Y130" s="114"/>
      <c r="Z130" s="114"/>
      <c r="AA130" s="114"/>
      <c r="AB130" s="114"/>
      <c r="AC130" s="114"/>
      <c r="AD130" s="114"/>
      <c r="AE130" s="114"/>
    </row>
    <row r="131" ht="12.75" customHeight="1">
      <c r="A131" s="114"/>
      <c r="B131" s="114"/>
      <c r="C131" s="11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114"/>
      <c r="S131" s="113"/>
      <c r="T131" s="114"/>
      <c r="U131" s="114"/>
      <c r="V131" s="114"/>
      <c r="W131" s="114"/>
      <c r="X131" s="114"/>
      <c r="Y131" s="114"/>
      <c r="Z131" s="114"/>
      <c r="AA131" s="114"/>
      <c r="AB131" s="114"/>
      <c r="AC131" s="114"/>
      <c r="AD131" s="114"/>
      <c r="AE131" s="114"/>
    </row>
    <row r="132" ht="12.75" customHeight="1">
      <c r="A132" s="114"/>
      <c r="B132" s="114"/>
      <c r="C132" s="11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114"/>
      <c r="S132" s="113"/>
      <c r="T132" s="114"/>
      <c r="U132" s="114"/>
      <c r="V132" s="114"/>
      <c r="W132" s="114"/>
      <c r="X132" s="114"/>
      <c r="Y132" s="114"/>
      <c r="Z132" s="114"/>
      <c r="AA132" s="114"/>
      <c r="AB132" s="114"/>
      <c r="AC132" s="114"/>
      <c r="AD132" s="114"/>
      <c r="AE132" s="114"/>
    </row>
    <row r="133" ht="12.75" customHeight="1">
      <c r="A133" s="114"/>
      <c r="B133" s="114"/>
      <c r="C133" s="11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114"/>
      <c r="S133" s="113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</row>
    <row r="134" ht="12.75" customHeight="1">
      <c r="A134" s="114"/>
      <c r="B134" s="114"/>
      <c r="C134" s="11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114"/>
      <c r="S134" s="113"/>
      <c r="T134" s="114"/>
      <c r="U134" s="114"/>
      <c r="V134" s="114"/>
      <c r="W134" s="114"/>
      <c r="X134" s="114"/>
      <c r="Y134" s="114"/>
      <c r="Z134" s="114"/>
      <c r="AA134" s="114"/>
      <c r="AB134" s="114"/>
      <c r="AC134" s="114"/>
      <c r="AD134" s="114"/>
      <c r="AE134" s="114"/>
    </row>
    <row r="135" ht="12.75" customHeight="1">
      <c r="A135" s="114"/>
      <c r="B135" s="114"/>
      <c r="C135" s="11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114"/>
      <c r="S135" s="113"/>
      <c r="T135" s="114"/>
      <c r="U135" s="114"/>
      <c r="V135" s="114"/>
      <c r="W135" s="114"/>
      <c r="X135" s="114"/>
      <c r="Y135" s="114"/>
      <c r="Z135" s="114"/>
      <c r="AA135" s="114"/>
      <c r="AB135" s="114"/>
      <c r="AC135" s="114"/>
      <c r="AD135" s="114"/>
      <c r="AE135" s="114"/>
    </row>
    <row r="136" ht="12.75" customHeight="1">
      <c r="A136" s="114"/>
      <c r="B136" s="114"/>
      <c r="C136" s="11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114"/>
      <c r="S136" s="113"/>
      <c r="T136" s="114"/>
      <c r="U136" s="114"/>
      <c r="V136" s="114"/>
      <c r="W136" s="114"/>
      <c r="X136" s="114"/>
      <c r="Y136" s="114"/>
      <c r="Z136" s="114"/>
      <c r="AA136" s="114"/>
      <c r="AB136" s="114"/>
      <c r="AC136" s="114"/>
      <c r="AD136" s="114"/>
      <c r="AE136" s="114"/>
    </row>
    <row r="137" ht="12.75" customHeight="1">
      <c r="A137" s="114"/>
      <c r="B137" s="114"/>
      <c r="C137" s="11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114"/>
      <c r="S137" s="113"/>
      <c r="T137" s="114"/>
      <c r="U137" s="114"/>
      <c r="V137" s="114"/>
      <c r="W137" s="114"/>
      <c r="X137" s="114"/>
      <c r="Y137" s="114"/>
      <c r="Z137" s="114"/>
      <c r="AA137" s="114"/>
      <c r="AB137" s="114"/>
      <c r="AC137" s="114"/>
      <c r="AD137" s="114"/>
      <c r="AE137" s="114"/>
    </row>
    <row r="138" ht="12.75" customHeight="1">
      <c r="A138" s="114"/>
      <c r="B138" s="114"/>
      <c r="C138" s="11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114"/>
      <c r="S138" s="113"/>
      <c r="T138" s="114"/>
      <c r="U138" s="114"/>
      <c r="V138" s="114"/>
      <c r="W138" s="114"/>
      <c r="X138" s="114"/>
      <c r="Y138" s="114"/>
      <c r="Z138" s="114"/>
      <c r="AA138" s="114"/>
      <c r="AB138" s="114"/>
      <c r="AC138" s="114"/>
      <c r="AD138" s="114"/>
      <c r="AE138" s="114"/>
    </row>
    <row r="139" ht="12.75" customHeight="1">
      <c r="A139" s="114"/>
      <c r="B139" s="114"/>
      <c r="C139" s="11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114"/>
      <c r="S139" s="113"/>
      <c r="T139" s="114"/>
      <c r="U139" s="114"/>
      <c r="V139" s="114"/>
      <c r="W139" s="114"/>
      <c r="X139" s="114"/>
      <c r="Y139" s="114"/>
      <c r="Z139" s="114"/>
      <c r="AA139" s="114"/>
      <c r="AB139" s="114"/>
      <c r="AC139" s="114"/>
      <c r="AD139" s="114"/>
      <c r="AE139" s="114"/>
    </row>
    <row r="140" ht="12.75" customHeight="1">
      <c r="A140" s="114"/>
      <c r="B140" s="114"/>
      <c r="C140" s="11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114"/>
      <c r="S140" s="113"/>
      <c r="T140" s="114"/>
      <c r="U140" s="114"/>
      <c r="V140" s="114"/>
      <c r="W140" s="114"/>
      <c r="X140" s="114"/>
      <c r="Y140" s="114"/>
      <c r="Z140" s="114"/>
      <c r="AA140" s="114"/>
      <c r="AB140" s="114"/>
      <c r="AC140" s="114"/>
      <c r="AD140" s="114"/>
      <c r="AE140" s="114"/>
    </row>
    <row r="141" ht="12.75" customHeight="1">
      <c r="A141" s="114"/>
      <c r="B141" s="114"/>
      <c r="C141" s="11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114"/>
      <c r="S141" s="113"/>
      <c r="T141" s="114"/>
      <c r="U141" s="114"/>
      <c r="V141" s="114"/>
      <c r="W141" s="114"/>
      <c r="X141" s="114"/>
      <c r="Y141" s="114"/>
      <c r="Z141" s="114"/>
      <c r="AA141" s="114"/>
      <c r="AB141" s="114"/>
      <c r="AC141" s="114"/>
      <c r="AD141" s="114"/>
      <c r="AE141" s="114"/>
    </row>
    <row r="142" ht="12.75" customHeight="1">
      <c r="A142" s="114"/>
      <c r="B142" s="114"/>
      <c r="C142" s="11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114"/>
      <c r="S142" s="113"/>
      <c r="T142" s="114"/>
      <c r="U142" s="114"/>
      <c r="V142" s="114"/>
      <c r="W142" s="114"/>
      <c r="X142" s="114"/>
      <c r="Y142" s="114"/>
      <c r="Z142" s="114"/>
      <c r="AA142" s="114"/>
      <c r="AB142" s="114"/>
      <c r="AC142" s="114"/>
      <c r="AD142" s="114"/>
      <c r="AE142" s="114"/>
    </row>
    <row r="143" ht="12.75" customHeight="1">
      <c r="A143" s="114"/>
      <c r="B143" s="114"/>
      <c r="C143" s="11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114"/>
      <c r="S143" s="113"/>
      <c r="T143" s="114"/>
      <c r="U143" s="114"/>
      <c r="V143" s="114"/>
      <c r="W143" s="114"/>
      <c r="X143" s="114"/>
      <c r="Y143" s="114"/>
      <c r="Z143" s="114"/>
      <c r="AA143" s="114"/>
      <c r="AB143" s="114"/>
      <c r="AC143" s="114"/>
      <c r="AD143" s="114"/>
      <c r="AE143" s="114"/>
    </row>
    <row r="144" ht="12.75" customHeight="1">
      <c r="A144" s="114"/>
      <c r="B144" s="114"/>
      <c r="C144" s="11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114"/>
      <c r="S144" s="113"/>
      <c r="T144" s="114"/>
      <c r="U144" s="114"/>
      <c r="V144" s="114"/>
      <c r="W144" s="114"/>
      <c r="X144" s="114"/>
      <c r="Y144" s="114"/>
      <c r="Z144" s="114"/>
      <c r="AA144" s="114"/>
      <c r="AB144" s="114"/>
      <c r="AC144" s="114"/>
      <c r="AD144" s="114"/>
      <c r="AE144" s="114"/>
    </row>
    <row r="145" ht="12.75" customHeight="1">
      <c r="A145" s="114"/>
      <c r="B145" s="114"/>
      <c r="C145" s="11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114"/>
      <c r="S145" s="113"/>
      <c r="T145" s="114"/>
      <c r="U145" s="114"/>
      <c r="V145" s="114"/>
      <c r="W145" s="114"/>
      <c r="X145" s="114"/>
      <c r="Y145" s="114"/>
      <c r="Z145" s="114"/>
      <c r="AA145" s="114"/>
      <c r="AB145" s="114"/>
      <c r="AC145" s="114"/>
      <c r="AD145" s="114"/>
      <c r="AE145" s="114"/>
    </row>
    <row r="146" ht="12.75" customHeight="1">
      <c r="A146" s="114"/>
      <c r="B146" s="114"/>
      <c r="C146" s="11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114"/>
      <c r="S146" s="114"/>
      <c r="T146" s="114"/>
      <c r="U146" s="114"/>
      <c r="V146" s="114"/>
      <c r="W146" s="114"/>
      <c r="X146" s="114"/>
      <c r="Y146" s="114"/>
      <c r="Z146" s="114"/>
      <c r="AA146" s="114"/>
      <c r="AB146" s="114"/>
      <c r="AC146" s="114"/>
      <c r="AD146" s="114"/>
      <c r="AE146" s="114"/>
    </row>
    <row r="147" ht="12.75" customHeight="1">
      <c r="A147" s="114"/>
      <c r="B147" s="114"/>
      <c r="C147" s="11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114"/>
      <c r="S147" s="114"/>
      <c r="T147" s="114"/>
      <c r="U147" s="114"/>
      <c r="V147" s="114"/>
      <c r="W147" s="114"/>
      <c r="X147" s="114"/>
      <c r="Y147" s="114"/>
      <c r="Z147" s="114"/>
      <c r="AA147" s="114"/>
      <c r="AB147" s="114"/>
      <c r="AC147" s="114"/>
      <c r="AD147" s="114"/>
      <c r="AE147" s="114"/>
    </row>
    <row r="148" ht="12.75" customHeight="1">
      <c r="A148" s="114"/>
      <c r="B148" s="114"/>
      <c r="C148" s="11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</row>
    <row r="149" ht="12.75" customHeight="1">
      <c r="A149" s="114"/>
      <c r="B149" s="114"/>
      <c r="C149" s="11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</row>
    <row r="150" ht="12.75" customHeight="1">
      <c r="A150" s="114"/>
      <c r="B150" s="114"/>
      <c r="C150" s="11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114"/>
      <c r="S150" s="114"/>
      <c r="T150" s="114"/>
      <c r="U150" s="114"/>
      <c r="V150" s="114"/>
      <c r="W150" s="114"/>
      <c r="X150" s="114"/>
      <c r="Y150" s="114"/>
      <c r="Z150" s="114"/>
      <c r="AA150" s="114"/>
      <c r="AB150" s="114"/>
      <c r="AC150" s="114"/>
      <c r="AD150" s="114"/>
      <c r="AE150" s="114"/>
    </row>
    <row r="151" ht="12.75" customHeight="1">
      <c r="A151" s="114"/>
      <c r="B151" s="114"/>
      <c r="C151" s="11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114"/>
      <c r="S151" s="114"/>
      <c r="T151" s="114"/>
      <c r="U151" s="114"/>
      <c r="V151" s="114"/>
      <c r="W151" s="114"/>
      <c r="X151" s="114"/>
      <c r="Y151" s="114"/>
      <c r="Z151" s="114"/>
      <c r="AA151" s="114"/>
      <c r="AB151" s="114"/>
      <c r="AC151" s="114"/>
      <c r="AD151" s="114"/>
      <c r="AE151" s="114"/>
    </row>
    <row r="152" ht="12.75" customHeight="1">
      <c r="A152" s="114"/>
      <c r="B152" s="114"/>
      <c r="C152" s="11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114"/>
      <c r="S152" s="114"/>
      <c r="T152" s="114"/>
      <c r="U152" s="114"/>
      <c r="V152" s="114"/>
      <c r="W152" s="114"/>
      <c r="X152" s="114"/>
      <c r="Y152" s="114"/>
      <c r="Z152" s="114"/>
      <c r="AA152" s="114"/>
      <c r="AB152" s="114"/>
      <c r="AC152" s="114"/>
      <c r="AD152" s="114"/>
      <c r="AE152" s="114"/>
    </row>
    <row r="153" ht="12.75" customHeight="1">
      <c r="A153" s="114"/>
      <c r="B153" s="114"/>
      <c r="C153" s="11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114"/>
      <c r="S153" s="114"/>
      <c r="T153" s="114"/>
      <c r="U153" s="114"/>
      <c r="V153" s="114"/>
      <c r="W153" s="114"/>
      <c r="X153" s="114"/>
      <c r="Y153" s="114"/>
      <c r="Z153" s="114"/>
      <c r="AA153" s="114"/>
      <c r="AB153" s="114"/>
      <c r="AC153" s="114"/>
      <c r="AD153" s="114"/>
      <c r="AE153" s="114"/>
    </row>
    <row r="154" ht="12.75" customHeight="1">
      <c r="A154" s="114"/>
      <c r="B154" s="114"/>
      <c r="C154" s="11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</row>
    <row r="155" ht="12.75" customHeight="1">
      <c r="A155" s="114"/>
      <c r="B155" s="114"/>
      <c r="C155" s="11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</row>
    <row r="156" ht="12.75" customHeight="1">
      <c r="A156" s="114"/>
      <c r="B156" s="114"/>
      <c r="C156" s="11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114"/>
      <c r="S156" s="114"/>
      <c r="T156" s="114"/>
      <c r="U156" s="114"/>
      <c r="V156" s="114"/>
      <c r="W156" s="114"/>
      <c r="X156" s="114"/>
      <c r="Y156" s="114"/>
      <c r="Z156" s="114"/>
      <c r="AA156" s="114"/>
      <c r="AB156" s="114"/>
      <c r="AC156" s="114"/>
      <c r="AD156" s="114"/>
      <c r="AE156" s="114"/>
    </row>
    <row r="157" ht="12.75" customHeight="1">
      <c r="A157" s="114"/>
      <c r="B157" s="114"/>
      <c r="C157" s="11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114"/>
      <c r="S157" s="114"/>
      <c r="T157" s="114"/>
      <c r="U157" s="114"/>
      <c r="V157" s="114"/>
      <c r="W157" s="114"/>
      <c r="X157" s="114"/>
      <c r="Y157" s="114"/>
      <c r="Z157" s="114"/>
      <c r="AA157" s="114"/>
      <c r="AB157" s="114"/>
      <c r="AC157" s="114"/>
      <c r="AD157" s="114"/>
      <c r="AE157" s="114"/>
    </row>
    <row r="158" ht="12.75" customHeight="1">
      <c r="A158" s="114"/>
      <c r="B158" s="114"/>
      <c r="C158" s="11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114"/>
      <c r="S158" s="114"/>
      <c r="T158" s="114"/>
      <c r="U158" s="114"/>
      <c r="V158" s="114"/>
      <c r="W158" s="114"/>
      <c r="X158" s="114"/>
      <c r="Y158" s="114"/>
      <c r="Z158" s="114"/>
      <c r="AA158" s="114"/>
      <c r="AB158" s="114"/>
      <c r="AC158" s="114"/>
      <c r="AD158" s="114"/>
      <c r="AE158" s="114"/>
    </row>
    <row r="159" ht="12.75" customHeight="1">
      <c r="A159" s="114"/>
      <c r="B159" s="114"/>
      <c r="C159" s="11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114"/>
      <c r="S159" s="114"/>
      <c r="T159" s="114"/>
      <c r="U159" s="114"/>
      <c r="V159" s="114"/>
      <c r="W159" s="114"/>
      <c r="X159" s="114"/>
      <c r="Y159" s="114"/>
      <c r="Z159" s="114"/>
      <c r="AA159" s="114"/>
      <c r="AB159" s="114"/>
      <c r="AC159" s="114"/>
      <c r="AD159" s="114"/>
      <c r="AE159" s="114"/>
    </row>
    <row r="160" ht="12.75" customHeight="1">
      <c r="A160" s="114"/>
      <c r="B160" s="114"/>
      <c r="C160" s="11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114"/>
      <c r="S160" s="114"/>
      <c r="T160" s="114"/>
      <c r="U160" s="114"/>
      <c r="V160" s="114"/>
      <c r="W160" s="114"/>
      <c r="X160" s="114"/>
      <c r="Y160" s="114"/>
      <c r="Z160" s="114"/>
      <c r="AA160" s="114"/>
      <c r="AB160" s="114"/>
      <c r="AC160" s="114"/>
      <c r="AD160" s="114"/>
      <c r="AE160" s="114"/>
    </row>
    <row r="161" ht="12.75" customHeight="1">
      <c r="A161" s="114"/>
      <c r="B161" s="114"/>
      <c r="C161" s="11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114"/>
      <c r="S161" s="114"/>
      <c r="T161" s="114"/>
      <c r="U161" s="114"/>
      <c r="V161" s="114"/>
      <c r="W161" s="114"/>
      <c r="X161" s="114"/>
      <c r="Y161" s="114"/>
      <c r="Z161" s="114"/>
      <c r="AA161" s="114"/>
      <c r="AB161" s="114"/>
      <c r="AC161" s="114"/>
      <c r="AD161" s="114"/>
      <c r="AE161" s="114"/>
    </row>
    <row r="162" ht="12.75" customHeight="1">
      <c r="A162" s="114"/>
      <c r="B162" s="114"/>
      <c r="C162" s="11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114"/>
      <c r="S162" s="114"/>
      <c r="T162" s="114"/>
      <c r="U162" s="114"/>
      <c r="V162" s="114"/>
      <c r="W162" s="114"/>
      <c r="X162" s="114"/>
      <c r="Y162" s="114"/>
      <c r="Z162" s="114"/>
      <c r="AA162" s="114"/>
      <c r="AB162" s="114"/>
      <c r="AC162" s="114"/>
      <c r="AD162" s="114"/>
      <c r="AE162" s="114"/>
    </row>
    <row r="163" ht="12.75" customHeight="1">
      <c r="A163" s="114"/>
      <c r="B163" s="114"/>
      <c r="C163" s="11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74"/>
      <c r="R163" s="114"/>
      <c r="S163" s="114"/>
      <c r="T163" s="114"/>
      <c r="U163" s="114"/>
      <c r="V163" s="114"/>
      <c r="W163" s="114"/>
      <c r="X163" s="114"/>
      <c r="Y163" s="114"/>
      <c r="Z163" s="114"/>
      <c r="AA163" s="114"/>
      <c r="AB163" s="114"/>
      <c r="AC163" s="114"/>
      <c r="AD163" s="114"/>
      <c r="AE163" s="114"/>
    </row>
    <row r="164" ht="12.75" customHeight="1">
      <c r="A164" s="114"/>
      <c r="B164" s="114"/>
      <c r="C164" s="11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4"/>
      <c r="P164" s="74"/>
      <c r="Q164" s="74"/>
      <c r="R164" s="114"/>
      <c r="S164" s="114"/>
      <c r="T164" s="114"/>
      <c r="U164" s="114"/>
      <c r="V164" s="114"/>
      <c r="W164" s="114"/>
      <c r="X164" s="114"/>
      <c r="Y164" s="114"/>
      <c r="Z164" s="114"/>
      <c r="AA164" s="114"/>
      <c r="AB164" s="114"/>
      <c r="AC164" s="114"/>
      <c r="AD164" s="114"/>
      <c r="AE164" s="114"/>
    </row>
    <row r="165" ht="12.75" customHeight="1">
      <c r="A165" s="114"/>
      <c r="B165" s="114"/>
      <c r="C165" s="11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4"/>
      <c r="P165" s="74"/>
      <c r="Q165" s="7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</row>
    <row r="166" ht="12.75" customHeight="1">
      <c r="A166" s="114"/>
      <c r="B166" s="114"/>
      <c r="C166" s="11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4"/>
      <c r="P166" s="74"/>
      <c r="Q166" s="7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  <c r="AC166" s="114"/>
      <c r="AD166" s="114"/>
      <c r="AE166" s="114"/>
    </row>
    <row r="167" ht="12.75" customHeight="1">
      <c r="A167" s="114"/>
      <c r="B167" s="114"/>
      <c r="C167" s="11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4"/>
      <c r="R167" s="114"/>
      <c r="S167" s="114"/>
      <c r="T167" s="114"/>
      <c r="U167" s="114"/>
      <c r="V167" s="114"/>
      <c r="W167" s="114"/>
      <c r="X167" s="114"/>
      <c r="Y167" s="114"/>
      <c r="Z167" s="114"/>
      <c r="AA167" s="114"/>
      <c r="AB167" s="114"/>
      <c r="AC167" s="114"/>
      <c r="AD167" s="114"/>
      <c r="AE167" s="114"/>
    </row>
    <row r="168" ht="12.75" customHeight="1">
      <c r="A168" s="114"/>
      <c r="B168" s="114"/>
      <c r="C168" s="11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4"/>
      <c r="P168" s="74"/>
      <c r="Q168" s="7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</row>
    <row r="169" ht="12.75" customHeight="1">
      <c r="A169" s="114"/>
      <c r="B169" s="114"/>
      <c r="C169" s="11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114"/>
      <c r="S169" s="114"/>
      <c r="T169" s="114"/>
      <c r="U169" s="114"/>
      <c r="V169" s="114"/>
      <c r="W169" s="114"/>
      <c r="X169" s="114"/>
      <c r="Y169" s="114"/>
      <c r="Z169" s="114"/>
      <c r="AA169" s="114"/>
      <c r="AB169" s="114"/>
      <c r="AC169" s="114"/>
      <c r="AD169" s="114"/>
      <c r="AE169" s="114"/>
    </row>
    <row r="170" ht="12.75" customHeight="1">
      <c r="A170" s="114"/>
      <c r="B170" s="114"/>
      <c r="C170" s="11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4"/>
      <c r="P170" s="74"/>
      <c r="Q170" s="74"/>
      <c r="R170" s="114"/>
      <c r="S170" s="114"/>
      <c r="T170" s="114"/>
      <c r="U170" s="114"/>
      <c r="V170" s="114"/>
      <c r="W170" s="114"/>
      <c r="X170" s="114"/>
      <c r="Y170" s="114"/>
      <c r="Z170" s="114"/>
      <c r="AA170" s="114"/>
      <c r="AB170" s="114"/>
      <c r="AC170" s="114"/>
      <c r="AD170" s="114"/>
      <c r="AE170" s="114"/>
    </row>
    <row r="171" ht="12.75" customHeight="1">
      <c r="A171" s="114"/>
      <c r="B171" s="114"/>
      <c r="C171" s="11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4"/>
      <c r="P171" s="74"/>
      <c r="Q171" s="74"/>
      <c r="R171" s="114"/>
      <c r="S171" s="114"/>
      <c r="T171" s="114"/>
      <c r="U171" s="114"/>
      <c r="V171" s="114"/>
      <c r="W171" s="114"/>
      <c r="X171" s="114"/>
      <c r="Y171" s="114"/>
      <c r="Z171" s="114"/>
      <c r="AA171" s="114"/>
      <c r="AB171" s="114"/>
      <c r="AC171" s="114"/>
      <c r="AD171" s="114"/>
      <c r="AE171" s="114"/>
    </row>
    <row r="172" ht="12.75" customHeight="1">
      <c r="A172" s="114"/>
      <c r="B172" s="114"/>
      <c r="C172" s="11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114"/>
      <c r="S172" s="114"/>
      <c r="T172" s="114"/>
      <c r="U172" s="114"/>
      <c r="V172" s="114"/>
      <c r="W172" s="114"/>
      <c r="X172" s="114"/>
      <c r="Y172" s="114"/>
      <c r="Z172" s="114"/>
      <c r="AA172" s="114"/>
      <c r="AB172" s="114"/>
      <c r="AC172" s="114"/>
      <c r="AD172" s="114"/>
      <c r="AE172" s="114"/>
    </row>
    <row r="173" ht="12.75" customHeight="1">
      <c r="A173" s="114"/>
      <c r="B173" s="114"/>
      <c r="C173" s="11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4"/>
      <c r="P173" s="74"/>
      <c r="Q173" s="74"/>
      <c r="R173" s="114"/>
      <c r="S173" s="114"/>
      <c r="T173" s="114"/>
      <c r="U173" s="114"/>
      <c r="V173" s="114"/>
      <c r="W173" s="114"/>
      <c r="X173" s="114"/>
      <c r="Y173" s="114"/>
      <c r="Z173" s="114"/>
      <c r="AA173" s="114"/>
      <c r="AB173" s="114"/>
      <c r="AC173" s="114"/>
      <c r="AD173" s="114"/>
      <c r="AE173" s="114"/>
    </row>
    <row r="174" ht="12.75" customHeight="1">
      <c r="A174" s="114"/>
      <c r="B174" s="114"/>
      <c r="C174" s="11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74"/>
      <c r="R174" s="114"/>
      <c r="S174" s="114"/>
      <c r="T174" s="114"/>
      <c r="U174" s="114"/>
      <c r="V174" s="114"/>
      <c r="W174" s="114"/>
      <c r="X174" s="114"/>
      <c r="Y174" s="114"/>
      <c r="Z174" s="114"/>
      <c r="AA174" s="114"/>
      <c r="AB174" s="114"/>
      <c r="AC174" s="114"/>
      <c r="AD174" s="114"/>
      <c r="AE174" s="114"/>
    </row>
    <row r="175" ht="12.75" customHeight="1">
      <c r="A175" s="114"/>
      <c r="B175" s="114"/>
      <c r="C175" s="11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114"/>
      <c r="S175" s="114"/>
      <c r="T175" s="114"/>
      <c r="U175" s="114"/>
      <c r="V175" s="114"/>
      <c r="W175" s="114"/>
      <c r="X175" s="114"/>
      <c r="Y175" s="114"/>
      <c r="Z175" s="114"/>
      <c r="AA175" s="114"/>
      <c r="AB175" s="114"/>
      <c r="AC175" s="114"/>
      <c r="AD175" s="114"/>
      <c r="AE175" s="114"/>
    </row>
    <row r="176" ht="12.75" customHeight="1">
      <c r="A176" s="114"/>
      <c r="B176" s="114"/>
      <c r="C176" s="11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4"/>
      <c r="P176" s="74"/>
      <c r="Q176" s="74"/>
      <c r="R176" s="114"/>
      <c r="S176" s="114"/>
      <c r="T176" s="114"/>
      <c r="U176" s="114"/>
      <c r="V176" s="114"/>
      <c r="W176" s="114"/>
      <c r="X176" s="114"/>
      <c r="Y176" s="114"/>
      <c r="Z176" s="114"/>
      <c r="AA176" s="114"/>
      <c r="AB176" s="114"/>
      <c r="AC176" s="114"/>
      <c r="AD176" s="114"/>
      <c r="AE176" s="114"/>
    </row>
    <row r="177" ht="12.75" customHeight="1">
      <c r="A177" s="114"/>
      <c r="B177" s="114"/>
      <c r="C177" s="11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4"/>
      <c r="P177" s="74"/>
      <c r="Q177" s="74"/>
      <c r="R177" s="114"/>
      <c r="S177" s="114"/>
      <c r="T177" s="114"/>
      <c r="U177" s="114"/>
      <c r="V177" s="114"/>
      <c r="W177" s="114"/>
      <c r="X177" s="114"/>
      <c r="Y177" s="114"/>
      <c r="Z177" s="114"/>
      <c r="AA177" s="114"/>
      <c r="AB177" s="114"/>
      <c r="AC177" s="114"/>
      <c r="AD177" s="114"/>
      <c r="AE177" s="114"/>
    </row>
    <row r="178" ht="12.75" customHeight="1">
      <c r="A178" s="114"/>
      <c r="B178" s="114"/>
      <c r="C178" s="11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4"/>
      <c r="P178" s="74"/>
      <c r="Q178" s="74"/>
      <c r="R178" s="114"/>
      <c r="S178" s="114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</row>
    <row r="179" ht="12.75" customHeight="1">
      <c r="A179" s="114"/>
      <c r="B179" s="114"/>
      <c r="C179" s="11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114"/>
      <c r="S179" s="114"/>
      <c r="T179" s="114"/>
      <c r="U179" s="114"/>
      <c r="V179" s="114"/>
      <c r="W179" s="114"/>
      <c r="X179" s="114"/>
      <c r="Y179" s="114"/>
      <c r="Z179" s="114"/>
      <c r="AA179" s="114"/>
      <c r="AB179" s="114"/>
      <c r="AC179" s="114"/>
      <c r="AD179" s="114"/>
      <c r="AE179" s="114"/>
    </row>
    <row r="180" ht="12.75" customHeight="1">
      <c r="A180" s="114"/>
      <c r="B180" s="114"/>
      <c r="C180" s="11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4"/>
      <c r="P180" s="74"/>
      <c r="Q180" s="74"/>
      <c r="R180" s="114"/>
      <c r="S180" s="114"/>
      <c r="T180" s="114"/>
      <c r="U180" s="114"/>
      <c r="V180" s="114"/>
      <c r="W180" s="114"/>
      <c r="X180" s="114"/>
      <c r="Y180" s="114"/>
      <c r="Z180" s="114"/>
      <c r="AA180" s="114"/>
      <c r="AB180" s="114"/>
      <c r="AC180" s="114"/>
      <c r="AD180" s="114"/>
      <c r="AE180" s="114"/>
    </row>
    <row r="181" ht="12.75" customHeight="1">
      <c r="A181" s="114"/>
      <c r="B181" s="114"/>
      <c r="C181" s="11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114"/>
      <c r="S181" s="114"/>
      <c r="T181" s="114"/>
      <c r="U181" s="114"/>
      <c r="V181" s="114"/>
      <c r="W181" s="114"/>
      <c r="X181" s="114"/>
      <c r="Y181" s="114"/>
      <c r="Z181" s="114"/>
      <c r="AA181" s="114"/>
      <c r="AB181" s="114"/>
      <c r="AC181" s="114"/>
      <c r="AD181" s="114"/>
      <c r="AE181" s="114"/>
    </row>
    <row r="182" ht="12.75" customHeight="1">
      <c r="A182" s="114"/>
      <c r="B182" s="114"/>
      <c r="C182" s="11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114"/>
      <c r="S182" s="114"/>
      <c r="T182" s="114"/>
      <c r="U182" s="114"/>
      <c r="V182" s="114"/>
      <c r="W182" s="114"/>
      <c r="X182" s="114"/>
      <c r="Y182" s="114"/>
      <c r="Z182" s="114"/>
      <c r="AA182" s="114"/>
      <c r="AB182" s="114"/>
      <c r="AC182" s="114"/>
      <c r="AD182" s="114"/>
      <c r="AE182" s="114"/>
    </row>
    <row r="183" ht="12.75" customHeight="1">
      <c r="A183" s="114"/>
      <c r="B183" s="114"/>
      <c r="C183" s="11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4"/>
      <c r="P183" s="74"/>
      <c r="Q183" s="74"/>
      <c r="R183" s="114"/>
      <c r="S183" s="114"/>
      <c r="T183" s="114"/>
      <c r="U183" s="114"/>
      <c r="V183" s="114"/>
      <c r="W183" s="114"/>
      <c r="X183" s="114"/>
      <c r="Y183" s="114"/>
      <c r="Z183" s="114"/>
      <c r="AA183" s="114"/>
      <c r="AB183" s="114"/>
      <c r="AC183" s="114"/>
      <c r="AD183" s="114"/>
      <c r="AE183" s="114"/>
    </row>
    <row r="184" ht="12.75" customHeight="1">
      <c r="A184" s="114"/>
      <c r="B184" s="114"/>
      <c r="C184" s="11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4"/>
      <c r="P184" s="74"/>
      <c r="Q184" s="74"/>
      <c r="R184" s="114"/>
      <c r="S184" s="114"/>
      <c r="T184" s="114"/>
      <c r="U184" s="114"/>
      <c r="V184" s="114"/>
      <c r="W184" s="114"/>
      <c r="X184" s="114"/>
      <c r="Y184" s="114"/>
      <c r="Z184" s="114"/>
      <c r="AA184" s="114"/>
      <c r="AB184" s="114"/>
      <c r="AC184" s="114"/>
      <c r="AD184" s="114"/>
      <c r="AE184" s="114"/>
    </row>
    <row r="185" ht="12.75" customHeight="1">
      <c r="A185" s="114"/>
      <c r="B185" s="114"/>
      <c r="C185" s="11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4"/>
      <c r="P185" s="74"/>
      <c r="Q185" s="74"/>
      <c r="R185" s="114"/>
      <c r="S185" s="114"/>
      <c r="T185" s="114"/>
      <c r="U185" s="114"/>
      <c r="V185" s="114"/>
      <c r="W185" s="114"/>
      <c r="X185" s="114"/>
      <c r="Y185" s="114"/>
      <c r="Z185" s="114"/>
      <c r="AA185" s="114"/>
      <c r="AB185" s="114"/>
      <c r="AC185" s="114"/>
      <c r="AD185" s="114"/>
      <c r="AE185" s="114"/>
    </row>
    <row r="186" ht="12.75" customHeight="1">
      <c r="A186" s="114"/>
      <c r="B186" s="114"/>
      <c r="C186" s="11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4"/>
      <c r="P186" s="74"/>
      <c r="Q186" s="74"/>
      <c r="R186" s="114"/>
      <c r="S186" s="114"/>
      <c r="T186" s="114"/>
      <c r="U186" s="114"/>
      <c r="V186" s="114"/>
      <c r="W186" s="114"/>
      <c r="X186" s="114"/>
      <c r="Y186" s="114"/>
      <c r="Z186" s="114"/>
      <c r="AA186" s="114"/>
      <c r="AB186" s="114"/>
      <c r="AC186" s="114"/>
      <c r="AD186" s="114"/>
      <c r="AE186" s="114"/>
    </row>
    <row r="187" ht="12.75" customHeight="1">
      <c r="A187" s="114"/>
      <c r="B187" s="114"/>
      <c r="C187" s="11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4"/>
      <c r="P187" s="74"/>
      <c r="Q187" s="74"/>
      <c r="R187" s="114"/>
      <c r="S187" s="114"/>
      <c r="T187" s="114"/>
      <c r="U187" s="114"/>
      <c r="V187" s="114"/>
      <c r="W187" s="114"/>
      <c r="X187" s="114"/>
      <c r="Y187" s="114"/>
      <c r="Z187" s="114"/>
      <c r="AA187" s="114"/>
      <c r="AB187" s="114"/>
      <c r="AC187" s="114"/>
      <c r="AD187" s="114"/>
      <c r="AE187" s="114"/>
    </row>
    <row r="188" ht="12.75" customHeight="1">
      <c r="A188" s="114"/>
      <c r="B188" s="114"/>
      <c r="C188" s="11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4"/>
      <c r="P188" s="74"/>
      <c r="Q188" s="74"/>
      <c r="R188" s="114"/>
      <c r="S188" s="114"/>
      <c r="T188" s="114"/>
      <c r="U188" s="114"/>
      <c r="V188" s="114"/>
      <c r="W188" s="114"/>
      <c r="X188" s="114"/>
      <c r="Y188" s="114"/>
      <c r="Z188" s="114"/>
      <c r="AA188" s="114"/>
      <c r="AB188" s="114"/>
      <c r="AC188" s="114"/>
      <c r="AD188" s="114"/>
      <c r="AE188" s="114"/>
    </row>
    <row r="189" ht="12.75" customHeight="1">
      <c r="A189" s="114"/>
      <c r="B189" s="114"/>
      <c r="C189" s="11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</row>
    <row r="190" ht="12.75" customHeight="1">
      <c r="A190" s="114"/>
      <c r="B190" s="114"/>
      <c r="C190" s="11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114"/>
      <c r="S190" s="114"/>
      <c r="T190" s="114"/>
      <c r="U190" s="114"/>
      <c r="V190" s="114"/>
      <c r="W190" s="114"/>
      <c r="X190" s="114"/>
      <c r="Y190" s="114"/>
      <c r="Z190" s="114"/>
      <c r="AA190" s="114"/>
      <c r="AB190" s="114"/>
      <c r="AC190" s="114"/>
      <c r="AD190" s="114"/>
      <c r="AE190" s="114"/>
    </row>
    <row r="191" ht="12.75" customHeight="1">
      <c r="A191" s="114"/>
      <c r="B191" s="114"/>
      <c r="C191" s="11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4"/>
      <c r="P191" s="74"/>
      <c r="Q191" s="74"/>
      <c r="R191" s="114"/>
      <c r="S191" s="114"/>
      <c r="T191" s="114"/>
      <c r="U191" s="114"/>
      <c r="V191" s="114"/>
      <c r="W191" s="114"/>
      <c r="X191" s="114"/>
      <c r="Y191" s="114"/>
      <c r="Z191" s="114"/>
      <c r="AA191" s="114"/>
      <c r="AB191" s="114"/>
      <c r="AC191" s="114"/>
      <c r="AD191" s="114"/>
      <c r="AE191" s="114"/>
    </row>
    <row r="192" ht="12.75" customHeight="1">
      <c r="A192" s="114"/>
      <c r="B192" s="114"/>
      <c r="C192" s="11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114"/>
      <c r="S192" s="114"/>
      <c r="T192" s="114"/>
      <c r="U192" s="114"/>
      <c r="V192" s="114"/>
      <c r="W192" s="114"/>
      <c r="X192" s="114"/>
      <c r="Y192" s="114"/>
      <c r="Z192" s="114"/>
      <c r="AA192" s="114"/>
      <c r="AB192" s="114"/>
      <c r="AC192" s="114"/>
      <c r="AD192" s="114"/>
      <c r="AE192" s="114"/>
    </row>
    <row r="193" ht="12.75" customHeight="1">
      <c r="A193" s="114"/>
      <c r="B193" s="114"/>
      <c r="C193" s="11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4"/>
      <c r="P193" s="74"/>
      <c r="Q193" s="74"/>
      <c r="R193" s="114"/>
      <c r="S193" s="114"/>
      <c r="T193" s="114"/>
      <c r="U193" s="114"/>
      <c r="V193" s="114"/>
      <c r="W193" s="114"/>
      <c r="X193" s="114"/>
      <c r="Y193" s="114"/>
      <c r="Z193" s="114"/>
      <c r="AA193" s="114"/>
      <c r="AB193" s="114"/>
      <c r="AC193" s="114"/>
      <c r="AD193" s="114"/>
      <c r="AE193" s="114"/>
    </row>
    <row r="194" ht="12.75" customHeight="1">
      <c r="A194" s="114"/>
      <c r="B194" s="114"/>
      <c r="C194" s="11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114"/>
      <c r="S194" s="114"/>
      <c r="T194" s="114"/>
      <c r="U194" s="114"/>
      <c r="V194" s="114"/>
      <c r="W194" s="114"/>
      <c r="X194" s="114"/>
      <c r="Y194" s="114"/>
      <c r="Z194" s="114"/>
      <c r="AA194" s="114"/>
      <c r="AB194" s="114"/>
      <c r="AC194" s="114"/>
      <c r="AD194" s="114"/>
      <c r="AE194" s="114"/>
    </row>
    <row r="195" ht="12.75" customHeight="1">
      <c r="A195" s="114"/>
      <c r="B195" s="114"/>
      <c r="C195" s="11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4"/>
      <c r="P195" s="74"/>
      <c r="Q195" s="7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</row>
    <row r="196" ht="12.75" customHeight="1">
      <c r="A196" s="114"/>
      <c r="B196" s="114"/>
      <c r="C196" s="11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</row>
    <row r="197" ht="12.75" customHeight="1">
      <c r="A197" s="114"/>
      <c r="B197" s="114"/>
      <c r="C197" s="11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4"/>
      <c r="P197" s="74"/>
      <c r="Q197" s="7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</row>
    <row r="198" ht="12.75" customHeight="1">
      <c r="A198" s="114"/>
      <c r="B198" s="114"/>
      <c r="C198" s="11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4"/>
      <c r="P198" s="74"/>
      <c r="Q198" s="74"/>
      <c r="R198" s="114"/>
      <c r="S198" s="114"/>
      <c r="T198" s="114"/>
      <c r="U198" s="114"/>
      <c r="V198" s="114"/>
      <c r="W198" s="114"/>
      <c r="X198" s="114"/>
      <c r="Y198" s="114"/>
      <c r="Z198" s="114"/>
      <c r="AA198" s="114"/>
      <c r="AB198" s="114"/>
      <c r="AC198" s="114"/>
      <c r="AD198" s="114"/>
      <c r="AE198" s="114"/>
    </row>
    <row r="199" ht="12.75" customHeight="1">
      <c r="A199" s="114"/>
      <c r="B199" s="114"/>
      <c r="C199" s="11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74"/>
      <c r="O199" s="74"/>
      <c r="P199" s="74"/>
      <c r="Q199" s="74"/>
      <c r="R199" s="114"/>
      <c r="S199" s="114"/>
      <c r="T199" s="114"/>
      <c r="U199" s="114"/>
      <c r="V199" s="114"/>
      <c r="W199" s="114"/>
      <c r="X199" s="114"/>
      <c r="Y199" s="114"/>
      <c r="Z199" s="114"/>
      <c r="AA199" s="114"/>
      <c r="AB199" s="114"/>
      <c r="AC199" s="114"/>
      <c r="AD199" s="114"/>
      <c r="AE199" s="114"/>
    </row>
    <row r="200" ht="12.75" customHeight="1">
      <c r="A200" s="114"/>
      <c r="B200" s="114"/>
      <c r="C200" s="11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114"/>
      <c r="S200" s="114"/>
      <c r="T200" s="114"/>
      <c r="U200" s="114"/>
      <c r="V200" s="114"/>
      <c r="W200" s="114"/>
      <c r="X200" s="114"/>
      <c r="Y200" s="114"/>
      <c r="Z200" s="114"/>
      <c r="AA200" s="114"/>
      <c r="AB200" s="114"/>
      <c r="AC200" s="114"/>
      <c r="AD200" s="114"/>
      <c r="AE200" s="114"/>
    </row>
    <row r="201" ht="12.75" customHeight="1">
      <c r="A201" s="114"/>
      <c r="B201" s="114"/>
      <c r="C201" s="11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4"/>
      <c r="R201" s="114"/>
      <c r="S201" s="114"/>
      <c r="T201" s="114"/>
      <c r="U201" s="114"/>
      <c r="V201" s="114"/>
      <c r="W201" s="114"/>
      <c r="X201" s="114"/>
      <c r="Y201" s="114"/>
      <c r="Z201" s="114"/>
      <c r="AA201" s="114"/>
      <c r="AB201" s="114"/>
      <c r="AC201" s="114"/>
      <c r="AD201" s="114"/>
      <c r="AE201" s="114"/>
    </row>
    <row r="202" ht="12.75" customHeight="1">
      <c r="A202" s="114"/>
      <c r="B202" s="114"/>
      <c r="C202" s="11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114"/>
      <c r="S202" s="114"/>
      <c r="T202" s="114"/>
      <c r="U202" s="114"/>
      <c r="V202" s="114"/>
      <c r="W202" s="114"/>
      <c r="X202" s="114"/>
      <c r="Y202" s="114"/>
      <c r="Z202" s="114"/>
      <c r="AA202" s="114"/>
      <c r="AB202" s="114"/>
      <c r="AC202" s="114"/>
      <c r="AD202" s="114"/>
      <c r="AE202" s="114"/>
    </row>
    <row r="203" ht="12.75" customHeight="1">
      <c r="A203" s="114"/>
      <c r="B203" s="114"/>
      <c r="C203" s="11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4"/>
      <c r="P203" s="74"/>
      <c r="Q203" s="7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</row>
    <row r="204" ht="12.75" customHeight="1">
      <c r="A204" s="114"/>
      <c r="B204" s="114"/>
      <c r="C204" s="11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114"/>
      <c r="S204" s="114"/>
      <c r="T204" s="114"/>
      <c r="U204" s="114"/>
      <c r="V204" s="114"/>
      <c r="W204" s="114"/>
      <c r="X204" s="114"/>
      <c r="Y204" s="114"/>
      <c r="Z204" s="114"/>
      <c r="AA204" s="114"/>
      <c r="AB204" s="114"/>
      <c r="AC204" s="114"/>
      <c r="AD204" s="114"/>
      <c r="AE204" s="114"/>
    </row>
    <row r="205" ht="12.75" customHeight="1">
      <c r="A205" s="114"/>
      <c r="B205" s="114"/>
      <c r="C205" s="11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114"/>
      <c r="S205" s="114"/>
      <c r="T205" s="114"/>
      <c r="U205" s="114"/>
      <c r="V205" s="114"/>
      <c r="W205" s="114"/>
      <c r="X205" s="114"/>
      <c r="Y205" s="114"/>
      <c r="Z205" s="114"/>
      <c r="AA205" s="114"/>
      <c r="AB205" s="114"/>
      <c r="AC205" s="114"/>
      <c r="AD205" s="114"/>
      <c r="AE205" s="114"/>
    </row>
    <row r="206" ht="12.75" customHeight="1">
      <c r="A206" s="114"/>
      <c r="B206" s="114"/>
      <c r="C206" s="11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4"/>
      <c r="P206" s="74"/>
      <c r="Q206" s="74"/>
      <c r="R206" s="114"/>
      <c r="S206" s="114"/>
      <c r="T206" s="114"/>
      <c r="U206" s="114"/>
      <c r="V206" s="114"/>
      <c r="W206" s="114"/>
      <c r="X206" s="114"/>
      <c r="Y206" s="114"/>
      <c r="Z206" s="114"/>
      <c r="AA206" s="114"/>
      <c r="AB206" s="114"/>
      <c r="AC206" s="114"/>
      <c r="AD206" s="114"/>
      <c r="AE206" s="114"/>
    </row>
    <row r="207" ht="12.75" customHeight="1">
      <c r="A207" s="114"/>
      <c r="B207" s="114"/>
      <c r="C207" s="11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4"/>
      <c r="R207" s="114"/>
      <c r="S207" s="114"/>
      <c r="T207" s="114"/>
      <c r="U207" s="114"/>
      <c r="V207" s="114"/>
      <c r="W207" s="114"/>
      <c r="X207" s="114"/>
      <c r="Y207" s="114"/>
      <c r="Z207" s="114"/>
      <c r="AA207" s="114"/>
      <c r="AB207" s="114"/>
      <c r="AC207" s="114"/>
      <c r="AD207" s="114"/>
      <c r="AE207" s="114"/>
    </row>
    <row r="208" ht="12.75" customHeight="1">
      <c r="A208" s="114"/>
      <c r="B208" s="114"/>
      <c r="C208" s="11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74"/>
      <c r="R208" s="114"/>
      <c r="S208" s="114"/>
      <c r="T208" s="114"/>
      <c r="U208" s="114"/>
      <c r="V208" s="114"/>
      <c r="W208" s="114"/>
      <c r="X208" s="114"/>
      <c r="Y208" s="114"/>
      <c r="Z208" s="114"/>
      <c r="AA208" s="114"/>
      <c r="AB208" s="114"/>
      <c r="AC208" s="114"/>
      <c r="AD208" s="114"/>
      <c r="AE208" s="114"/>
    </row>
    <row r="209" ht="12.75" customHeight="1">
      <c r="A209" s="114"/>
      <c r="B209" s="114"/>
      <c r="C209" s="11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4"/>
      <c r="R209" s="114"/>
      <c r="S209" s="114"/>
      <c r="T209" s="114"/>
      <c r="U209" s="114"/>
      <c r="V209" s="114"/>
      <c r="W209" s="114"/>
      <c r="X209" s="114"/>
      <c r="Y209" s="114"/>
      <c r="Z209" s="114"/>
      <c r="AA209" s="114"/>
      <c r="AB209" s="114"/>
      <c r="AC209" s="114"/>
      <c r="AD209" s="114"/>
      <c r="AE209" s="114"/>
    </row>
    <row r="210" ht="12.75" customHeight="1">
      <c r="A210" s="114"/>
      <c r="B210" s="114"/>
      <c r="C210" s="11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4"/>
      <c r="P210" s="74"/>
      <c r="Q210" s="74"/>
      <c r="R210" s="114"/>
      <c r="S210" s="114"/>
      <c r="T210" s="114"/>
      <c r="U210" s="114"/>
      <c r="V210" s="114"/>
      <c r="W210" s="114"/>
      <c r="X210" s="114"/>
      <c r="Y210" s="114"/>
      <c r="Z210" s="114"/>
      <c r="AA210" s="114"/>
      <c r="AB210" s="114"/>
      <c r="AC210" s="114"/>
      <c r="AD210" s="114"/>
      <c r="AE210" s="114"/>
    </row>
    <row r="211" ht="12.75" customHeight="1">
      <c r="A211" s="114"/>
      <c r="B211" s="114"/>
      <c r="C211" s="11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4"/>
      <c r="P211" s="74"/>
      <c r="Q211" s="7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</row>
    <row r="212" ht="12.75" customHeight="1">
      <c r="A212" s="114"/>
      <c r="B212" s="114"/>
      <c r="C212" s="11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4"/>
      <c r="R212" s="114"/>
      <c r="S212" s="114"/>
      <c r="T212" s="114"/>
      <c r="U212" s="114"/>
      <c r="V212" s="114"/>
      <c r="W212" s="114"/>
      <c r="X212" s="114"/>
      <c r="Y212" s="114"/>
      <c r="Z212" s="114"/>
      <c r="AA212" s="114"/>
      <c r="AB212" s="114"/>
      <c r="AC212" s="114"/>
      <c r="AD212" s="114"/>
      <c r="AE212" s="114"/>
    </row>
    <row r="213" ht="12.75" customHeight="1">
      <c r="A213" s="114"/>
      <c r="B213" s="114"/>
      <c r="C213" s="11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4"/>
      <c r="R213" s="114"/>
      <c r="S213" s="114"/>
      <c r="T213" s="114"/>
      <c r="U213" s="114"/>
      <c r="V213" s="114"/>
      <c r="W213" s="114"/>
      <c r="X213" s="114"/>
      <c r="Y213" s="114"/>
      <c r="Z213" s="114"/>
      <c r="AA213" s="114"/>
      <c r="AB213" s="114"/>
      <c r="AC213" s="114"/>
      <c r="AD213" s="114"/>
      <c r="AE213" s="114"/>
    </row>
    <row r="214" ht="12.75" customHeight="1">
      <c r="A214" s="114"/>
      <c r="B214" s="114"/>
      <c r="C214" s="11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4"/>
      <c r="P214" s="74"/>
      <c r="Q214" s="74"/>
      <c r="R214" s="114"/>
      <c r="S214" s="114"/>
      <c r="T214" s="114"/>
      <c r="U214" s="114"/>
      <c r="V214" s="114"/>
      <c r="W214" s="114"/>
      <c r="X214" s="114"/>
      <c r="Y214" s="114"/>
      <c r="Z214" s="114"/>
      <c r="AA214" s="114"/>
      <c r="AB214" s="114"/>
      <c r="AC214" s="114"/>
      <c r="AD214" s="114"/>
      <c r="AE214" s="114"/>
    </row>
    <row r="215" ht="12.75" customHeight="1">
      <c r="A215" s="114"/>
      <c r="B215" s="114"/>
      <c r="C215" s="11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4"/>
      <c r="P215" s="74"/>
      <c r="Q215" s="74"/>
      <c r="R215" s="114"/>
      <c r="S215" s="114"/>
      <c r="T215" s="114"/>
      <c r="U215" s="114"/>
      <c r="V215" s="114"/>
      <c r="W215" s="114"/>
      <c r="X215" s="114"/>
      <c r="Y215" s="114"/>
      <c r="Z215" s="114"/>
      <c r="AA215" s="114"/>
      <c r="AB215" s="114"/>
      <c r="AC215" s="114"/>
      <c r="AD215" s="114"/>
      <c r="AE215" s="114"/>
    </row>
    <row r="216" ht="12.75" customHeight="1">
      <c r="A216" s="114"/>
      <c r="B216" s="114"/>
      <c r="C216" s="11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4"/>
      <c r="P216" s="74"/>
      <c r="Q216" s="74"/>
      <c r="R216" s="114"/>
      <c r="S216" s="114"/>
      <c r="T216" s="114"/>
      <c r="U216" s="114"/>
      <c r="V216" s="114"/>
      <c r="W216" s="114"/>
      <c r="X216" s="114"/>
      <c r="Y216" s="114"/>
      <c r="Z216" s="114"/>
      <c r="AA216" s="114"/>
      <c r="AB216" s="114"/>
      <c r="AC216" s="114"/>
      <c r="AD216" s="114"/>
      <c r="AE216" s="114"/>
    </row>
    <row r="217" ht="12.75" customHeight="1">
      <c r="A217" s="114"/>
      <c r="B217" s="114"/>
      <c r="C217" s="11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4"/>
      <c r="P217" s="74"/>
      <c r="Q217" s="74"/>
      <c r="R217" s="114"/>
      <c r="S217" s="114"/>
      <c r="T217" s="114"/>
      <c r="U217" s="114"/>
      <c r="V217" s="114"/>
      <c r="W217" s="114"/>
      <c r="X217" s="114"/>
      <c r="Y217" s="114"/>
      <c r="Z217" s="114"/>
      <c r="AA217" s="114"/>
      <c r="AB217" s="114"/>
      <c r="AC217" s="114"/>
      <c r="AD217" s="114"/>
      <c r="AE217" s="114"/>
    </row>
    <row r="218" ht="12.75" customHeight="1">
      <c r="A218" s="114"/>
      <c r="B218" s="114"/>
      <c r="C218" s="11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4"/>
      <c r="P218" s="74"/>
      <c r="Q218" s="74"/>
      <c r="R218" s="114"/>
      <c r="S218" s="114"/>
      <c r="T218" s="114"/>
      <c r="U218" s="114"/>
      <c r="V218" s="114"/>
      <c r="W218" s="114"/>
      <c r="X218" s="114"/>
      <c r="Y218" s="114"/>
      <c r="Z218" s="114"/>
      <c r="AA218" s="114"/>
      <c r="AB218" s="114"/>
      <c r="AC218" s="114"/>
      <c r="AD218" s="114"/>
      <c r="AE218" s="114"/>
    </row>
    <row r="219" ht="12.75" customHeight="1">
      <c r="A219" s="114"/>
      <c r="B219" s="114"/>
      <c r="C219" s="11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4"/>
      <c r="P219" s="74"/>
      <c r="Q219" s="74"/>
      <c r="R219" s="114"/>
      <c r="S219" s="114"/>
      <c r="T219" s="114"/>
      <c r="U219" s="114"/>
      <c r="V219" s="114"/>
      <c r="W219" s="114"/>
      <c r="X219" s="114"/>
      <c r="Y219" s="114"/>
      <c r="Z219" s="114"/>
      <c r="AA219" s="114"/>
      <c r="AB219" s="114"/>
      <c r="AC219" s="114"/>
      <c r="AD219" s="114"/>
      <c r="AE219" s="114"/>
    </row>
    <row r="220" ht="12.75" customHeight="1">
      <c r="A220" s="114"/>
      <c r="B220" s="114"/>
      <c r="C220" s="11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4"/>
      <c r="P220" s="74"/>
      <c r="Q220" s="74"/>
      <c r="R220" s="114"/>
      <c r="S220" s="114"/>
      <c r="T220" s="114"/>
      <c r="U220" s="114"/>
      <c r="V220" s="114"/>
      <c r="W220" s="114"/>
      <c r="X220" s="114"/>
      <c r="Y220" s="114"/>
      <c r="Z220" s="114"/>
      <c r="AA220" s="114"/>
      <c r="AB220" s="114"/>
      <c r="AC220" s="114"/>
      <c r="AD220" s="114"/>
      <c r="AE220" s="114"/>
    </row>
    <row r="221" ht="12.75" customHeight="1">
      <c r="A221" s="114"/>
      <c r="B221" s="114"/>
      <c r="C221" s="11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4"/>
      <c r="P221" s="74"/>
      <c r="Q221" s="74"/>
      <c r="R221" s="114"/>
      <c r="S221" s="114"/>
      <c r="T221" s="114"/>
      <c r="U221" s="114"/>
      <c r="V221" s="114"/>
      <c r="W221" s="114"/>
      <c r="X221" s="114"/>
      <c r="Y221" s="114"/>
      <c r="Z221" s="114"/>
      <c r="AA221" s="114"/>
      <c r="AB221" s="114"/>
      <c r="AC221" s="114"/>
      <c r="AD221" s="114"/>
      <c r="AE221" s="114"/>
    </row>
    <row r="222" ht="12.75" customHeight="1">
      <c r="A222" s="114"/>
      <c r="B222" s="114"/>
      <c r="C222" s="11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4"/>
      <c r="P222" s="74"/>
      <c r="Q222" s="74"/>
      <c r="R222" s="114"/>
      <c r="S222" s="114"/>
      <c r="T222" s="114"/>
      <c r="U222" s="114"/>
      <c r="V222" s="114"/>
      <c r="W222" s="114"/>
      <c r="X222" s="114"/>
      <c r="Y222" s="114"/>
      <c r="Z222" s="114"/>
      <c r="AA222" s="114"/>
      <c r="AB222" s="114"/>
      <c r="AC222" s="114"/>
      <c r="AD222" s="114"/>
      <c r="AE222" s="114"/>
    </row>
    <row r="223" ht="12.75" customHeight="1">
      <c r="A223" s="114"/>
      <c r="B223" s="114"/>
      <c r="C223" s="11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114"/>
      <c r="S223" s="114"/>
      <c r="T223" s="114"/>
      <c r="U223" s="114"/>
      <c r="V223" s="114"/>
      <c r="W223" s="114"/>
      <c r="X223" s="114"/>
      <c r="Y223" s="114"/>
      <c r="Z223" s="114"/>
      <c r="AA223" s="114"/>
      <c r="AB223" s="114"/>
      <c r="AC223" s="114"/>
      <c r="AD223" s="114"/>
      <c r="AE223" s="114"/>
    </row>
    <row r="224" ht="12.75" customHeight="1">
      <c r="A224" s="114"/>
      <c r="B224" s="114"/>
      <c r="C224" s="11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4"/>
      <c r="P224" s="74"/>
      <c r="Q224" s="74"/>
      <c r="R224" s="114"/>
      <c r="S224" s="114"/>
      <c r="T224" s="114"/>
      <c r="U224" s="114"/>
      <c r="V224" s="114"/>
      <c r="W224" s="114"/>
      <c r="X224" s="114"/>
      <c r="Y224" s="114"/>
      <c r="Z224" s="114"/>
      <c r="AA224" s="114"/>
      <c r="AB224" s="114"/>
      <c r="AC224" s="114"/>
      <c r="AD224" s="114"/>
      <c r="AE224" s="114"/>
    </row>
    <row r="225" ht="12.75" customHeight="1">
      <c r="A225" s="114"/>
      <c r="B225" s="114"/>
      <c r="C225" s="11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114"/>
      <c r="S225" s="114"/>
      <c r="T225" s="114"/>
      <c r="U225" s="114"/>
      <c r="V225" s="114"/>
      <c r="W225" s="114"/>
      <c r="X225" s="114"/>
      <c r="Y225" s="114"/>
      <c r="Z225" s="114"/>
      <c r="AA225" s="114"/>
      <c r="AB225" s="114"/>
      <c r="AC225" s="114"/>
      <c r="AD225" s="114"/>
      <c r="AE225" s="114"/>
    </row>
    <row r="226" ht="12.75" customHeight="1">
      <c r="A226" s="114"/>
      <c r="B226" s="114"/>
      <c r="C226" s="11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</row>
    <row r="227" ht="12.75" customHeight="1">
      <c r="A227" s="114"/>
      <c r="B227" s="114"/>
      <c r="C227" s="11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114"/>
      <c r="S227" s="114"/>
      <c r="T227" s="114"/>
      <c r="U227" s="114"/>
      <c r="V227" s="114"/>
      <c r="W227" s="114"/>
      <c r="X227" s="114"/>
      <c r="Y227" s="114"/>
      <c r="Z227" s="114"/>
      <c r="AA227" s="114"/>
      <c r="AB227" s="114"/>
      <c r="AC227" s="114"/>
      <c r="AD227" s="114"/>
      <c r="AE227" s="114"/>
    </row>
    <row r="228" ht="12.75" customHeight="1">
      <c r="A228" s="114"/>
      <c r="B228" s="114"/>
      <c r="C228" s="11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4"/>
      <c r="R228" s="114"/>
      <c r="S228" s="114"/>
      <c r="T228" s="114"/>
      <c r="U228" s="114"/>
      <c r="V228" s="114"/>
      <c r="W228" s="114"/>
      <c r="X228" s="114"/>
      <c r="Y228" s="114"/>
      <c r="Z228" s="114"/>
      <c r="AA228" s="114"/>
      <c r="AB228" s="114"/>
      <c r="AC228" s="114"/>
      <c r="AD228" s="114"/>
      <c r="AE228" s="114"/>
    </row>
    <row r="229" ht="12.75" customHeight="1">
      <c r="A229" s="114"/>
      <c r="B229" s="114"/>
      <c r="C229" s="11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114"/>
      <c r="S229" s="114"/>
      <c r="T229" s="114"/>
      <c r="U229" s="114"/>
      <c r="V229" s="114"/>
      <c r="W229" s="114"/>
      <c r="X229" s="114"/>
      <c r="Y229" s="114"/>
      <c r="Z229" s="114"/>
      <c r="AA229" s="114"/>
      <c r="AB229" s="114"/>
      <c r="AC229" s="114"/>
      <c r="AD229" s="114"/>
      <c r="AE229" s="114"/>
    </row>
    <row r="230" ht="12.75" customHeight="1">
      <c r="A230" s="114"/>
      <c r="B230" s="114"/>
      <c r="C230" s="11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114"/>
      <c r="S230" s="114"/>
      <c r="T230" s="114"/>
      <c r="U230" s="114"/>
      <c r="V230" s="114"/>
      <c r="W230" s="114"/>
      <c r="X230" s="114"/>
      <c r="Y230" s="114"/>
      <c r="Z230" s="114"/>
      <c r="AA230" s="114"/>
      <c r="AB230" s="114"/>
      <c r="AC230" s="114"/>
      <c r="AD230" s="114"/>
      <c r="AE230" s="114"/>
    </row>
    <row r="231" ht="12.75" customHeight="1">
      <c r="A231" s="114"/>
      <c r="B231" s="114"/>
      <c r="C231" s="11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4"/>
      <c r="R231" s="114"/>
      <c r="S231" s="114"/>
      <c r="T231" s="114"/>
      <c r="U231" s="114"/>
      <c r="V231" s="114"/>
      <c r="W231" s="114"/>
      <c r="X231" s="114"/>
      <c r="Y231" s="114"/>
      <c r="Z231" s="114"/>
      <c r="AA231" s="114"/>
      <c r="AB231" s="114"/>
      <c r="AC231" s="114"/>
      <c r="AD231" s="114"/>
      <c r="AE231" s="114"/>
    </row>
    <row r="232" ht="12.75" customHeight="1">
      <c r="A232" s="114"/>
      <c r="B232" s="114"/>
      <c r="C232" s="11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4"/>
      <c r="R232" s="114"/>
      <c r="S232" s="114"/>
      <c r="T232" s="114"/>
      <c r="U232" s="114"/>
      <c r="V232" s="114"/>
      <c r="W232" s="114"/>
      <c r="X232" s="114"/>
      <c r="Y232" s="114"/>
      <c r="Z232" s="114"/>
      <c r="AA232" s="114"/>
      <c r="AB232" s="114"/>
      <c r="AC232" s="114"/>
      <c r="AD232" s="114"/>
      <c r="AE232" s="114"/>
    </row>
    <row r="233" ht="12.75" customHeight="1">
      <c r="A233" s="114"/>
      <c r="B233" s="114"/>
      <c r="C233" s="11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4"/>
      <c r="P233" s="74"/>
      <c r="Q233" s="74"/>
      <c r="R233" s="114"/>
      <c r="S233" s="114"/>
      <c r="T233" s="114"/>
      <c r="U233" s="114"/>
      <c r="V233" s="114"/>
      <c r="W233" s="114"/>
      <c r="X233" s="114"/>
      <c r="Y233" s="114"/>
      <c r="Z233" s="114"/>
      <c r="AA233" s="114"/>
      <c r="AB233" s="114"/>
      <c r="AC233" s="114"/>
      <c r="AD233" s="114"/>
      <c r="AE233" s="114"/>
    </row>
    <row r="234" ht="12.75" customHeight="1">
      <c r="A234" s="114"/>
      <c r="B234" s="114"/>
      <c r="C234" s="11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114"/>
      <c r="S234" s="114"/>
      <c r="T234" s="114"/>
      <c r="U234" s="114"/>
      <c r="V234" s="114"/>
      <c r="W234" s="114"/>
      <c r="X234" s="114"/>
      <c r="Y234" s="114"/>
      <c r="Z234" s="114"/>
      <c r="AA234" s="114"/>
      <c r="AB234" s="114"/>
      <c r="AC234" s="114"/>
      <c r="AD234" s="114"/>
      <c r="AE234" s="114"/>
    </row>
    <row r="235" ht="12.75" customHeight="1">
      <c r="A235" s="114"/>
      <c r="B235" s="114"/>
      <c r="C235" s="11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114"/>
      <c r="S235" s="114"/>
      <c r="T235" s="114"/>
      <c r="U235" s="114"/>
      <c r="V235" s="114"/>
      <c r="W235" s="114"/>
      <c r="X235" s="114"/>
      <c r="Y235" s="114"/>
      <c r="Z235" s="114"/>
      <c r="AA235" s="114"/>
      <c r="AB235" s="114"/>
      <c r="AC235" s="114"/>
      <c r="AD235" s="114"/>
      <c r="AE235" s="114"/>
    </row>
    <row r="236" ht="12.75" customHeight="1">
      <c r="A236" s="114"/>
      <c r="B236" s="114"/>
      <c r="C236" s="11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4"/>
      <c r="P236" s="74"/>
      <c r="Q236" s="74"/>
      <c r="R236" s="114"/>
      <c r="S236" s="114"/>
      <c r="T236" s="114"/>
      <c r="U236" s="114"/>
      <c r="V236" s="114"/>
      <c r="W236" s="114"/>
      <c r="X236" s="114"/>
      <c r="Y236" s="114"/>
      <c r="Z236" s="114"/>
      <c r="AA236" s="114"/>
      <c r="AB236" s="114"/>
      <c r="AC236" s="114"/>
      <c r="AD236" s="114"/>
      <c r="AE236" s="114"/>
    </row>
    <row r="237" ht="12.75" customHeight="1">
      <c r="A237" s="114"/>
      <c r="B237" s="114"/>
      <c r="C237" s="11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114"/>
      <c r="S237" s="114"/>
      <c r="T237" s="114"/>
      <c r="U237" s="114"/>
      <c r="V237" s="114"/>
      <c r="W237" s="114"/>
      <c r="X237" s="114"/>
      <c r="Y237" s="114"/>
      <c r="Z237" s="114"/>
      <c r="AA237" s="114"/>
      <c r="AB237" s="114"/>
      <c r="AC237" s="114"/>
      <c r="AD237" s="114"/>
      <c r="AE237" s="114"/>
    </row>
    <row r="238" ht="12.75" customHeight="1">
      <c r="A238" s="114"/>
      <c r="B238" s="114"/>
      <c r="C238" s="11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4"/>
      <c r="P238" s="74"/>
      <c r="Q238" s="74"/>
      <c r="R238" s="114"/>
      <c r="S238" s="114"/>
      <c r="T238" s="114"/>
      <c r="U238" s="114"/>
      <c r="V238" s="114"/>
      <c r="W238" s="114"/>
      <c r="X238" s="114"/>
      <c r="Y238" s="114"/>
      <c r="Z238" s="114"/>
      <c r="AA238" s="114"/>
      <c r="AB238" s="114"/>
      <c r="AC238" s="114"/>
      <c r="AD238" s="114"/>
      <c r="AE238" s="114"/>
    </row>
    <row r="239" ht="12.75" customHeight="1">
      <c r="A239" s="114"/>
      <c r="B239" s="114"/>
      <c r="C239" s="11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4"/>
      <c r="P239" s="74"/>
      <c r="Q239" s="74"/>
      <c r="R239" s="114"/>
      <c r="S239" s="114"/>
      <c r="T239" s="114"/>
      <c r="U239" s="114"/>
      <c r="V239" s="114"/>
      <c r="W239" s="114"/>
      <c r="X239" s="114"/>
      <c r="Y239" s="114"/>
      <c r="Z239" s="114"/>
      <c r="AA239" s="114"/>
      <c r="AB239" s="114"/>
      <c r="AC239" s="114"/>
      <c r="AD239" s="114"/>
      <c r="AE239" s="114"/>
    </row>
    <row r="240" ht="12.75" customHeight="1">
      <c r="A240" s="114"/>
      <c r="B240" s="114"/>
      <c r="C240" s="11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</row>
    <row r="241" ht="12.75" customHeight="1">
      <c r="A241" s="114"/>
      <c r="B241" s="114"/>
      <c r="C241" s="11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4"/>
      <c r="P241" s="74"/>
      <c r="Q241" s="74"/>
      <c r="R241" s="114"/>
      <c r="S241" s="114"/>
      <c r="T241" s="114"/>
      <c r="U241" s="114"/>
      <c r="V241" s="114"/>
      <c r="W241" s="114"/>
      <c r="X241" s="114"/>
      <c r="Y241" s="114"/>
      <c r="Z241" s="114"/>
      <c r="AA241" s="114"/>
      <c r="AB241" s="114"/>
      <c r="AC241" s="114"/>
      <c r="AD241" s="114"/>
      <c r="AE241" s="114"/>
    </row>
    <row r="242" ht="12.75" customHeight="1">
      <c r="A242" s="114"/>
      <c r="B242" s="114"/>
      <c r="C242" s="11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114"/>
      <c r="S242" s="114"/>
      <c r="T242" s="114"/>
      <c r="U242" s="114"/>
      <c r="V242" s="114"/>
      <c r="W242" s="114"/>
      <c r="X242" s="114"/>
      <c r="Y242" s="114"/>
      <c r="Z242" s="114"/>
      <c r="AA242" s="114"/>
      <c r="AB242" s="114"/>
      <c r="AC242" s="114"/>
      <c r="AD242" s="114"/>
      <c r="AE242" s="114"/>
    </row>
    <row r="243" ht="12.75" customHeight="1">
      <c r="A243" s="114"/>
      <c r="B243" s="114"/>
      <c r="C243" s="11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4"/>
      <c r="P243" s="74"/>
      <c r="Q243" s="7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</row>
    <row r="244" ht="12.75" customHeight="1">
      <c r="A244" s="114"/>
      <c r="B244" s="114"/>
      <c r="C244" s="11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4"/>
      <c r="P244" s="74"/>
      <c r="Q244" s="74"/>
      <c r="R244" s="114"/>
      <c r="S244" s="114"/>
      <c r="T244" s="114"/>
      <c r="U244" s="114"/>
      <c r="V244" s="114"/>
      <c r="W244" s="114"/>
      <c r="X244" s="114"/>
      <c r="Y244" s="114"/>
      <c r="Z244" s="114"/>
      <c r="AA244" s="114"/>
      <c r="AB244" s="114"/>
      <c r="AC244" s="114"/>
      <c r="AD244" s="114"/>
      <c r="AE244" s="114"/>
    </row>
    <row r="245" ht="12.75" customHeight="1">
      <c r="A245" s="114"/>
      <c r="B245" s="114"/>
      <c r="C245" s="11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4"/>
      <c r="R245" s="114"/>
      <c r="S245" s="114"/>
      <c r="T245" s="114"/>
      <c r="U245" s="114"/>
      <c r="V245" s="114"/>
      <c r="W245" s="114"/>
      <c r="X245" s="114"/>
      <c r="Y245" s="114"/>
      <c r="Z245" s="114"/>
      <c r="AA245" s="114"/>
      <c r="AB245" s="114"/>
      <c r="AC245" s="114"/>
      <c r="AD245" s="114"/>
      <c r="AE245" s="114"/>
    </row>
    <row r="246" ht="12.75" customHeight="1">
      <c r="A246" s="114"/>
      <c r="B246" s="114"/>
      <c r="C246" s="11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114"/>
      <c r="S246" s="114"/>
      <c r="T246" s="114"/>
      <c r="U246" s="114"/>
      <c r="V246" s="114"/>
      <c r="W246" s="114"/>
      <c r="X246" s="114"/>
      <c r="Y246" s="114"/>
      <c r="Z246" s="114"/>
      <c r="AA246" s="114"/>
      <c r="AB246" s="114"/>
      <c r="AC246" s="114"/>
      <c r="AD246" s="114"/>
      <c r="AE246" s="114"/>
    </row>
    <row r="247" ht="12.75" customHeight="1">
      <c r="A247" s="114"/>
      <c r="B247" s="114"/>
      <c r="C247" s="11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4"/>
      <c r="P247" s="74"/>
      <c r="Q247" s="74"/>
      <c r="R247" s="114"/>
      <c r="S247" s="114"/>
      <c r="T247" s="114"/>
      <c r="U247" s="114"/>
      <c r="V247" s="114"/>
      <c r="W247" s="114"/>
      <c r="X247" s="114"/>
      <c r="Y247" s="114"/>
      <c r="Z247" s="114"/>
      <c r="AA247" s="114"/>
      <c r="AB247" s="114"/>
      <c r="AC247" s="114"/>
      <c r="AD247" s="114"/>
      <c r="AE247" s="114"/>
    </row>
    <row r="248" ht="12.75" customHeight="1">
      <c r="A248" s="114"/>
      <c r="B248" s="114"/>
      <c r="C248" s="11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4"/>
      <c r="P248" s="74"/>
      <c r="Q248" s="74"/>
      <c r="R248" s="114"/>
      <c r="S248" s="114"/>
      <c r="T248" s="114"/>
      <c r="U248" s="114"/>
      <c r="V248" s="114"/>
      <c r="W248" s="114"/>
      <c r="X248" s="114"/>
      <c r="Y248" s="114"/>
      <c r="Z248" s="114"/>
      <c r="AA248" s="114"/>
      <c r="AB248" s="114"/>
      <c r="AC248" s="114"/>
      <c r="AD248" s="114"/>
      <c r="AE248" s="114"/>
    </row>
    <row r="249" ht="12.75" customHeight="1">
      <c r="A249" s="114"/>
      <c r="B249" s="114"/>
      <c r="C249" s="11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4"/>
      <c r="P249" s="74"/>
      <c r="Q249" s="74"/>
      <c r="R249" s="114"/>
      <c r="S249" s="114"/>
      <c r="T249" s="114"/>
      <c r="U249" s="114"/>
      <c r="V249" s="114"/>
      <c r="W249" s="114"/>
      <c r="X249" s="114"/>
      <c r="Y249" s="114"/>
      <c r="Z249" s="114"/>
      <c r="AA249" s="114"/>
      <c r="AB249" s="114"/>
      <c r="AC249" s="114"/>
      <c r="AD249" s="114"/>
      <c r="AE249" s="114"/>
    </row>
    <row r="250" ht="12.75" customHeight="1">
      <c r="A250" s="114"/>
      <c r="B250" s="114"/>
      <c r="C250" s="11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74"/>
      <c r="O250" s="74"/>
      <c r="P250" s="74"/>
      <c r="Q250" s="74"/>
      <c r="R250" s="114"/>
      <c r="S250" s="114"/>
      <c r="T250" s="114"/>
      <c r="U250" s="114"/>
      <c r="V250" s="114"/>
      <c r="W250" s="114"/>
      <c r="X250" s="114"/>
      <c r="Y250" s="114"/>
      <c r="Z250" s="114"/>
      <c r="AA250" s="114"/>
      <c r="AB250" s="114"/>
      <c r="AC250" s="114"/>
      <c r="AD250" s="114"/>
      <c r="AE250" s="114"/>
    </row>
    <row r="251" ht="12.75" customHeight="1">
      <c r="A251" s="114"/>
      <c r="B251" s="114"/>
      <c r="C251" s="11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4"/>
      <c r="P251" s="74"/>
      <c r="Q251" s="74"/>
      <c r="R251" s="114"/>
      <c r="S251" s="114"/>
      <c r="T251" s="114"/>
      <c r="U251" s="114"/>
      <c r="V251" s="114"/>
      <c r="W251" s="114"/>
      <c r="X251" s="114"/>
      <c r="Y251" s="114"/>
      <c r="Z251" s="114"/>
      <c r="AA251" s="114"/>
      <c r="AB251" s="114"/>
      <c r="AC251" s="114"/>
      <c r="AD251" s="114"/>
      <c r="AE251" s="114"/>
    </row>
    <row r="252" ht="12.75" customHeight="1">
      <c r="A252" s="114"/>
      <c r="B252" s="114"/>
      <c r="C252" s="11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4"/>
      <c r="P252" s="74"/>
      <c r="Q252" s="7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</row>
    <row r="253" ht="12.75" customHeight="1">
      <c r="A253" s="114"/>
      <c r="B253" s="114"/>
      <c r="C253" s="11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4"/>
      <c r="P253" s="74"/>
      <c r="Q253" s="74"/>
      <c r="R253" s="114"/>
      <c r="S253" s="114"/>
      <c r="T253" s="114"/>
      <c r="U253" s="114"/>
      <c r="V253" s="114"/>
      <c r="W253" s="114"/>
      <c r="X253" s="114"/>
      <c r="Y253" s="114"/>
      <c r="Z253" s="114"/>
      <c r="AA253" s="114"/>
      <c r="AB253" s="114"/>
      <c r="AC253" s="114"/>
      <c r="AD253" s="114"/>
      <c r="AE253" s="114"/>
    </row>
    <row r="254" ht="12.75" customHeight="1">
      <c r="A254" s="114"/>
      <c r="B254" s="114"/>
      <c r="C254" s="11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4"/>
      <c r="R254" s="114"/>
      <c r="S254" s="114"/>
      <c r="T254" s="114"/>
      <c r="U254" s="114"/>
      <c r="V254" s="114"/>
      <c r="W254" s="114"/>
      <c r="X254" s="114"/>
      <c r="Y254" s="114"/>
      <c r="Z254" s="114"/>
      <c r="AA254" s="114"/>
      <c r="AB254" s="114"/>
      <c r="AC254" s="114"/>
      <c r="AD254" s="114"/>
      <c r="AE254" s="114"/>
    </row>
    <row r="255" ht="12.75" customHeight="1">
      <c r="A255" s="114"/>
      <c r="B255" s="114"/>
      <c r="C255" s="11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</row>
    <row r="256" ht="12.75" customHeight="1">
      <c r="A256" s="114"/>
      <c r="B256" s="114"/>
      <c r="C256" s="11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114"/>
      <c r="S256" s="114"/>
      <c r="T256" s="114"/>
      <c r="U256" s="114"/>
      <c r="V256" s="114"/>
      <c r="W256" s="114"/>
      <c r="X256" s="114"/>
      <c r="Y256" s="114"/>
      <c r="Z256" s="114"/>
      <c r="AA256" s="114"/>
      <c r="AB256" s="114"/>
      <c r="AC256" s="114"/>
      <c r="AD256" s="114"/>
      <c r="AE256" s="114"/>
    </row>
    <row r="257" ht="12.75" customHeight="1">
      <c r="A257" s="114"/>
      <c r="B257" s="114"/>
      <c r="C257" s="11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114"/>
      <c r="S257" s="114"/>
      <c r="T257" s="114"/>
      <c r="U257" s="114"/>
      <c r="V257" s="114"/>
      <c r="W257" s="114"/>
      <c r="X257" s="114"/>
      <c r="Y257" s="114"/>
      <c r="Z257" s="114"/>
      <c r="AA257" s="114"/>
      <c r="AB257" s="114"/>
      <c r="AC257" s="114"/>
      <c r="AD257" s="114"/>
      <c r="AE257" s="114"/>
    </row>
    <row r="258" ht="12.75" customHeight="1">
      <c r="A258" s="114"/>
      <c r="B258" s="114"/>
      <c r="C258" s="11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4"/>
      <c r="P258" s="74"/>
      <c r="Q258" s="74"/>
      <c r="R258" s="114"/>
      <c r="S258" s="114"/>
      <c r="T258" s="114"/>
      <c r="U258" s="114"/>
      <c r="V258" s="114"/>
      <c r="W258" s="114"/>
      <c r="X258" s="114"/>
      <c r="Y258" s="114"/>
      <c r="Z258" s="114"/>
      <c r="AA258" s="114"/>
      <c r="AB258" s="114"/>
      <c r="AC258" s="114"/>
      <c r="AD258" s="114"/>
      <c r="AE258" s="114"/>
    </row>
    <row r="259" ht="12.75" customHeight="1">
      <c r="A259" s="114"/>
      <c r="B259" s="114"/>
      <c r="C259" s="11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4"/>
      <c r="P259" s="74"/>
      <c r="Q259" s="74"/>
      <c r="R259" s="114"/>
      <c r="S259" s="114"/>
      <c r="T259" s="114"/>
      <c r="U259" s="114"/>
      <c r="V259" s="114"/>
      <c r="W259" s="114"/>
      <c r="X259" s="114"/>
      <c r="Y259" s="114"/>
      <c r="Z259" s="114"/>
      <c r="AA259" s="114"/>
      <c r="AB259" s="114"/>
      <c r="AC259" s="114"/>
      <c r="AD259" s="114"/>
      <c r="AE259" s="114"/>
    </row>
    <row r="260" ht="12.75" customHeight="1">
      <c r="A260" s="114"/>
      <c r="B260" s="114"/>
      <c r="C260" s="11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4"/>
      <c r="P260" s="74"/>
      <c r="Q260" s="74"/>
      <c r="R260" s="114"/>
      <c r="S260" s="114"/>
      <c r="T260" s="114"/>
      <c r="U260" s="114"/>
      <c r="V260" s="114"/>
      <c r="W260" s="114"/>
      <c r="X260" s="114"/>
      <c r="Y260" s="114"/>
      <c r="Z260" s="114"/>
      <c r="AA260" s="114"/>
      <c r="AB260" s="114"/>
      <c r="AC260" s="114"/>
      <c r="AD260" s="114"/>
      <c r="AE260" s="114"/>
    </row>
    <row r="261" ht="12.75" customHeight="1">
      <c r="A261" s="114"/>
      <c r="B261" s="114"/>
      <c r="C261" s="11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4"/>
      <c r="R261" s="114"/>
      <c r="S261" s="114"/>
      <c r="T261" s="114"/>
      <c r="U261" s="114"/>
      <c r="V261" s="114"/>
      <c r="W261" s="114"/>
      <c r="X261" s="114"/>
      <c r="Y261" s="114"/>
      <c r="Z261" s="114"/>
      <c r="AA261" s="114"/>
      <c r="AB261" s="114"/>
      <c r="AC261" s="114"/>
      <c r="AD261" s="114"/>
      <c r="AE261" s="114"/>
    </row>
    <row r="262" ht="12.75" customHeight="1">
      <c r="A262" s="114"/>
      <c r="B262" s="114"/>
      <c r="C262" s="11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114"/>
      <c r="S262" s="114"/>
      <c r="T262" s="114"/>
      <c r="U262" s="114"/>
      <c r="V262" s="114"/>
      <c r="W262" s="114"/>
      <c r="X262" s="114"/>
      <c r="Y262" s="114"/>
      <c r="Z262" s="114"/>
      <c r="AA262" s="114"/>
      <c r="AB262" s="114"/>
      <c r="AC262" s="114"/>
      <c r="AD262" s="114"/>
      <c r="AE262" s="114"/>
    </row>
    <row r="263" ht="12.75" customHeight="1">
      <c r="A263" s="114"/>
      <c r="B263" s="114"/>
      <c r="C263" s="11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4"/>
      <c r="P263" s="74"/>
      <c r="Q263" s="74"/>
      <c r="R263" s="114"/>
      <c r="S263" s="114"/>
      <c r="T263" s="114"/>
      <c r="U263" s="114"/>
      <c r="V263" s="114"/>
      <c r="W263" s="114"/>
      <c r="X263" s="114"/>
      <c r="Y263" s="114"/>
      <c r="Z263" s="114"/>
      <c r="AA263" s="114"/>
      <c r="AB263" s="114"/>
      <c r="AC263" s="114"/>
      <c r="AD263" s="114"/>
      <c r="AE263" s="114"/>
    </row>
    <row r="264" ht="12.75" customHeight="1">
      <c r="A264" s="114"/>
      <c r="B264" s="114"/>
      <c r="C264" s="11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4"/>
      <c r="P264" s="74"/>
      <c r="Q264" s="7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</row>
    <row r="265" ht="12.75" customHeight="1">
      <c r="A265" s="114"/>
      <c r="B265" s="114"/>
      <c r="C265" s="11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4"/>
      <c r="P265" s="74"/>
      <c r="Q265" s="74"/>
      <c r="R265" s="114"/>
      <c r="S265" s="114"/>
      <c r="T265" s="114"/>
      <c r="U265" s="114"/>
      <c r="V265" s="114"/>
      <c r="W265" s="114"/>
      <c r="X265" s="114"/>
      <c r="Y265" s="114"/>
      <c r="Z265" s="114"/>
      <c r="AA265" s="114"/>
      <c r="AB265" s="114"/>
      <c r="AC265" s="114"/>
      <c r="AD265" s="114"/>
      <c r="AE265" s="114"/>
    </row>
    <row r="266" ht="12.75" customHeight="1">
      <c r="A266" s="114"/>
      <c r="B266" s="114"/>
      <c r="C266" s="11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4"/>
      <c r="R266" s="114"/>
      <c r="S266" s="114"/>
      <c r="T266" s="114"/>
      <c r="U266" s="114"/>
      <c r="V266" s="114"/>
      <c r="W266" s="114"/>
      <c r="X266" s="114"/>
      <c r="Y266" s="114"/>
      <c r="Z266" s="114"/>
      <c r="AA266" s="114"/>
      <c r="AB266" s="114"/>
      <c r="AC266" s="114"/>
      <c r="AD266" s="114"/>
      <c r="AE266" s="114"/>
    </row>
    <row r="267" ht="12.75" customHeight="1">
      <c r="A267" s="114"/>
      <c r="B267" s="114"/>
      <c r="C267" s="11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</row>
    <row r="268" ht="12.75" customHeight="1">
      <c r="A268" s="114"/>
      <c r="B268" s="114"/>
      <c r="C268" s="11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4"/>
      <c r="Q268" s="74"/>
      <c r="R268" s="114"/>
      <c r="S268" s="114"/>
      <c r="T268" s="114"/>
      <c r="U268" s="114"/>
      <c r="V268" s="114"/>
      <c r="W268" s="114"/>
      <c r="X268" s="114"/>
      <c r="Y268" s="114"/>
      <c r="Z268" s="114"/>
      <c r="AA268" s="114"/>
      <c r="AB268" s="114"/>
      <c r="AC268" s="114"/>
      <c r="AD268" s="114"/>
      <c r="AE268" s="114"/>
    </row>
    <row r="269" ht="12.75" customHeight="1">
      <c r="A269" s="114"/>
      <c r="B269" s="114"/>
      <c r="C269" s="11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4"/>
      <c r="P269" s="74"/>
      <c r="Q269" s="7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114"/>
      <c r="AD269" s="114"/>
      <c r="AE269" s="114"/>
    </row>
    <row r="270" ht="12.75" customHeight="1">
      <c r="A270" s="114"/>
      <c r="B270" s="114"/>
      <c r="C270" s="11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4"/>
      <c r="P270" s="74"/>
      <c r="Q270" s="74"/>
      <c r="R270" s="114"/>
      <c r="S270" s="114"/>
      <c r="T270" s="114"/>
      <c r="U270" s="114"/>
      <c r="V270" s="114"/>
      <c r="W270" s="114"/>
      <c r="X270" s="114"/>
      <c r="Y270" s="114"/>
      <c r="Z270" s="114"/>
      <c r="AA270" s="114"/>
      <c r="AB270" s="114"/>
      <c r="AC270" s="114"/>
      <c r="AD270" s="114"/>
      <c r="AE270" s="114"/>
    </row>
    <row r="271" ht="12.75" customHeight="1">
      <c r="A271" s="114"/>
      <c r="B271" s="114"/>
      <c r="C271" s="11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4"/>
      <c r="P271" s="74"/>
      <c r="Q271" s="74"/>
      <c r="R271" s="114"/>
      <c r="S271" s="114"/>
      <c r="T271" s="114"/>
      <c r="U271" s="114"/>
      <c r="V271" s="114"/>
      <c r="W271" s="114"/>
      <c r="X271" s="114"/>
      <c r="Y271" s="114"/>
      <c r="Z271" s="114"/>
      <c r="AA271" s="114"/>
      <c r="AB271" s="114"/>
      <c r="AC271" s="114"/>
      <c r="AD271" s="114"/>
      <c r="AE271" s="114"/>
    </row>
    <row r="272" ht="12.75" customHeight="1">
      <c r="A272" s="114"/>
      <c r="B272" s="114"/>
      <c r="C272" s="11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4"/>
      <c r="P272" s="74"/>
      <c r="Q272" s="74"/>
      <c r="R272" s="114"/>
      <c r="S272" s="114"/>
      <c r="T272" s="114"/>
      <c r="U272" s="114"/>
      <c r="V272" s="114"/>
      <c r="W272" s="114"/>
      <c r="X272" s="114"/>
      <c r="Y272" s="114"/>
      <c r="Z272" s="114"/>
      <c r="AA272" s="114"/>
      <c r="AB272" s="114"/>
      <c r="AC272" s="114"/>
      <c r="AD272" s="114"/>
      <c r="AE272" s="114"/>
    </row>
    <row r="273" ht="12.75" customHeight="1">
      <c r="A273" s="114"/>
      <c r="B273" s="114"/>
      <c r="C273" s="11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114"/>
      <c r="S273" s="114"/>
      <c r="T273" s="114"/>
      <c r="U273" s="114"/>
      <c r="V273" s="114"/>
      <c r="W273" s="114"/>
      <c r="X273" s="114"/>
      <c r="Y273" s="114"/>
      <c r="Z273" s="114"/>
      <c r="AA273" s="114"/>
      <c r="AB273" s="114"/>
      <c r="AC273" s="114"/>
      <c r="AD273" s="114"/>
      <c r="AE273" s="114"/>
    </row>
    <row r="274" ht="12.75" customHeight="1">
      <c r="A274" s="114"/>
      <c r="B274" s="114"/>
      <c r="C274" s="11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4"/>
      <c r="P274" s="74"/>
      <c r="Q274" s="74"/>
      <c r="R274" s="114"/>
      <c r="S274" s="114"/>
      <c r="T274" s="114"/>
      <c r="U274" s="114"/>
      <c r="V274" s="114"/>
      <c r="W274" s="114"/>
      <c r="X274" s="114"/>
      <c r="Y274" s="114"/>
      <c r="Z274" s="114"/>
      <c r="AA274" s="114"/>
      <c r="AB274" s="114"/>
      <c r="AC274" s="114"/>
      <c r="AD274" s="114"/>
      <c r="AE274" s="114"/>
    </row>
    <row r="275" ht="12.75" customHeight="1">
      <c r="A275" s="114"/>
      <c r="B275" s="114"/>
      <c r="C275" s="11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114"/>
      <c r="S275" s="114"/>
      <c r="T275" s="114"/>
      <c r="U275" s="114"/>
      <c r="V275" s="114"/>
      <c r="W275" s="114"/>
      <c r="X275" s="114"/>
      <c r="Y275" s="114"/>
      <c r="Z275" s="114"/>
      <c r="AA275" s="114"/>
      <c r="AB275" s="114"/>
      <c r="AC275" s="114"/>
      <c r="AD275" s="114"/>
      <c r="AE275" s="114"/>
    </row>
    <row r="276" ht="12.75" customHeight="1">
      <c r="A276" s="114"/>
      <c r="B276" s="114"/>
      <c r="C276" s="11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114"/>
      <c r="S276" s="114"/>
      <c r="T276" s="114"/>
      <c r="U276" s="114"/>
      <c r="V276" s="114"/>
      <c r="W276" s="114"/>
      <c r="X276" s="114"/>
      <c r="Y276" s="114"/>
      <c r="Z276" s="114"/>
      <c r="AA276" s="114"/>
      <c r="AB276" s="114"/>
      <c r="AC276" s="114"/>
      <c r="AD276" s="114"/>
      <c r="AE276" s="114"/>
    </row>
    <row r="277" ht="12.75" customHeight="1">
      <c r="A277" s="114"/>
      <c r="B277" s="114"/>
      <c r="C277" s="11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4"/>
      <c r="R277" s="114"/>
      <c r="S277" s="114"/>
      <c r="T277" s="114"/>
      <c r="U277" s="114"/>
      <c r="V277" s="114"/>
      <c r="W277" s="114"/>
      <c r="X277" s="114"/>
      <c r="Y277" s="114"/>
      <c r="Z277" s="114"/>
      <c r="AA277" s="114"/>
      <c r="AB277" s="114"/>
      <c r="AC277" s="114"/>
      <c r="AD277" s="114"/>
      <c r="AE277" s="114"/>
    </row>
    <row r="278" ht="12.75" customHeight="1">
      <c r="A278" s="114"/>
      <c r="B278" s="114"/>
      <c r="C278" s="11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4"/>
      <c r="R278" s="114"/>
      <c r="S278" s="114"/>
      <c r="T278" s="114"/>
      <c r="U278" s="114"/>
      <c r="V278" s="114"/>
      <c r="W278" s="114"/>
      <c r="X278" s="114"/>
      <c r="Y278" s="114"/>
      <c r="Z278" s="114"/>
      <c r="AA278" s="114"/>
      <c r="AB278" s="114"/>
      <c r="AC278" s="114"/>
      <c r="AD278" s="114"/>
      <c r="AE278" s="114"/>
    </row>
    <row r="279" ht="12.75" customHeight="1">
      <c r="A279" s="114"/>
      <c r="B279" s="114"/>
      <c r="C279" s="11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4"/>
      <c r="P279" s="74"/>
      <c r="Q279" s="74"/>
      <c r="R279" s="114"/>
      <c r="S279" s="114"/>
      <c r="T279" s="114"/>
      <c r="U279" s="114"/>
      <c r="V279" s="114"/>
      <c r="W279" s="114"/>
      <c r="X279" s="114"/>
      <c r="Y279" s="114"/>
      <c r="Z279" s="114"/>
      <c r="AA279" s="114"/>
      <c r="AB279" s="114"/>
      <c r="AC279" s="114"/>
      <c r="AD279" s="114"/>
      <c r="AE279" s="114"/>
    </row>
    <row r="280" ht="12.75" customHeight="1">
      <c r="A280" s="114"/>
      <c r="B280" s="114"/>
      <c r="C280" s="11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114"/>
      <c r="S280" s="114"/>
      <c r="T280" s="114"/>
      <c r="U280" s="114"/>
      <c r="V280" s="114"/>
      <c r="W280" s="114"/>
      <c r="X280" s="114"/>
      <c r="Y280" s="114"/>
      <c r="Z280" s="114"/>
      <c r="AA280" s="114"/>
      <c r="AB280" s="114"/>
      <c r="AC280" s="114"/>
      <c r="AD280" s="114"/>
      <c r="AE280" s="114"/>
    </row>
    <row r="281" ht="12.75" customHeight="1">
      <c r="A281" s="114"/>
      <c r="B281" s="114"/>
      <c r="C281" s="114"/>
      <c r="D281" s="114"/>
      <c r="E281" s="114"/>
      <c r="F281" s="114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4"/>
      <c r="U281" s="114"/>
      <c r="V281" s="114"/>
      <c r="W281" s="114"/>
      <c r="X281" s="114"/>
      <c r="Y281" s="114"/>
      <c r="Z281" s="114"/>
      <c r="AA281" s="114"/>
      <c r="AB281" s="114"/>
      <c r="AC281" s="114"/>
      <c r="AD281" s="114"/>
      <c r="AE281" s="114"/>
    </row>
    <row r="282" ht="12.75" customHeight="1">
      <c r="A282" s="114"/>
      <c r="B282" s="114"/>
      <c r="C282" s="114"/>
      <c r="D282" s="114"/>
      <c r="E282" s="114"/>
      <c r="F282" s="114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4"/>
      <c r="U282" s="114"/>
      <c r="V282" s="114"/>
      <c r="W282" s="114"/>
      <c r="X282" s="114"/>
      <c r="Y282" s="114"/>
      <c r="Z282" s="114"/>
      <c r="AA282" s="114"/>
      <c r="AB282" s="114"/>
      <c r="AC282" s="114"/>
      <c r="AD282" s="114"/>
      <c r="AE282" s="114"/>
    </row>
    <row r="283" ht="12.75" customHeight="1">
      <c r="A283" s="114"/>
      <c r="B283" s="114"/>
      <c r="C283" s="114"/>
      <c r="D283" s="114"/>
      <c r="E283" s="114"/>
      <c r="F283" s="114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4"/>
      <c r="U283" s="114"/>
      <c r="V283" s="114"/>
      <c r="W283" s="114"/>
      <c r="X283" s="114"/>
      <c r="Y283" s="114"/>
      <c r="Z283" s="114"/>
      <c r="AA283" s="114"/>
      <c r="AB283" s="114"/>
      <c r="AC283" s="114"/>
      <c r="AD283" s="114"/>
      <c r="AE283" s="114"/>
    </row>
    <row r="284" ht="12.75" customHeight="1">
      <c r="A284" s="114"/>
      <c r="B284" s="114"/>
      <c r="C284" s="114"/>
      <c r="D284" s="114"/>
      <c r="E284" s="114"/>
      <c r="F284" s="114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4"/>
      <c r="U284" s="114"/>
      <c r="V284" s="114"/>
      <c r="W284" s="114"/>
      <c r="X284" s="114"/>
      <c r="Y284" s="114"/>
      <c r="Z284" s="114"/>
      <c r="AA284" s="114"/>
      <c r="AB284" s="114"/>
      <c r="AC284" s="114"/>
      <c r="AD284" s="114"/>
      <c r="AE284" s="114"/>
    </row>
    <row r="285" ht="12.75" customHeight="1">
      <c r="A285" s="114"/>
      <c r="B285" s="114"/>
      <c r="C285" s="114"/>
      <c r="D285" s="114"/>
      <c r="E285" s="114"/>
      <c r="F285" s="114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4"/>
      <c r="U285" s="114"/>
      <c r="V285" s="114"/>
      <c r="W285" s="114"/>
      <c r="X285" s="114"/>
      <c r="Y285" s="114"/>
      <c r="Z285" s="114"/>
      <c r="AA285" s="114"/>
      <c r="AB285" s="114"/>
      <c r="AC285" s="114"/>
      <c r="AD285" s="114"/>
      <c r="AE285" s="114"/>
    </row>
    <row r="286" ht="12.75" customHeight="1">
      <c r="A286" s="114"/>
      <c r="B286" s="114"/>
      <c r="C286" s="114"/>
      <c r="D286" s="114"/>
      <c r="E286" s="114"/>
      <c r="F286" s="114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4"/>
      <c r="U286" s="114"/>
      <c r="V286" s="114"/>
      <c r="W286" s="114"/>
      <c r="X286" s="114"/>
      <c r="Y286" s="114"/>
      <c r="Z286" s="114"/>
      <c r="AA286" s="114"/>
      <c r="AB286" s="114"/>
      <c r="AC286" s="114"/>
      <c r="AD286" s="114"/>
      <c r="AE286" s="114"/>
    </row>
    <row r="287" ht="12.75" customHeight="1">
      <c r="A287" s="114"/>
      <c r="B287" s="114"/>
      <c r="C287" s="114"/>
      <c r="D287" s="114"/>
      <c r="E287" s="114"/>
      <c r="F287" s="114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4"/>
      <c r="U287" s="114"/>
      <c r="V287" s="114"/>
      <c r="W287" s="114"/>
      <c r="X287" s="114"/>
      <c r="Y287" s="114"/>
      <c r="Z287" s="114"/>
      <c r="AA287" s="114"/>
      <c r="AB287" s="114"/>
      <c r="AC287" s="114"/>
      <c r="AD287" s="114"/>
      <c r="AE287" s="114"/>
    </row>
    <row r="288" ht="12.75" customHeight="1">
      <c r="A288" s="114"/>
      <c r="B288" s="114"/>
      <c r="C288" s="114"/>
      <c r="D288" s="114"/>
      <c r="E288" s="114"/>
      <c r="F288" s="114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4"/>
      <c r="U288" s="114"/>
      <c r="V288" s="114"/>
      <c r="W288" s="114"/>
      <c r="X288" s="114"/>
      <c r="Y288" s="114"/>
      <c r="Z288" s="114"/>
      <c r="AA288" s="114"/>
      <c r="AB288" s="114"/>
      <c r="AC288" s="114"/>
      <c r="AD288" s="114"/>
      <c r="AE288" s="114"/>
    </row>
    <row r="289" ht="12.75" customHeight="1">
      <c r="A289" s="114"/>
      <c r="B289" s="114"/>
      <c r="C289" s="114"/>
      <c r="D289" s="114"/>
      <c r="E289" s="114"/>
      <c r="F289" s="114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114"/>
      <c r="AD289" s="114"/>
      <c r="AE289" s="114"/>
    </row>
    <row r="290" ht="12.75" customHeight="1">
      <c r="A290" s="114"/>
      <c r="B290" s="114"/>
      <c r="C290" s="114"/>
      <c r="D290" s="114"/>
      <c r="E290" s="114"/>
      <c r="F290" s="114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4"/>
      <c r="U290" s="114"/>
      <c r="V290" s="114"/>
      <c r="W290" s="114"/>
      <c r="X290" s="114"/>
      <c r="Y290" s="114"/>
      <c r="Z290" s="114"/>
      <c r="AA290" s="114"/>
      <c r="AB290" s="114"/>
      <c r="AC290" s="114"/>
      <c r="AD290" s="114"/>
      <c r="AE290" s="114"/>
    </row>
    <row r="291" ht="12.75" customHeight="1">
      <c r="A291" s="114"/>
      <c r="B291" s="114"/>
      <c r="C291" s="114"/>
      <c r="D291" s="114"/>
      <c r="E291" s="114"/>
      <c r="F291" s="114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4"/>
      <c r="U291" s="114"/>
      <c r="V291" s="114"/>
      <c r="W291" s="114"/>
      <c r="X291" s="114"/>
      <c r="Y291" s="114"/>
      <c r="Z291" s="114"/>
      <c r="AA291" s="114"/>
      <c r="AB291" s="114"/>
      <c r="AC291" s="114"/>
      <c r="AD291" s="114"/>
      <c r="AE291" s="114"/>
    </row>
    <row r="292" ht="12.75" customHeight="1">
      <c r="A292" s="114"/>
      <c r="B292" s="114"/>
      <c r="C292" s="114"/>
      <c r="D292" s="114"/>
      <c r="E292" s="114"/>
      <c r="F292" s="114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4"/>
      <c r="U292" s="114"/>
      <c r="V292" s="114"/>
      <c r="W292" s="114"/>
      <c r="X292" s="114"/>
      <c r="Y292" s="114"/>
      <c r="Z292" s="114"/>
      <c r="AA292" s="114"/>
      <c r="AB292" s="114"/>
      <c r="AC292" s="114"/>
      <c r="AD292" s="114"/>
      <c r="AE292" s="114"/>
    </row>
    <row r="293" ht="12.75" customHeight="1">
      <c r="A293" s="114"/>
      <c r="B293" s="114"/>
      <c r="C293" s="114"/>
      <c r="D293" s="114"/>
      <c r="E293" s="114"/>
      <c r="F293" s="114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4"/>
      <c r="U293" s="114"/>
      <c r="V293" s="114"/>
      <c r="W293" s="114"/>
      <c r="X293" s="114"/>
      <c r="Y293" s="114"/>
      <c r="Z293" s="114"/>
      <c r="AA293" s="114"/>
      <c r="AB293" s="114"/>
      <c r="AC293" s="114"/>
      <c r="AD293" s="114"/>
      <c r="AE293" s="114"/>
    </row>
    <row r="294" ht="12.75" customHeight="1">
      <c r="A294" s="114"/>
      <c r="B294" s="114"/>
      <c r="C294" s="114"/>
      <c r="D294" s="114"/>
      <c r="E294" s="114"/>
      <c r="F294" s="114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4"/>
      <c r="U294" s="114"/>
      <c r="V294" s="114"/>
      <c r="W294" s="114"/>
      <c r="X294" s="114"/>
      <c r="Y294" s="114"/>
      <c r="Z294" s="114"/>
      <c r="AA294" s="114"/>
      <c r="AB294" s="114"/>
      <c r="AC294" s="114"/>
      <c r="AD294" s="114"/>
      <c r="AE294" s="114"/>
    </row>
    <row r="295" ht="12.75" customHeight="1">
      <c r="A295" s="114"/>
      <c r="B295" s="114"/>
      <c r="C295" s="114"/>
      <c r="D295" s="114"/>
      <c r="E295" s="114"/>
      <c r="F295" s="114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4"/>
      <c r="U295" s="114"/>
      <c r="V295" s="114"/>
      <c r="W295" s="114"/>
      <c r="X295" s="114"/>
      <c r="Y295" s="114"/>
      <c r="Z295" s="114"/>
      <c r="AA295" s="114"/>
      <c r="AB295" s="114"/>
      <c r="AC295" s="114"/>
      <c r="AD295" s="114"/>
      <c r="AE295" s="114"/>
    </row>
    <row r="296" ht="12.75" customHeight="1">
      <c r="A296" s="114"/>
      <c r="B296" s="114"/>
      <c r="C296" s="114"/>
      <c r="D296" s="114"/>
      <c r="E296" s="114"/>
      <c r="F296" s="114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4"/>
      <c r="U296" s="114"/>
      <c r="V296" s="114"/>
      <c r="W296" s="114"/>
      <c r="X296" s="114"/>
      <c r="Y296" s="114"/>
      <c r="Z296" s="114"/>
      <c r="AA296" s="114"/>
      <c r="AB296" s="114"/>
      <c r="AC296" s="114"/>
      <c r="AD296" s="114"/>
      <c r="AE296" s="114"/>
    </row>
    <row r="297" ht="12.75" customHeight="1">
      <c r="A297" s="114"/>
      <c r="B297" s="114"/>
      <c r="C297" s="114"/>
      <c r="D297" s="114"/>
      <c r="E297" s="114"/>
      <c r="F297" s="114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4"/>
      <c r="U297" s="114"/>
      <c r="V297" s="114"/>
      <c r="W297" s="114"/>
      <c r="X297" s="114"/>
      <c r="Y297" s="114"/>
      <c r="Z297" s="114"/>
      <c r="AA297" s="114"/>
      <c r="AB297" s="114"/>
      <c r="AC297" s="114"/>
      <c r="AD297" s="114"/>
      <c r="AE297" s="114"/>
    </row>
    <row r="298" ht="12.75" customHeight="1">
      <c r="A298" s="114"/>
      <c r="B298" s="114"/>
      <c r="C298" s="114"/>
      <c r="D298" s="114"/>
      <c r="E298" s="114"/>
      <c r="F298" s="114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4"/>
      <c r="U298" s="114"/>
      <c r="V298" s="114"/>
      <c r="W298" s="114"/>
      <c r="X298" s="114"/>
      <c r="Y298" s="114"/>
      <c r="Z298" s="114"/>
      <c r="AA298" s="114"/>
      <c r="AB298" s="114"/>
      <c r="AC298" s="114"/>
      <c r="AD298" s="114"/>
      <c r="AE298" s="114"/>
    </row>
    <row r="299" ht="12.75" customHeight="1">
      <c r="A299" s="114"/>
      <c r="B299" s="114"/>
      <c r="C299" s="114"/>
      <c r="D299" s="114"/>
      <c r="E299" s="114"/>
      <c r="F299" s="114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4"/>
      <c r="U299" s="114"/>
      <c r="V299" s="114"/>
      <c r="W299" s="114"/>
      <c r="X299" s="114"/>
      <c r="Y299" s="114"/>
      <c r="Z299" s="114"/>
      <c r="AA299" s="114"/>
      <c r="AB299" s="114"/>
      <c r="AC299" s="114"/>
      <c r="AD299" s="114"/>
      <c r="AE299" s="114"/>
    </row>
    <row r="300" ht="12.75" customHeight="1">
      <c r="A300" s="114"/>
      <c r="B300" s="114"/>
      <c r="C300" s="114"/>
      <c r="D300" s="114"/>
      <c r="E300" s="114"/>
      <c r="F300" s="114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</row>
    <row r="301" ht="12.75" customHeight="1">
      <c r="A301" s="114"/>
      <c r="B301" s="114"/>
      <c r="C301" s="114"/>
      <c r="D301" s="114"/>
      <c r="E301" s="114"/>
      <c r="F301" s="114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</row>
    <row r="302" ht="12.75" customHeight="1">
      <c r="A302" s="114"/>
      <c r="B302" s="114"/>
      <c r="C302" s="114"/>
      <c r="D302" s="114"/>
      <c r="E302" s="114"/>
      <c r="F302" s="114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</row>
    <row r="303" ht="12.75" customHeight="1">
      <c r="A303" s="114"/>
      <c r="B303" s="114"/>
      <c r="C303" s="114"/>
      <c r="D303" s="114"/>
      <c r="E303" s="114"/>
      <c r="F303" s="114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4"/>
      <c r="U303" s="114"/>
      <c r="V303" s="114"/>
      <c r="W303" s="114"/>
      <c r="X303" s="114"/>
      <c r="Y303" s="114"/>
      <c r="Z303" s="114"/>
      <c r="AA303" s="114"/>
      <c r="AB303" s="114"/>
      <c r="AC303" s="114"/>
      <c r="AD303" s="114"/>
      <c r="AE303" s="114"/>
    </row>
    <row r="304" ht="12.75" customHeight="1">
      <c r="A304" s="114"/>
      <c r="B304" s="114"/>
      <c r="C304" s="114"/>
      <c r="D304" s="114"/>
      <c r="E304" s="114"/>
      <c r="F304" s="114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4"/>
      <c r="U304" s="114"/>
      <c r="V304" s="114"/>
      <c r="W304" s="114"/>
      <c r="X304" s="114"/>
      <c r="Y304" s="114"/>
      <c r="Z304" s="114"/>
      <c r="AA304" s="114"/>
      <c r="AB304" s="114"/>
      <c r="AC304" s="114"/>
      <c r="AD304" s="114"/>
      <c r="AE304" s="114"/>
    </row>
    <row r="305" ht="12.75" customHeight="1">
      <c r="A305" s="114"/>
      <c r="B305" s="114"/>
      <c r="C305" s="114"/>
      <c r="D305" s="114"/>
      <c r="E305" s="114"/>
      <c r="F305" s="114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4"/>
      <c r="U305" s="114"/>
      <c r="V305" s="114"/>
      <c r="W305" s="114"/>
      <c r="X305" s="114"/>
      <c r="Y305" s="114"/>
      <c r="Z305" s="114"/>
      <c r="AA305" s="114"/>
      <c r="AB305" s="114"/>
      <c r="AC305" s="114"/>
      <c r="AD305" s="114"/>
      <c r="AE305" s="114"/>
    </row>
    <row r="306" ht="12.75" customHeight="1">
      <c r="A306" s="114"/>
      <c r="B306" s="114"/>
      <c r="C306" s="114"/>
      <c r="D306" s="114"/>
      <c r="E306" s="114"/>
      <c r="F306" s="114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4"/>
      <c r="U306" s="114"/>
      <c r="V306" s="114"/>
      <c r="W306" s="114"/>
      <c r="X306" s="114"/>
      <c r="Y306" s="114"/>
      <c r="Z306" s="114"/>
      <c r="AA306" s="114"/>
      <c r="AB306" s="114"/>
      <c r="AC306" s="114"/>
      <c r="AD306" s="114"/>
      <c r="AE306" s="114"/>
    </row>
    <row r="307" ht="12.75" customHeight="1">
      <c r="A307" s="114"/>
      <c r="B307" s="114"/>
      <c r="C307" s="114"/>
      <c r="D307" s="114"/>
      <c r="E307" s="114"/>
      <c r="F307" s="114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4"/>
      <c r="U307" s="114"/>
      <c r="V307" s="114"/>
      <c r="W307" s="114"/>
      <c r="X307" s="114"/>
      <c r="Y307" s="114"/>
      <c r="Z307" s="114"/>
      <c r="AA307" s="114"/>
      <c r="AB307" s="114"/>
      <c r="AC307" s="114"/>
      <c r="AD307" s="114"/>
      <c r="AE307" s="114"/>
    </row>
    <row r="308" ht="12.75" customHeight="1">
      <c r="A308" s="114"/>
      <c r="B308" s="114"/>
      <c r="C308" s="114"/>
      <c r="D308" s="114"/>
      <c r="E308" s="114"/>
      <c r="F308" s="114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4"/>
      <c r="U308" s="114"/>
      <c r="V308" s="114"/>
      <c r="W308" s="114"/>
      <c r="X308" s="114"/>
      <c r="Y308" s="114"/>
      <c r="Z308" s="114"/>
      <c r="AA308" s="114"/>
      <c r="AB308" s="114"/>
      <c r="AC308" s="114"/>
      <c r="AD308" s="114"/>
      <c r="AE308" s="114"/>
    </row>
    <row r="309" ht="12.75" customHeight="1">
      <c r="A309" s="114"/>
      <c r="B309" s="114"/>
      <c r="C309" s="114"/>
      <c r="D309" s="114"/>
      <c r="E309" s="114"/>
      <c r="F309" s="114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4"/>
      <c r="U309" s="114"/>
      <c r="V309" s="114"/>
      <c r="W309" s="114"/>
      <c r="X309" s="114"/>
      <c r="Y309" s="114"/>
      <c r="Z309" s="114"/>
      <c r="AA309" s="114"/>
      <c r="AB309" s="114"/>
      <c r="AC309" s="114"/>
      <c r="AD309" s="114"/>
      <c r="AE309" s="114"/>
    </row>
    <row r="310" ht="12.75" customHeight="1">
      <c r="A310" s="114"/>
      <c r="B310" s="114"/>
      <c r="C310" s="114"/>
      <c r="D310" s="114"/>
      <c r="E310" s="114"/>
      <c r="F310" s="114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4"/>
      <c r="U310" s="114"/>
      <c r="V310" s="114"/>
      <c r="W310" s="114"/>
      <c r="X310" s="114"/>
      <c r="Y310" s="114"/>
      <c r="Z310" s="114"/>
      <c r="AA310" s="114"/>
      <c r="AB310" s="114"/>
      <c r="AC310" s="114"/>
      <c r="AD310" s="114"/>
      <c r="AE310" s="114"/>
    </row>
    <row r="311" ht="12.75" customHeight="1">
      <c r="A311" s="114"/>
      <c r="B311" s="114"/>
      <c r="C311" s="114"/>
      <c r="D311" s="114"/>
      <c r="E311" s="114"/>
      <c r="F311" s="114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4"/>
      <c r="U311" s="114"/>
      <c r="V311" s="114"/>
      <c r="W311" s="114"/>
      <c r="X311" s="114"/>
      <c r="Y311" s="114"/>
      <c r="Z311" s="114"/>
      <c r="AA311" s="114"/>
      <c r="AB311" s="114"/>
      <c r="AC311" s="114"/>
      <c r="AD311" s="114"/>
      <c r="AE311" s="114"/>
    </row>
    <row r="312" ht="12.75" customHeight="1">
      <c r="A312" s="114"/>
      <c r="B312" s="114"/>
      <c r="C312" s="114"/>
      <c r="D312" s="114"/>
      <c r="E312" s="114"/>
      <c r="F312" s="114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4"/>
      <c r="U312" s="114"/>
      <c r="V312" s="114"/>
      <c r="W312" s="114"/>
      <c r="X312" s="114"/>
      <c r="Y312" s="114"/>
      <c r="Z312" s="114"/>
      <c r="AA312" s="114"/>
      <c r="AB312" s="114"/>
      <c r="AC312" s="114"/>
      <c r="AD312" s="114"/>
      <c r="AE312" s="114"/>
    </row>
    <row r="313" ht="12.75" customHeight="1">
      <c r="A313" s="114"/>
      <c r="B313" s="114"/>
      <c r="C313" s="114"/>
      <c r="D313" s="114"/>
      <c r="E313" s="114"/>
      <c r="F313" s="114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4"/>
      <c r="U313" s="114"/>
      <c r="V313" s="114"/>
      <c r="W313" s="114"/>
      <c r="X313" s="114"/>
      <c r="Y313" s="114"/>
      <c r="Z313" s="114"/>
      <c r="AA313" s="114"/>
      <c r="AB313" s="114"/>
      <c r="AC313" s="114"/>
      <c r="AD313" s="114"/>
      <c r="AE313" s="114"/>
    </row>
    <row r="314" ht="12.75" customHeight="1">
      <c r="A314" s="114"/>
      <c r="B314" s="114"/>
      <c r="C314" s="114"/>
      <c r="D314" s="114"/>
      <c r="E314" s="114"/>
      <c r="F314" s="114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4"/>
      <c r="U314" s="114"/>
      <c r="V314" s="114"/>
      <c r="W314" s="114"/>
      <c r="X314" s="114"/>
      <c r="Y314" s="114"/>
      <c r="Z314" s="114"/>
      <c r="AA314" s="114"/>
      <c r="AB314" s="114"/>
      <c r="AC314" s="114"/>
      <c r="AD314" s="114"/>
      <c r="AE314" s="114"/>
    </row>
    <row r="315" ht="12.75" customHeight="1">
      <c r="A315" s="114"/>
      <c r="B315" s="114"/>
      <c r="C315" s="114"/>
      <c r="D315" s="114"/>
      <c r="E315" s="114"/>
      <c r="F315" s="114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4"/>
      <c r="U315" s="114"/>
      <c r="V315" s="114"/>
      <c r="W315" s="114"/>
      <c r="X315" s="114"/>
      <c r="Y315" s="114"/>
      <c r="Z315" s="114"/>
      <c r="AA315" s="114"/>
      <c r="AB315" s="114"/>
      <c r="AC315" s="114"/>
      <c r="AD315" s="114"/>
      <c r="AE315" s="114"/>
    </row>
    <row r="316" ht="12.75" customHeight="1">
      <c r="A316" s="114"/>
      <c r="B316" s="114"/>
      <c r="C316" s="114"/>
      <c r="D316" s="114"/>
      <c r="E316" s="114"/>
      <c r="F316" s="114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4"/>
      <c r="U316" s="114"/>
      <c r="V316" s="114"/>
      <c r="W316" s="114"/>
      <c r="X316" s="114"/>
      <c r="Y316" s="114"/>
      <c r="Z316" s="114"/>
      <c r="AA316" s="114"/>
      <c r="AB316" s="114"/>
      <c r="AC316" s="114"/>
      <c r="AD316" s="114"/>
      <c r="AE316" s="114"/>
    </row>
    <row r="317" ht="12.75" customHeight="1">
      <c r="A317" s="114"/>
      <c r="B317" s="114"/>
      <c r="C317" s="114"/>
      <c r="D317" s="114"/>
      <c r="E317" s="114"/>
      <c r="F317" s="114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4"/>
      <c r="U317" s="114"/>
      <c r="V317" s="114"/>
      <c r="W317" s="114"/>
      <c r="X317" s="114"/>
      <c r="Y317" s="114"/>
      <c r="Z317" s="114"/>
      <c r="AA317" s="114"/>
      <c r="AB317" s="114"/>
      <c r="AC317" s="114"/>
      <c r="AD317" s="114"/>
      <c r="AE317" s="114"/>
    </row>
    <row r="318" ht="12.75" customHeight="1">
      <c r="A318" s="114"/>
      <c r="B318" s="114"/>
      <c r="C318" s="114"/>
      <c r="D318" s="114"/>
      <c r="E318" s="114"/>
      <c r="F318" s="114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4"/>
      <c r="U318" s="114"/>
      <c r="V318" s="114"/>
      <c r="W318" s="114"/>
      <c r="X318" s="114"/>
      <c r="Y318" s="114"/>
      <c r="Z318" s="114"/>
      <c r="AA318" s="114"/>
      <c r="AB318" s="114"/>
      <c r="AC318" s="114"/>
      <c r="AD318" s="114"/>
      <c r="AE318" s="114"/>
    </row>
    <row r="319" ht="12.75" customHeight="1">
      <c r="A319" s="114"/>
      <c r="B319" s="114"/>
      <c r="C319" s="114"/>
      <c r="D319" s="114"/>
      <c r="E319" s="114"/>
      <c r="F319" s="114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4"/>
      <c r="U319" s="114"/>
      <c r="V319" s="114"/>
      <c r="W319" s="114"/>
      <c r="X319" s="114"/>
      <c r="Y319" s="114"/>
      <c r="Z319" s="114"/>
      <c r="AA319" s="114"/>
      <c r="AB319" s="114"/>
      <c r="AC319" s="114"/>
      <c r="AD319" s="114"/>
      <c r="AE319" s="114"/>
    </row>
    <row r="320" ht="12.75" customHeight="1">
      <c r="A320" s="114"/>
      <c r="B320" s="114"/>
      <c r="C320" s="114"/>
      <c r="D320" s="114"/>
      <c r="E320" s="114"/>
      <c r="F320" s="114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4"/>
      <c r="U320" s="114"/>
      <c r="V320" s="114"/>
      <c r="W320" s="114"/>
      <c r="X320" s="114"/>
      <c r="Y320" s="114"/>
      <c r="Z320" s="114"/>
      <c r="AA320" s="114"/>
      <c r="AB320" s="114"/>
      <c r="AC320" s="114"/>
      <c r="AD320" s="114"/>
      <c r="AE320" s="114"/>
    </row>
    <row r="321" ht="12.75" customHeight="1">
      <c r="A321" s="114"/>
      <c r="B321" s="114"/>
      <c r="C321" s="114"/>
      <c r="D321" s="114"/>
      <c r="E321" s="114"/>
      <c r="F321" s="114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4"/>
      <c r="U321" s="114"/>
      <c r="V321" s="114"/>
      <c r="W321" s="114"/>
      <c r="X321" s="114"/>
      <c r="Y321" s="114"/>
      <c r="Z321" s="114"/>
      <c r="AA321" s="114"/>
      <c r="AB321" s="114"/>
      <c r="AC321" s="114"/>
      <c r="AD321" s="114"/>
      <c r="AE321" s="114"/>
    </row>
    <row r="322" ht="12.75" customHeight="1">
      <c r="A322" s="114"/>
      <c r="B322" s="114"/>
      <c r="C322" s="114"/>
      <c r="D322" s="114"/>
      <c r="E322" s="114"/>
      <c r="F322" s="114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4"/>
      <c r="U322" s="114"/>
      <c r="V322" s="114"/>
      <c r="W322" s="114"/>
      <c r="X322" s="114"/>
      <c r="Y322" s="114"/>
      <c r="Z322" s="114"/>
      <c r="AA322" s="114"/>
      <c r="AB322" s="114"/>
      <c r="AC322" s="114"/>
      <c r="AD322" s="114"/>
      <c r="AE322" s="114"/>
    </row>
    <row r="323" ht="12.75" customHeight="1">
      <c r="A323" s="114"/>
      <c r="B323" s="114"/>
      <c r="C323" s="114"/>
      <c r="D323" s="114"/>
      <c r="E323" s="114"/>
      <c r="F323" s="114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4"/>
      <c r="U323" s="114"/>
      <c r="V323" s="114"/>
      <c r="W323" s="114"/>
      <c r="X323" s="114"/>
      <c r="Y323" s="114"/>
      <c r="Z323" s="114"/>
      <c r="AA323" s="114"/>
      <c r="AB323" s="114"/>
      <c r="AC323" s="114"/>
      <c r="AD323" s="114"/>
      <c r="AE323" s="114"/>
    </row>
    <row r="324" ht="12.75" customHeight="1">
      <c r="A324" s="114"/>
      <c r="B324" s="114"/>
      <c r="C324" s="114"/>
      <c r="D324" s="114"/>
      <c r="E324" s="114"/>
      <c r="F324" s="114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4"/>
      <c r="U324" s="114"/>
      <c r="V324" s="114"/>
      <c r="W324" s="114"/>
      <c r="X324" s="114"/>
      <c r="Y324" s="114"/>
      <c r="Z324" s="114"/>
      <c r="AA324" s="114"/>
      <c r="AB324" s="114"/>
      <c r="AC324" s="114"/>
      <c r="AD324" s="114"/>
      <c r="AE324" s="114"/>
    </row>
    <row r="325" ht="12.75" customHeight="1">
      <c r="A325" s="114"/>
      <c r="B325" s="114"/>
      <c r="C325" s="114"/>
      <c r="D325" s="114"/>
      <c r="E325" s="114"/>
      <c r="F325" s="114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4"/>
      <c r="U325" s="114"/>
      <c r="V325" s="114"/>
      <c r="W325" s="114"/>
      <c r="X325" s="114"/>
      <c r="Y325" s="114"/>
      <c r="Z325" s="114"/>
      <c r="AA325" s="114"/>
      <c r="AB325" s="114"/>
      <c r="AC325" s="114"/>
      <c r="AD325" s="114"/>
      <c r="AE325" s="114"/>
    </row>
    <row r="326" ht="12.75" customHeight="1">
      <c r="A326" s="114"/>
      <c r="B326" s="114"/>
      <c r="C326" s="114"/>
      <c r="D326" s="114"/>
      <c r="E326" s="114"/>
      <c r="F326" s="114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4"/>
      <c r="U326" s="114"/>
      <c r="V326" s="114"/>
      <c r="W326" s="114"/>
      <c r="X326" s="114"/>
      <c r="Y326" s="114"/>
      <c r="Z326" s="114"/>
      <c r="AA326" s="114"/>
      <c r="AB326" s="114"/>
      <c r="AC326" s="114"/>
      <c r="AD326" s="114"/>
      <c r="AE326" s="114"/>
    </row>
    <row r="327" ht="12.75" customHeight="1">
      <c r="A327" s="114"/>
      <c r="B327" s="114"/>
      <c r="C327" s="114"/>
      <c r="D327" s="114"/>
      <c r="E327" s="114"/>
      <c r="F327" s="114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4"/>
      <c r="U327" s="114"/>
      <c r="V327" s="114"/>
      <c r="W327" s="114"/>
      <c r="X327" s="114"/>
      <c r="Y327" s="114"/>
      <c r="Z327" s="114"/>
      <c r="AA327" s="114"/>
      <c r="AB327" s="114"/>
      <c r="AC327" s="114"/>
      <c r="AD327" s="114"/>
      <c r="AE327" s="114"/>
    </row>
    <row r="328" ht="12.75" customHeight="1">
      <c r="A328" s="114"/>
      <c r="B328" s="114"/>
      <c r="C328" s="114"/>
      <c r="D328" s="114"/>
      <c r="E328" s="114"/>
      <c r="F328" s="114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4"/>
      <c r="U328" s="114"/>
      <c r="V328" s="114"/>
      <c r="W328" s="114"/>
      <c r="X328" s="114"/>
      <c r="Y328" s="114"/>
      <c r="Z328" s="114"/>
      <c r="AA328" s="114"/>
      <c r="AB328" s="114"/>
      <c r="AC328" s="114"/>
      <c r="AD328" s="114"/>
      <c r="AE328" s="114"/>
    </row>
    <row r="329" ht="12.75" customHeight="1">
      <c r="A329" s="114"/>
      <c r="B329" s="114"/>
      <c r="C329" s="114"/>
      <c r="D329" s="114"/>
      <c r="E329" s="114"/>
      <c r="F329" s="114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4"/>
      <c r="U329" s="114"/>
      <c r="V329" s="114"/>
      <c r="W329" s="114"/>
      <c r="X329" s="114"/>
      <c r="Y329" s="114"/>
      <c r="Z329" s="114"/>
      <c r="AA329" s="114"/>
      <c r="AB329" s="114"/>
      <c r="AC329" s="114"/>
      <c r="AD329" s="114"/>
      <c r="AE329" s="114"/>
    </row>
    <row r="330" ht="12.75" customHeight="1">
      <c r="A330" s="114"/>
      <c r="B330" s="114"/>
      <c r="C330" s="114"/>
      <c r="D330" s="114"/>
      <c r="E330" s="114"/>
      <c r="F330" s="114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4"/>
      <c r="U330" s="114"/>
      <c r="V330" s="114"/>
      <c r="W330" s="114"/>
      <c r="X330" s="114"/>
      <c r="Y330" s="114"/>
      <c r="Z330" s="114"/>
      <c r="AA330" s="114"/>
      <c r="AB330" s="114"/>
      <c r="AC330" s="114"/>
      <c r="AD330" s="114"/>
      <c r="AE330" s="114"/>
    </row>
    <row r="331" ht="12.75" customHeight="1">
      <c r="A331" s="114"/>
      <c r="B331" s="114"/>
      <c r="C331" s="114"/>
      <c r="D331" s="114"/>
      <c r="E331" s="114"/>
      <c r="F331" s="114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4"/>
      <c r="U331" s="114"/>
      <c r="V331" s="114"/>
      <c r="W331" s="114"/>
      <c r="X331" s="114"/>
      <c r="Y331" s="114"/>
      <c r="Z331" s="114"/>
      <c r="AA331" s="114"/>
      <c r="AB331" s="114"/>
      <c r="AC331" s="114"/>
      <c r="AD331" s="114"/>
      <c r="AE331" s="114"/>
    </row>
    <row r="332" ht="12.75" customHeight="1">
      <c r="A332" s="114"/>
      <c r="B332" s="114"/>
      <c r="C332" s="114"/>
      <c r="D332" s="114"/>
      <c r="E332" s="114"/>
      <c r="F332" s="114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4"/>
      <c r="U332" s="114"/>
      <c r="V332" s="114"/>
      <c r="W332" s="114"/>
      <c r="X332" s="114"/>
      <c r="Y332" s="114"/>
      <c r="Z332" s="114"/>
      <c r="AA332" s="114"/>
      <c r="AB332" s="114"/>
      <c r="AC332" s="114"/>
      <c r="AD332" s="114"/>
      <c r="AE332" s="114"/>
    </row>
    <row r="333" ht="12.75" customHeight="1">
      <c r="A333" s="114"/>
      <c r="B333" s="114"/>
      <c r="C333" s="114"/>
      <c r="D333" s="114"/>
      <c r="E333" s="114"/>
      <c r="F333" s="114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4"/>
      <c r="U333" s="114"/>
      <c r="V333" s="114"/>
      <c r="W333" s="114"/>
      <c r="X333" s="114"/>
      <c r="Y333" s="114"/>
      <c r="Z333" s="114"/>
      <c r="AA333" s="114"/>
      <c r="AB333" s="114"/>
      <c r="AC333" s="114"/>
      <c r="AD333" s="114"/>
      <c r="AE333" s="114"/>
    </row>
    <row r="334" ht="12.75" customHeight="1">
      <c r="A334" s="114"/>
      <c r="B334" s="114"/>
      <c r="C334" s="114"/>
      <c r="D334" s="114"/>
      <c r="E334" s="114"/>
      <c r="F334" s="114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4"/>
      <c r="U334" s="114"/>
      <c r="V334" s="114"/>
      <c r="W334" s="114"/>
      <c r="X334" s="114"/>
      <c r="Y334" s="114"/>
      <c r="Z334" s="114"/>
      <c r="AA334" s="114"/>
      <c r="AB334" s="114"/>
      <c r="AC334" s="114"/>
      <c r="AD334" s="114"/>
      <c r="AE334" s="114"/>
    </row>
    <row r="335" ht="12.75" customHeight="1">
      <c r="A335" s="114"/>
      <c r="B335" s="114"/>
      <c r="C335" s="114"/>
      <c r="D335" s="114"/>
      <c r="E335" s="114"/>
      <c r="F335" s="114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4"/>
      <c r="U335" s="114"/>
      <c r="V335" s="114"/>
      <c r="W335" s="114"/>
      <c r="X335" s="114"/>
      <c r="Y335" s="114"/>
      <c r="Z335" s="114"/>
      <c r="AA335" s="114"/>
      <c r="AB335" s="114"/>
      <c r="AC335" s="114"/>
      <c r="AD335" s="114"/>
      <c r="AE335" s="114"/>
    </row>
    <row r="336" ht="12.75" customHeight="1">
      <c r="A336" s="114"/>
      <c r="B336" s="114"/>
      <c r="C336" s="114"/>
      <c r="D336" s="114"/>
      <c r="E336" s="114"/>
      <c r="F336" s="114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4"/>
      <c r="U336" s="114"/>
      <c r="V336" s="114"/>
      <c r="W336" s="114"/>
      <c r="X336" s="114"/>
      <c r="Y336" s="114"/>
      <c r="Z336" s="114"/>
      <c r="AA336" s="114"/>
      <c r="AB336" s="114"/>
      <c r="AC336" s="114"/>
      <c r="AD336" s="114"/>
      <c r="AE336" s="114"/>
    </row>
    <row r="337" ht="12.75" customHeight="1">
      <c r="A337" s="114"/>
      <c r="B337" s="114"/>
      <c r="C337" s="114"/>
      <c r="D337" s="114"/>
      <c r="E337" s="114"/>
      <c r="F337" s="114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4"/>
      <c r="U337" s="114"/>
      <c r="V337" s="114"/>
      <c r="W337" s="114"/>
      <c r="X337" s="114"/>
      <c r="Y337" s="114"/>
      <c r="Z337" s="114"/>
      <c r="AA337" s="114"/>
      <c r="AB337" s="114"/>
      <c r="AC337" s="114"/>
      <c r="AD337" s="114"/>
      <c r="AE337" s="114"/>
    </row>
    <row r="338" ht="12.75" customHeight="1">
      <c r="A338" s="114"/>
      <c r="B338" s="114"/>
      <c r="C338" s="114"/>
      <c r="D338" s="114"/>
      <c r="E338" s="114"/>
      <c r="F338" s="114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4"/>
      <c r="U338" s="114"/>
      <c r="V338" s="114"/>
      <c r="W338" s="114"/>
      <c r="X338" s="114"/>
      <c r="Y338" s="114"/>
      <c r="Z338" s="114"/>
      <c r="AA338" s="114"/>
      <c r="AB338" s="114"/>
      <c r="AC338" s="114"/>
      <c r="AD338" s="114"/>
      <c r="AE338" s="114"/>
    </row>
    <row r="339" ht="12.75" customHeight="1">
      <c r="A339" s="114"/>
      <c r="B339" s="114"/>
      <c r="C339" s="114"/>
      <c r="D339" s="114"/>
      <c r="E339" s="114"/>
      <c r="F339" s="114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4"/>
      <c r="U339" s="114"/>
      <c r="V339" s="114"/>
      <c r="W339" s="114"/>
      <c r="X339" s="114"/>
      <c r="Y339" s="114"/>
      <c r="Z339" s="114"/>
      <c r="AA339" s="114"/>
      <c r="AB339" s="114"/>
      <c r="AC339" s="114"/>
      <c r="AD339" s="114"/>
      <c r="AE339" s="114"/>
    </row>
    <row r="340" ht="12.75" customHeight="1">
      <c r="A340" s="114"/>
      <c r="B340" s="114"/>
      <c r="C340" s="114"/>
      <c r="D340" s="114"/>
      <c r="E340" s="114"/>
      <c r="F340" s="114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4"/>
      <c r="U340" s="114"/>
      <c r="V340" s="114"/>
      <c r="W340" s="114"/>
      <c r="X340" s="114"/>
      <c r="Y340" s="114"/>
      <c r="Z340" s="114"/>
      <c r="AA340" s="114"/>
      <c r="AB340" s="114"/>
      <c r="AC340" s="114"/>
      <c r="AD340" s="114"/>
      <c r="AE340" s="114"/>
    </row>
    <row r="341" ht="12.75" customHeight="1">
      <c r="A341" s="114"/>
      <c r="B341" s="114"/>
      <c r="C341" s="114"/>
      <c r="D341" s="114"/>
      <c r="E341" s="114"/>
      <c r="F341" s="114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4"/>
      <c r="U341" s="114"/>
      <c r="V341" s="114"/>
      <c r="W341" s="114"/>
      <c r="X341" s="114"/>
      <c r="Y341" s="114"/>
      <c r="Z341" s="114"/>
      <c r="AA341" s="114"/>
      <c r="AB341" s="114"/>
      <c r="AC341" s="114"/>
      <c r="AD341" s="114"/>
      <c r="AE341" s="114"/>
    </row>
    <row r="342" ht="12.75" customHeight="1">
      <c r="A342" s="114"/>
      <c r="B342" s="114"/>
      <c r="C342" s="114"/>
      <c r="D342" s="114"/>
      <c r="E342" s="114"/>
      <c r="F342" s="114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4"/>
      <c r="U342" s="114"/>
      <c r="V342" s="114"/>
      <c r="W342" s="114"/>
      <c r="X342" s="114"/>
      <c r="Y342" s="114"/>
      <c r="Z342" s="114"/>
      <c r="AA342" s="114"/>
      <c r="AB342" s="114"/>
      <c r="AC342" s="114"/>
      <c r="AD342" s="114"/>
      <c r="AE342" s="114"/>
    </row>
    <row r="343" ht="12.75" customHeight="1">
      <c r="A343" s="114"/>
      <c r="B343" s="114"/>
      <c r="C343" s="114"/>
      <c r="D343" s="114"/>
      <c r="E343" s="114"/>
      <c r="F343" s="114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4"/>
      <c r="U343" s="114"/>
      <c r="V343" s="114"/>
      <c r="W343" s="114"/>
      <c r="X343" s="114"/>
      <c r="Y343" s="114"/>
      <c r="Z343" s="114"/>
      <c r="AA343" s="114"/>
      <c r="AB343" s="114"/>
      <c r="AC343" s="114"/>
      <c r="AD343" s="114"/>
      <c r="AE343" s="114"/>
    </row>
    <row r="344" ht="12.75" customHeight="1">
      <c r="A344" s="114"/>
      <c r="B344" s="114"/>
      <c r="C344" s="114"/>
      <c r="D344" s="114"/>
      <c r="E344" s="114"/>
      <c r="F344" s="114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4"/>
      <c r="U344" s="114"/>
      <c r="V344" s="114"/>
      <c r="W344" s="114"/>
      <c r="X344" s="114"/>
      <c r="Y344" s="114"/>
      <c r="Z344" s="114"/>
      <c r="AA344" s="114"/>
      <c r="AB344" s="114"/>
      <c r="AC344" s="114"/>
      <c r="AD344" s="114"/>
      <c r="AE344" s="114"/>
    </row>
    <row r="345" ht="12.75" customHeight="1">
      <c r="A345" s="114"/>
      <c r="B345" s="114"/>
      <c r="C345" s="114"/>
      <c r="D345" s="114"/>
      <c r="E345" s="114"/>
      <c r="F345" s="114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4"/>
      <c r="U345" s="114"/>
      <c r="V345" s="114"/>
      <c r="W345" s="114"/>
      <c r="X345" s="114"/>
      <c r="Y345" s="114"/>
      <c r="Z345" s="114"/>
      <c r="AA345" s="114"/>
      <c r="AB345" s="114"/>
      <c r="AC345" s="114"/>
      <c r="AD345" s="114"/>
      <c r="AE345" s="114"/>
    </row>
    <row r="346" ht="12.75" customHeight="1">
      <c r="A346" s="114"/>
      <c r="B346" s="114"/>
      <c r="C346" s="114"/>
      <c r="D346" s="114"/>
      <c r="E346" s="114"/>
      <c r="F346" s="114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4"/>
      <c r="U346" s="114"/>
      <c r="V346" s="114"/>
      <c r="W346" s="114"/>
      <c r="X346" s="114"/>
      <c r="Y346" s="114"/>
      <c r="Z346" s="114"/>
      <c r="AA346" s="114"/>
      <c r="AB346" s="114"/>
      <c r="AC346" s="114"/>
      <c r="AD346" s="114"/>
      <c r="AE346" s="114"/>
    </row>
    <row r="347" ht="12.75" customHeight="1">
      <c r="A347" s="114"/>
      <c r="B347" s="114"/>
      <c r="C347" s="114"/>
      <c r="D347" s="114"/>
      <c r="E347" s="114"/>
      <c r="F347" s="114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4"/>
      <c r="X347" s="114"/>
      <c r="Y347" s="114"/>
      <c r="Z347" s="114"/>
      <c r="AA347" s="114"/>
      <c r="AB347" s="114"/>
      <c r="AC347" s="114"/>
      <c r="AD347" s="114"/>
      <c r="AE347" s="114"/>
    </row>
    <row r="348" ht="12.75" customHeight="1">
      <c r="A348" s="114"/>
      <c r="B348" s="114"/>
      <c r="C348" s="114"/>
      <c r="D348" s="114"/>
      <c r="E348" s="114"/>
      <c r="F348" s="114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4"/>
      <c r="U348" s="114"/>
      <c r="V348" s="114"/>
      <c r="W348" s="114"/>
      <c r="X348" s="114"/>
      <c r="Y348" s="114"/>
      <c r="Z348" s="114"/>
      <c r="AA348" s="114"/>
      <c r="AB348" s="114"/>
      <c r="AC348" s="114"/>
      <c r="AD348" s="114"/>
      <c r="AE348" s="114"/>
    </row>
    <row r="349" ht="12.75" customHeight="1">
      <c r="A349" s="114"/>
      <c r="B349" s="114"/>
      <c r="C349" s="114"/>
      <c r="D349" s="114"/>
      <c r="E349" s="114"/>
      <c r="F349" s="114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4"/>
      <c r="U349" s="114"/>
      <c r="V349" s="114"/>
      <c r="W349" s="114"/>
      <c r="X349" s="114"/>
      <c r="Y349" s="114"/>
      <c r="Z349" s="114"/>
      <c r="AA349" s="114"/>
      <c r="AB349" s="114"/>
      <c r="AC349" s="114"/>
      <c r="AD349" s="114"/>
      <c r="AE349" s="114"/>
    </row>
    <row r="350" ht="12.75" customHeight="1">
      <c r="A350" s="114"/>
      <c r="B350" s="114"/>
      <c r="C350" s="114"/>
      <c r="D350" s="114"/>
      <c r="E350" s="114"/>
      <c r="F350" s="114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4"/>
      <c r="U350" s="114"/>
      <c r="V350" s="114"/>
      <c r="W350" s="114"/>
      <c r="X350" s="114"/>
      <c r="Y350" s="114"/>
      <c r="Z350" s="114"/>
      <c r="AA350" s="114"/>
      <c r="AB350" s="114"/>
      <c r="AC350" s="114"/>
      <c r="AD350" s="114"/>
      <c r="AE350" s="114"/>
    </row>
    <row r="351" ht="12.75" customHeight="1">
      <c r="A351" s="114"/>
      <c r="B351" s="114"/>
      <c r="C351" s="114"/>
      <c r="D351" s="114"/>
      <c r="E351" s="114"/>
      <c r="F351" s="114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4"/>
      <c r="X351" s="114"/>
      <c r="Y351" s="114"/>
      <c r="Z351" s="114"/>
      <c r="AA351" s="114"/>
      <c r="AB351" s="114"/>
      <c r="AC351" s="114"/>
      <c r="AD351" s="114"/>
      <c r="AE351" s="114"/>
    </row>
    <row r="352" ht="12.75" customHeight="1">
      <c r="A352" s="114"/>
      <c r="B352" s="114"/>
      <c r="C352" s="114"/>
      <c r="D352" s="114"/>
      <c r="E352" s="114"/>
      <c r="F352" s="114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4"/>
      <c r="U352" s="114"/>
      <c r="V352" s="114"/>
      <c r="W352" s="114"/>
      <c r="X352" s="114"/>
      <c r="Y352" s="114"/>
      <c r="Z352" s="114"/>
      <c r="AA352" s="114"/>
      <c r="AB352" s="114"/>
      <c r="AC352" s="114"/>
      <c r="AD352" s="114"/>
      <c r="AE352" s="114"/>
    </row>
    <row r="353" ht="12.75" customHeight="1">
      <c r="A353" s="114"/>
      <c r="B353" s="114"/>
      <c r="C353" s="114"/>
      <c r="D353" s="114"/>
      <c r="E353" s="114"/>
      <c r="F353" s="114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4"/>
      <c r="U353" s="114"/>
      <c r="V353" s="114"/>
      <c r="W353" s="114"/>
      <c r="X353" s="114"/>
      <c r="Y353" s="114"/>
      <c r="Z353" s="114"/>
      <c r="AA353" s="114"/>
      <c r="AB353" s="114"/>
      <c r="AC353" s="114"/>
      <c r="AD353" s="114"/>
      <c r="AE353" s="114"/>
    </row>
    <row r="354" ht="12.75" customHeight="1">
      <c r="A354" s="114"/>
      <c r="B354" s="114"/>
      <c r="C354" s="114"/>
      <c r="D354" s="114"/>
      <c r="E354" s="114"/>
      <c r="F354" s="114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4"/>
      <c r="U354" s="114"/>
      <c r="V354" s="114"/>
      <c r="W354" s="114"/>
      <c r="X354" s="114"/>
      <c r="Y354" s="114"/>
      <c r="Z354" s="114"/>
      <c r="AA354" s="114"/>
      <c r="AB354" s="114"/>
      <c r="AC354" s="114"/>
      <c r="AD354" s="114"/>
      <c r="AE354" s="114"/>
    </row>
    <row r="355" ht="12.75" customHeight="1">
      <c r="A355" s="114"/>
      <c r="B355" s="114"/>
      <c r="C355" s="114"/>
      <c r="D355" s="114"/>
      <c r="E355" s="114"/>
      <c r="F355" s="114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4"/>
      <c r="U355" s="114"/>
      <c r="V355" s="114"/>
      <c r="W355" s="114"/>
      <c r="X355" s="114"/>
      <c r="Y355" s="114"/>
      <c r="Z355" s="114"/>
      <c r="AA355" s="114"/>
      <c r="AB355" s="114"/>
      <c r="AC355" s="114"/>
      <c r="AD355" s="114"/>
      <c r="AE355" s="114"/>
    </row>
    <row r="356" ht="12.75" customHeight="1">
      <c r="A356" s="114"/>
      <c r="B356" s="114"/>
      <c r="C356" s="114"/>
      <c r="D356" s="114"/>
      <c r="E356" s="114"/>
      <c r="F356" s="114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4"/>
      <c r="U356" s="114"/>
      <c r="V356" s="114"/>
      <c r="W356" s="114"/>
      <c r="X356" s="114"/>
      <c r="Y356" s="114"/>
      <c r="Z356" s="114"/>
      <c r="AA356" s="114"/>
      <c r="AB356" s="114"/>
      <c r="AC356" s="114"/>
      <c r="AD356" s="114"/>
      <c r="AE356" s="114"/>
    </row>
    <row r="357" ht="12.75" customHeight="1">
      <c r="A357" s="114"/>
      <c r="B357" s="114"/>
      <c r="C357" s="114"/>
      <c r="D357" s="114"/>
      <c r="E357" s="114"/>
      <c r="F357" s="114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4"/>
      <c r="U357" s="114"/>
      <c r="V357" s="114"/>
      <c r="W357" s="114"/>
      <c r="X357" s="114"/>
      <c r="Y357" s="114"/>
      <c r="Z357" s="114"/>
      <c r="AA357" s="114"/>
      <c r="AB357" s="114"/>
      <c r="AC357" s="114"/>
      <c r="AD357" s="114"/>
      <c r="AE357" s="114"/>
    </row>
    <row r="358" ht="12.75" customHeight="1">
      <c r="A358" s="114"/>
      <c r="B358" s="114"/>
      <c r="C358" s="114"/>
      <c r="D358" s="114"/>
      <c r="E358" s="114"/>
      <c r="F358" s="114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4"/>
      <c r="U358" s="114"/>
      <c r="V358" s="114"/>
      <c r="W358" s="114"/>
      <c r="X358" s="114"/>
      <c r="Y358" s="114"/>
      <c r="Z358" s="114"/>
      <c r="AA358" s="114"/>
      <c r="AB358" s="114"/>
      <c r="AC358" s="114"/>
      <c r="AD358" s="114"/>
      <c r="AE358" s="114"/>
    </row>
    <row r="359" ht="12.75" customHeight="1">
      <c r="A359" s="114"/>
      <c r="B359" s="114"/>
      <c r="C359" s="114"/>
      <c r="D359" s="114"/>
      <c r="E359" s="114"/>
      <c r="F359" s="114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4"/>
      <c r="U359" s="114"/>
      <c r="V359" s="114"/>
      <c r="W359" s="114"/>
      <c r="X359" s="114"/>
      <c r="Y359" s="114"/>
      <c r="Z359" s="114"/>
      <c r="AA359" s="114"/>
      <c r="AB359" s="114"/>
      <c r="AC359" s="114"/>
      <c r="AD359" s="114"/>
      <c r="AE359" s="114"/>
    </row>
    <row r="360" ht="12.75" customHeight="1">
      <c r="A360" s="114"/>
      <c r="B360" s="114"/>
      <c r="C360" s="114"/>
      <c r="D360" s="114"/>
      <c r="E360" s="114"/>
      <c r="F360" s="114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4"/>
      <c r="U360" s="114"/>
      <c r="V360" s="114"/>
      <c r="W360" s="114"/>
      <c r="X360" s="114"/>
      <c r="Y360" s="114"/>
      <c r="Z360" s="114"/>
      <c r="AA360" s="114"/>
      <c r="AB360" s="114"/>
      <c r="AC360" s="114"/>
      <c r="AD360" s="114"/>
      <c r="AE360" s="114"/>
    </row>
    <row r="361" ht="12.75" customHeight="1">
      <c r="A361" s="114"/>
      <c r="B361" s="114"/>
      <c r="C361" s="114"/>
      <c r="D361" s="114"/>
      <c r="E361" s="114"/>
      <c r="F361" s="114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4"/>
      <c r="U361" s="114"/>
      <c r="V361" s="114"/>
      <c r="W361" s="114"/>
      <c r="X361" s="114"/>
      <c r="Y361" s="114"/>
      <c r="Z361" s="114"/>
      <c r="AA361" s="114"/>
      <c r="AB361" s="114"/>
      <c r="AC361" s="114"/>
      <c r="AD361" s="114"/>
      <c r="AE361" s="114"/>
    </row>
    <row r="362" ht="12.75" customHeight="1">
      <c r="A362" s="114"/>
      <c r="B362" s="114"/>
      <c r="C362" s="114"/>
      <c r="D362" s="114"/>
      <c r="E362" s="114"/>
      <c r="F362" s="114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4"/>
      <c r="U362" s="114"/>
      <c r="V362" s="114"/>
      <c r="W362" s="114"/>
      <c r="X362" s="114"/>
      <c r="Y362" s="114"/>
      <c r="Z362" s="114"/>
      <c r="AA362" s="114"/>
      <c r="AB362" s="114"/>
      <c r="AC362" s="114"/>
      <c r="AD362" s="114"/>
      <c r="AE362" s="114"/>
    </row>
    <row r="363" ht="12.75" customHeight="1">
      <c r="A363" s="114"/>
      <c r="B363" s="114"/>
      <c r="C363" s="114"/>
      <c r="D363" s="114"/>
      <c r="E363" s="114"/>
      <c r="F363" s="114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4"/>
      <c r="U363" s="114"/>
      <c r="V363" s="114"/>
      <c r="W363" s="114"/>
      <c r="X363" s="114"/>
      <c r="Y363" s="114"/>
      <c r="Z363" s="114"/>
      <c r="AA363" s="114"/>
      <c r="AB363" s="114"/>
      <c r="AC363" s="114"/>
      <c r="AD363" s="114"/>
      <c r="AE363" s="114"/>
    </row>
    <row r="364" ht="12.75" customHeight="1">
      <c r="A364" s="114"/>
      <c r="B364" s="114"/>
      <c r="C364" s="114"/>
      <c r="D364" s="114"/>
      <c r="E364" s="114"/>
      <c r="F364" s="114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4"/>
      <c r="U364" s="114"/>
      <c r="V364" s="114"/>
      <c r="W364" s="114"/>
      <c r="X364" s="114"/>
      <c r="Y364" s="114"/>
      <c r="Z364" s="114"/>
      <c r="AA364" s="114"/>
      <c r="AB364" s="114"/>
      <c r="AC364" s="114"/>
      <c r="AD364" s="114"/>
      <c r="AE364" s="114"/>
    </row>
    <row r="365" ht="12.75" customHeight="1">
      <c r="A365" s="114"/>
      <c r="B365" s="114"/>
      <c r="C365" s="114"/>
      <c r="D365" s="114"/>
      <c r="E365" s="114"/>
      <c r="F365" s="114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4"/>
      <c r="U365" s="114"/>
      <c r="V365" s="114"/>
      <c r="W365" s="114"/>
      <c r="X365" s="114"/>
      <c r="Y365" s="114"/>
      <c r="Z365" s="114"/>
      <c r="AA365" s="114"/>
      <c r="AB365" s="114"/>
      <c r="AC365" s="114"/>
      <c r="AD365" s="114"/>
      <c r="AE365" s="114"/>
    </row>
    <row r="366" ht="12.75" customHeight="1">
      <c r="A366" s="114"/>
      <c r="B366" s="114"/>
      <c r="C366" s="114"/>
      <c r="D366" s="114"/>
      <c r="E366" s="114"/>
      <c r="F366" s="114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4"/>
      <c r="U366" s="114"/>
      <c r="V366" s="114"/>
      <c r="W366" s="114"/>
      <c r="X366" s="114"/>
      <c r="Y366" s="114"/>
      <c r="Z366" s="114"/>
      <c r="AA366" s="114"/>
      <c r="AB366" s="114"/>
      <c r="AC366" s="114"/>
      <c r="AD366" s="114"/>
      <c r="AE366" s="114"/>
    </row>
    <row r="367" ht="12.75" customHeight="1">
      <c r="A367" s="114"/>
      <c r="B367" s="114"/>
      <c r="C367" s="114"/>
      <c r="D367" s="114"/>
      <c r="E367" s="114"/>
      <c r="F367" s="114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4"/>
      <c r="X367" s="114"/>
      <c r="Y367" s="114"/>
      <c r="Z367" s="114"/>
      <c r="AA367" s="114"/>
      <c r="AB367" s="114"/>
      <c r="AC367" s="114"/>
      <c r="AD367" s="114"/>
      <c r="AE367" s="114"/>
    </row>
    <row r="368" ht="12.75" customHeight="1">
      <c r="A368" s="114"/>
      <c r="B368" s="114"/>
      <c r="C368" s="114"/>
      <c r="D368" s="114"/>
      <c r="E368" s="114"/>
      <c r="F368" s="114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4"/>
      <c r="U368" s="114"/>
      <c r="V368" s="114"/>
      <c r="W368" s="114"/>
      <c r="X368" s="114"/>
      <c r="Y368" s="114"/>
      <c r="Z368" s="114"/>
      <c r="AA368" s="114"/>
      <c r="AB368" s="114"/>
      <c r="AC368" s="114"/>
      <c r="AD368" s="114"/>
      <c r="AE368" s="114"/>
    </row>
    <row r="369" ht="12.75" customHeight="1">
      <c r="A369" s="114"/>
      <c r="B369" s="114"/>
      <c r="C369" s="114"/>
      <c r="D369" s="114"/>
      <c r="E369" s="114"/>
      <c r="F369" s="114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4"/>
      <c r="U369" s="114"/>
      <c r="V369" s="114"/>
      <c r="W369" s="114"/>
      <c r="X369" s="114"/>
      <c r="Y369" s="114"/>
      <c r="Z369" s="114"/>
      <c r="AA369" s="114"/>
      <c r="AB369" s="114"/>
      <c r="AC369" s="114"/>
      <c r="AD369" s="114"/>
      <c r="AE369" s="114"/>
    </row>
    <row r="370" ht="12.75" customHeight="1">
      <c r="A370" s="114"/>
      <c r="B370" s="114"/>
      <c r="C370" s="114"/>
      <c r="D370" s="114"/>
      <c r="E370" s="114"/>
      <c r="F370" s="114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4"/>
      <c r="U370" s="114"/>
      <c r="V370" s="114"/>
      <c r="W370" s="114"/>
      <c r="X370" s="114"/>
      <c r="Y370" s="114"/>
      <c r="Z370" s="114"/>
      <c r="AA370" s="114"/>
      <c r="AB370" s="114"/>
      <c r="AC370" s="114"/>
      <c r="AD370" s="114"/>
      <c r="AE370" s="114"/>
    </row>
    <row r="371" ht="12.75" customHeight="1">
      <c r="A371" s="114"/>
      <c r="B371" s="114"/>
      <c r="C371" s="114"/>
      <c r="D371" s="114"/>
      <c r="E371" s="114"/>
      <c r="F371" s="114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</row>
    <row r="372" ht="12.75" customHeight="1">
      <c r="A372" s="114"/>
      <c r="B372" s="114"/>
      <c r="C372" s="114"/>
      <c r="D372" s="114"/>
      <c r="E372" s="114"/>
      <c r="F372" s="114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4"/>
      <c r="U372" s="114"/>
      <c r="V372" s="114"/>
      <c r="W372" s="114"/>
      <c r="X372" s="114"/>
      <c r="Y372" s="114"/>
      <c r="Z372" s="114"/>
      <c r="AA372" s="114"/>
      <c r="AB372" s="114"/>
      <c r="AC372" s="114"/>
      <c r="AD372" s="114"/>
      <c r="AE372" s="114"/>
    </row>
    <row r="373" ht="12.75" customHeight="1">
      <c r="A373" s="114"/>
      <c r="B373" s="114"/>
      <c r="C373" s="114"/>
      <c r="D373" s="114"/>
      <c r="E373" s="114"/>
      <c r="F373" s="114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</row>
    <row r="374" ht="12.75" customHeight="1">
      <c r="A374" s="114"/>
      <c r="B374" s="114"/>
      <c r="C374" s="114"/>
      <c r="D374" s="114"/>
      <c r="E374" s="114"/>
      <c r="F374" s="114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4"/>
      <c r="U374" s="114"/>
      <c r="V374" s="114"/>
      <c r="W374" s="114"/>
      <c r="X374" s="114"/>
      <c r="Y374" s="114"/>
      <c r="Z374" s="114"/>
      <c r="AA374" s="114"/>
      <c r="AB374" s="114"/>
      <c r="AC374" s="114"/>
      <c r="AD374" s="114"/>
      <c r="AE374" s="114"/>
    </row>
    <row r="375" ht="12.75" customHeight="1">
      <c r="A375" s="114"/>
      <c r="B375" s="114"/>
      <c r="C375" s="114"/>
      <c r="D375" s="114"/>
      <c r="E375" s="114"/>
      <c r="F375" s="114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</row>
    <row r="376" ht="12.75" customHeight="1">
      <c r="A376" s="114"/>
      <c r="B376" s="114"/>
      <c r="C376" s="114"/>
      <c r="D376" s="114"/>
      <c r="E376" s="114"/>
      <c r="F376" s="114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4"/>
      <c r="U376" s="114"/>
      <c r="V376" s="114"/>
      <c r="W376" s="114"/>
      <c r="X376" s="114"/>
      <c r="Y376" s="114"/>
      <c r="Z376" s="114"/>
      <c r="AA376" s="114"/>
      <c r="AB376" s="114"/>
      <c r="AC376" s="114"/>
      <c r="AD376" s="114"/>
      <c r="AE376" s="114"/>
    </row>
    <row r="377" ht="12.75" customHeight="1">
      <c r="A377" s="114"/>
      <c r="B377" s="114"/>
      <c r="C377" s="114"/>
      <c r="D377" s="114"/>
      <c r="E377" s="114"/>
      <c r="F377" s="114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4"/>
      <c r="U377" s="114"/>
      <c r="V377" s="114"/>
      <c r="W377" s="114"/>
      <c r="X377" s="114"/>
      <c r="Y377" s="114"/>
      <c r="Z377" s="114"/>
      <c r="AA377" s="114"/>
      <c r="AB377" s="114"/>
      <c r="AC377" s="114"/>
      <c r="AD377" s="114"/>
      <c r="AE377" s="114"/>
    </row>
    <row r="378" ht="12.75" customHeight="1">
      <c r="A378" s="114"/>
      <c r="B378" s="114"/>
      <c r="C378" s="114"/>
      <c r="D378" s="114"/>
      <c r="E378" s="114"/>
      <c r="F378" s="114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4"/>
      <c r="U378" s="114"/>
      <c r="V378" s="114"/>
      <c r="W378" s="114"/>
      <c r="X378" s="114"/>
      <c r="Y378" s="114"/>
      <c r="Z378" s="114"/>
      <c r="AA378" s="114"/>
      <c r="AB378" s="114"/>
      <c r="AC378" s="114"/>
      <c r="AD378" s="114"/>
      <c r="AE378" s="114"/>
    </row>
    <row r="379" ht="12.75" customHeight="1">
      <c r="A379" s="114"/>
      <c r="B379" s="114"/>
      <c r="C379" s="114"/>
      <c r="D379" s="114"/>
      <c r="E379" s="114"/>
      <c r="F379" s="114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114"/>
      <c r="AD379" s="114"/>
      <c r="AE379" s="114"/>
    </row>
    <row r="380" ht="12.75" customHeight="1">
      <c r="A380" s="114"/>
      <c r="B380" s="114"/>
      <c r="C380" s="114"/>
      <c r="D380" s="114"/>
      <c r="E380" s="114"/>
      <c r="F380" s="114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4"/>
      <c r="U380" s="114"/>
      <c r="V380" s="114"/>
      <c r="W380" s="114"/>
      <c r="X380" s="114"/>
      <c r="Y380" s="114"/>
      <c r="Z380" s="114"/>
      <c r="AA380" s="114"/>
      <c r="AB380" s="114"/>
      <c r="AC380" s="114"/>
      <c r="AD380" s="114"/>
      <c r="AE380" s="114"/>
    </row>
    <row r="381" ht="12.75" customHeight="1">
      <c r="A381" s="114"/>
      <c r="B381" s="114"/>
      <c r="C381" s="114"/>
      <c r="D381" s="114"/>
      <c r="E381" s="114"/>
      <c r="F381" s="114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4"/>
      <c r="U381" s="114"/>
      <c r="V381" s="114"/>
      <c r="W381" s="114"/>
      <c r="X381" s="114"/>
      <c r="Y381" s="114"/>
      <c r="Z381" s="114"/>
      <c r="AA381" s="114"/>
      <c r="AB381" s="114"/>
      <c r="AC381" s="114"/>
      <c r="AD381" s="114"/>
      <c r="AE381" s="114"/>
    </row>
    <row r="382" ht="12.75" customHeight="1">
      <c r="A382" s="114"/>
      <c r="B382" s="114"/>
      <c r="C382" s="114"/>
      <c r="D382" s="114"/>
      <c r="E382" s="114"/>
      <c r="F382" s="114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4"/>
      <c r="U382" s="114"/>
      <c r="V382" s="114"/>
      <c r="W382" s="114"/>
      <c r="X382" s="114"/>
      <c r="Y382" s="114"/>
      <c r="Z382" s="114"/>
      <c r="AA382" s="114"/>
      <c r="AB382" s="114"/>
      <c r="AC382" s="114"/>
      <c r="AD382" s="114"/>
      <c r="AE382" s="114"/>
    </row>
    <row r="383" ht="12.75" customHeight="1">
      <c r="A383" s="114"/>
      <c r="B383" s="114"/>
      <c r="C383" s="114"/>
      <c r="D383" s="114"/>
      <c r="E383" s="114"/>
      <c r="F383" s="114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4"/>
      <c r="U383" s="114"/>
      <c r="V383" s="114"/>
      <c r="W383" s="114"/>
      <c r="X383" s="114"/>
      <c r="Y383" s="114"/>
      <c r="Z383" s="114"/>
      <c r="AA383" s="114"/>
      <c r="AB383" s="114"/>
      <c r="AC383" s="114"/>
      <c r="AD383" s="114"/>
      <c r="AE383" s="114"/>
    </row>
    <row r="384" ht="12.75" customHeight="1">
      <c r="A384" s="114"/>
      <c r="B384" s="114"/>
      <c r="C384" s="114"/>
      <c r="D384" s="114"/>
      <c r="E384" s="114"/>
      <c r="F384" s="114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4"/>
      <c r="U384" s="114"/>
      <c r="V384" s="114"/>
      <c r="W384" s="114"/>
      <c r="X384" s="114"/>
      <c r="Y384" s="114"/>
      <c r="Z384" s="114"/>
      <c r="AA384" s="114"/>
      <c r="AB384" s="114"/>
      <c r="AC384" s="114"/>
      <c r="AD384" s="114"/>
      <c r="AE384" s="114"/>
    </row>
    <row r="385" ht="12.75" customHeight="1">
      <c r="A385" s="114"/>
      <c r="B385" s="114"/>
      <c r="C385" s="114"/>
      <c r="D385" s="114"/>
      <c r="E385" s="114"/>
      <c r="F385" s="114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4"/>
      <c r="U385" s="114"/>
      <c r="V385" s="114"/>
      <c r="W385" s="114"/>
      <c r="X385" s="114"/>
      <c r="Y385" s="114"/>
      <c r="Z385" s="114"/>
      <c r="AA385" s="114"/>
      <c r="AB385" s="114"/>
      <c r="AC385" s="114"/>
      <c r="AD385" s="114"/>
      <c r="AE385" s="114"/>
    </row>
    <row r="386" ht="12.75" customHeight="1">
      <c r="A386" s="114"/>
      <c r="B386" s="114"/>
      <c r="C386" s="114"/>
      <c r="D386" s="114"/>
      <c r="E386" s="114"/>
      <c r="F386" s="114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4"/>
      <c r="U386" s="114"/>
      <c r="V386" s="114"/>
      <c r="W386" s="114"/>
      <c r="X386" s="114"/>
      <c r="Y386" s="114"/>
      <c r="Z386" s="114"/>
      <c r="AA386" s="114"/>
      <c r="AB386" s="114"/>
      <c r="AC386" s="114"/>
      <c r="AD386" s="114"/>
      <c r="AE386" s="114"/>
    </row>
    <row r="387" ht="12.75" customHeight="1">
      <c r="A387" s="114"/>
      <c r="B387" s="114"/>
      <c r="C387" s="114"/>
      <c r="D387" s="114"/>
      <c r="E387" s="114"/>
      <c r="F387" s="114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4"/>
      <c r="U387" s="114"/>
      <c r="V387" s="114"/>
      <c r="W387" s="114"/>
      <c r="X387" s="114"/>
      <c r="Y387" s="114"/>
      <c r="Z387" s="114"/>
      <c r="AA387" s="114"/>
      <c r="AB387" s="114"/>
      <c r="AC387" s="114"/>
      <c r="AD387" s="114"/>
      <c r="AE387" s="114"/>
    </row>
    <row r="388" ht="12.75" customHeight="1">
      <c r="A388" s="114"/>
      <c r="B388" s="114"/>
      <c r="C388" s="114"/>
      <c r="D388" s="114"/>
      <c r="E388" s="114"/>
      <c r="F388" s="114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4"/>
      <c r="U388" s="114"/>
      <c r="V388" s="114"/>
      <c r="W388" s="114"/>
      <c r="X388" s="114"/>
      <c r="Y388" s="114"/>
      <c r="Z388" s="114"/>
      <c r="AA388" s="114"/>
      <c r="AB388" s="114"/>
      <c r="AC388" s="114"/>
      <c r="AD388" s="114"/>
      <c r="AE388" s="114"/>
    </row>
    <row r="389" ht="12.75" customHeight="1">
      <c r="A389" s="114"/>
      <c r="B389" s="114"/>
      <c r="C389" s="114"/>
      <c r="D389" s="114"/>
      <c r="E389" s="114"/>
      <c r="F389" s="114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4"/>
      <c r="U389" s="114"/>
      <c r="V389" s="114"/>
      <c r="W389" s="114"/>
      <c r="X389" s="114"/>
      <c r="Y389" s="114"/>
      <c r="Z389" s="114"/>
      <c r="AA389" s="114"/>
      <c r="AB389" s="114"/>
      <c r="AC389" s="114"/>
      <c r="AD389" s="114"/>
      <c r="AE389" s="114"/>
    </row>
    <row r="390" ht="12.75" customHeight="1">
      <c r="A390" s="114"/>
      <c r="B390" s="114"/>
      <c r="C390" s="114"/>
      <c r="D390" s="114"/>
      <c r="E390" s="114"/>
      <c r="F390" s="114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4"/>
      <c r="U390" s="114"/>
      <c r="V390" s="114"/>
      <c r="W390" s="114"/>
      <c r="X390" s="114"/>
      <c r="Y390" s="114"/>
      <c r="Z390" s="114"/>
      <c r="AA390" s="114"/>
      <c r="AB390" s="114"/>
      <c r="AC390" s="114"/>
      <c r="AD390" s="114"/>
      <c r="AE390" s="114"/>
    </row>
    <row r="391" ht="12.75" customHeight="1">
      <c r="A391" s="114"/>
      <c r="B391" s="114"/>
      <c r="C391" s="114"/>
      <c r="D391" s="114"/>
      <c r="E391" s="114"/>
      <c r="F391" s="114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4"/>
      <c r="U391" s="114"/>
      <c r="V391" s="114"/>
      <c r="W391" s="114"/>
      <c r="X391" s="114"/>
      <c r="Y391" s="114"/>
      <c r="Z391" s="114"/>
      <c r="AA391" s="114"/>
      <c r="AB391" s="114"/>
      <c r="AC391" s="114"/>
      <c r="AD391" s="114"/>
      <c r="AE391" s="114"/>
    </row>
    <row r="392" ht="12.75" customHeight="1">
      <c r="A392" s="114"/>
      <c r="B392" s="114"/>
      <c r="C392" s="114"/>
      <c r="D392" s="114"/>
      <c r="E392" s="114"/>
      <c r="F392" s="114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4"/>
      <c r="U392" s="114"/>
      <c r="V392" s="114"/>
      <c r="W392" s="114"/>
      <c r="X392" s="114"/>
      <c r="Y392" s="114"/>
      <c r="Z392" s="114"/>
      <c r="AA392" s="114"/>
      <c r="AB392" s="114"/>
      <c r="AC392" s="114"/>
      <c r="AD392" s="114"/>
      <c r="AE392" s="114"/>
    </row>
    <row r="393" ht="12.75" customHeight="1">
      <c r="A393" s="114"/>
      <c r="B393" s="114"/>
      <c r="C393" s="114"/>
      <c r="D393" s="114"/>
      <c r="E393" s="114"/>
      <c r="F393" s="114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4"/>
      <c r="U393" s="114"/>
      <c r="V393" s="114"/>
      <c r="W393" s="114"/>
      <c r="X393" s="114"/>
      <c r="Y393" s="114"/>
      <c r="Z393" s="114"/>
      <c r="AA393" s="114"/>
      <c r="AB393" s="114"/>
      <c r="AC393" s="114"/>
      <c r="AD393" s="114"/>
      <c r="AE393" s="114"/>
    </row>
    <row r="394" ht="12.75" customHeight="1">
      <c r="A394" s="114"/>
      <c r="B394" s="114"/>
      <c r="C394" s="114"/>
      <c r="D394" s="114"/>
      <c r="E394" s="114"/>
      <c r="F394" s="114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4"/>
      <c r="U394" s="114"/>
      <c r="V394" s="114"/>
      <c r="W394" s="114"/>
      <c r="X394" s="114"/>
      <c r="Y394" s="114"/>
      <c r="Z394" s="114"/>
      <c r="AA394" s="114"/>
      <c r="AB394" s="114"/>
      <c r="AC394" s="114"/>
      <c r="AD394" s="114"/>
      <c r="AE394" s="114"/>
    </row>
    <row r="395" ht="12.75" customHeight="1">
      <c r="A395" s="114"/>
      <c r="B395" s="114"/>
      <c r="C395" s="114"/>
      <c r="D395" s="114"/>
      <c r="E395" s="114"/>
      <c r="F395" s="114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4"/>
      <c r="U395" s="114"/>
      <c r="V395" s="114"/>
      <c r="W395" s="114"/>
      <c r="X395" s="114"/>
      <c r="Y395" s="114"/>
      <c r="Z395" s="114"/>
      <c r="AA395" s="114"/>
      <c r="AB395" s="114"/>
      <c r="AC395" s="114"/>
      <c r="AD395" s="114"/>
      <c r="AE395" s="114"/>
    </row>
    <row r="396" ht="12.75" customHeight="1">
      <c r="A396" s="114"/>
      <c r="B396" s="114"/>
      <c r="C396" s="114"/>
      <c r="D396" s="114"/>
      <c r="E396" s="114"/>
      <c r="F396" s="114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4"/>
      <c r="U396" s="114"/>
      <c r="V396" s="114"/>
      <c r="W396" s="114"/>
      <c r="X396" s="114"/>
      <c r="Y396" s="114"/>
      <c r="Z396" s="114"/>
      <c r="AA396" s="114"/>
      <c r="AB396" s="114"/>
      <c r="AC396" s="114"/>
      <c r="AD396" s="114"/>
      <c r="AE396" s="114"/>
    </row>
    <row r="397" ht="12.75" customHeight="1">
      <c r="A397" s="114"/>
      <c r="B397" s="114"/>
      <c r="C397" s="114"/>
      <c r="D397" s="114"/>
      <c r="E397" s="114"/>
      <c r="F397" s="114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4"/>
      <c r="U397" s="114"/>
      <c r="V397" s="114"/>
      <c r="W397" s="114"/>
      <c r="X397" s="114"/>
      <c r="Y397" s="114"/>
      <c r="Z397" s="114"/>
      <c r="AA397" s="114"/>
      <c r="AB397" s="114"/>
      <c r="AC397" s="114"/>
      <c r="AD397" s="114"/>
      <c r="AE397" s="114"/>
    </row>
    <row r="398" ht="12.75" customHeight="1">
      <c r="A398" s="114"/>
      <c r="B398" s="114"/>
      <c r="C398" s="114"/>
      <c r="D398" s="114"/>
      <c r="E398" s="114"/>
      <c r="F398" s="114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4"/>
      <c r="U398" s="114"/>
      <c r="V398" s="114"/>
      <c r="W398" s="114"/>
      <c r="X398" s="114"/>
      <c r="Y398" s="114"/>
      <c r="Z398" s="114"/>
      <c r="AA398" s="114"/>
      <c r="AB398" s="114"/>
      <c r="AC398" s="114"/>
      <c r="AD398" s="114"/>
      <c r="AE398" s="114"/>
    </row>
    <row r="399" ht="12.75" customHeight="1">
      <c r="A399" s="114"/>
      <c r="B399" s="114"/>
      <c r="C399" s="114"/>
      <c r="D399" s="114"/>
      <c r="E399" s="114"/>
      <c r="F399" s="114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114"/>
      <c r="AD399" s="114"/>
      <c r="AE399" s="114"/>
    </row>
    <row r="400" ht="12.75" customHeight="1">
      <c r="A400" s="114"/>
      <c r="B400" s="114"/>
      <c r="C400" s="114"/>
      <c r="D400" s="114"/>
      <c r="E400" s="114"/>
      <c r="F400" s="114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4"/>
      <c r="U400" s="114"/>
      <c r="V400" s="114"/>
      <c r="W400" s="114"/>
      <c r="X400" s="114"/>
      <c r="Y400" s="114"/>
      <c r="Z400" s="114"/>
      <c r="AA400" s="114"/>
      <c r="AB400" s="114"/>
      <c r="AC400" s="114"/>
      <c r="AD400" s="114"/>
      <c r="AE400" s="114"/>
    </row>
    <row r="401" ht="12.75" customHeight="1">
      <c r="A401" s="114"/>
      <c r="B401" s="114"/>
      <c r="C401" s="114"/>
      <c r="D401" s="114"/>
      <c r="E401" s="114"/>
      <c r="F401" s="114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4"/>
      <c r="U401" s="114"/>
      <c r="V401" s="114"/>
      <c r="W401" s="114"/>
      <c r="X401" s="114"/>
      <c r="Y401" s="114"/>
      <c r="Z401" s="114"/>
      <c r="AA401" s="114"/>
      <c r="AB401" s="114"/>
      <c r="AC401" s="114"/>
      <c r="AD401" s="114"/>
      <c r="AE401" s="114"/>
    </row>
    <row r="402" ht="12.75" customHeight="1">
      <c r="A402" s="114"/>
      <c r="B402" s="114"/>
      <c r="C402" s="114"/>
      <c r="D402" s="114"/>
      <c r="E402" s="114"/>
      <c r="F402" s="114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4"/>
      <c r="U402" s="114"/>
      <c r="V402" s="114"/>
      <c r="W402" s="114"/>
      <c r="X402" s="114"/>
      <c r="Y402" s="114"/>
      <c r="Z402" s="114"/>
      <c r="AA402" s="114"/>
      <c r="AB402" s="114"/>
      <c r="AC402" s="114"/>
      <c r="AD402" s="114"/>
      <c r="AE402" s="114"/>
    </row>
    <row r="403" ht="12.75" customHeight="1">
      <c r="A403" s="114"/>
      <c r="B403" s="114"/>
      <c r="C403" s="114"/>
      <c r="D403" s="114"/>
      <c r="E403" s="114"/>
      <c r="F403" s="114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4"/>
      <c r="U403" s="114"/>
      <c r="V403" s="114"/>
      <c r="W403" s="114"/>
      <c r="X403" s="114"/>
      <c r="Y403" s="114"/>
      <c r="Z403" s="114"/>
      <c r="AA403" s="114"/>
      <c r="AB403" s="114"/>
      <c r="AC403" s="114"/>
      <c r="AD403" s="114"/>
      <c r="AE403" s="114"/>
    </row>
    <row r="404" ht="12.75" customHeight="1">
      <c r="A404" s="114"/>
      <c r="B404" s="114"/>
      <c r="C404" s="114"/>
      <c r="D404" s="114"/>
      <c r="E404" s="114"/>
      <c r="F404" s="114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4"/>
      <c r="U404" s="114"/>
      <c r="V404" s="114"/>
      <c r="W404" s="114"/>
      <c r="X404" s="114"/>
      <c r="Y404" s="114"/>
      <c r="Z404" s="114"/>
      <c r="AA404" s="114"/>
      <c r="AB404" s="114"/>
      <c r="AC404" s="114"/>
      <c r="AD404" s="114"/>
      <c r="AE404" s="114"/>
    </row>
    <row r="405" ht="12.75" customHeight="1">
      <c r="A405" s="114"/>
      <c r="B405" s="114"/>
      <c r="C405" s="114"/>
      <c r="D405" s="114"/>
      <c r="E405" s="114"/>
      <c r="F405" s="114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4"/>
      <c r="U405" s="114"/>
      <c r="V405" s="114"/>
      <c r="W405" s="114"/>
      <c r="X405" s="114"/>
      <c r="Y405" s="114"/>
      <c r="Z405" s="114"/>
      <c r="AA405" s="114"/>
      <c r="AB405" s="114"/>
      <c r="AC405" s="114"/>
      <c r="AD405" s="114"/>
      <c r="AE405" s="114"/>
    </row>
    <row r="406" ht="12.75" customHeight="1">
      <c r="A406" s="114"/>
      <c r="B406" s="114"/>
      <c r="C406" s="114"/>
      <c r="D406" s="114"/>
      <c r="E406" s="114"/>
      <c r="F406" s="114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4"/>
      <c r="U406" s="114"/>
      <c r="V406" s="114"/>
      <c r="W406" s="114"/>
      <c r="X406" s="114"/>
      <c r="Y406" s="114"/>
      <c r="Z406" s="114"/>
      <c r="AA406" s="114"/>
      <c r="AB406" s="114"/>
      <c r="AC406" s="114"/>
      <c r="AD406" s="114"/>
      <c r="AE406" s="114"/>
    </row>
    <row r="407" ht="12.75" customHeight="1">
      <c r="A407" s="114"/>
      <c r="B407" s="114"/>
      <c r="C407" s="114"/>
      <c r="D407" s="114"/>
      <c r="E407" s="114"/>
      <c r="F407" s="114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4"/>
      <c r="U407" s="114"/>
      <c r="V407" s="114"/>
      <c r="W407" s="114"/>
      <c r="X407" s="114"/>
      <c r="Y407" s="114"/>
      <c r="Z407" s="114"/>
      <c r="AA407" s="114"/>
      <c r="AB407" s="114"/>
      <c r="AC407" s="114"/>
      <c r="AD407" s="114"/>
      <c r="AE407" s="114"/>
    </row>
    <row r="408" ht="12.75" customHeight="1">
      <c r="A408" s="114"/>
      <c r="B408" s="114"/>
      <c r="C408" s="114"/>
      <c r="D408" s="114"/>
      <c r="E408" s="114"/>
      <c r="F408" s="114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4"/>
      <c r="U408" s="114"/>
      <c r="V408" s="114"/>
      <c r="W408" s="114"/>
      <c r="X408" s="114"/>
      <c r="Y408" s="114"/>
      <c r="Z408" s="114"/>
      <c r="AA408" s="114"/>
      <c r="AB408" s="114"/>
      <c r="AC408" s="114"/>
      <c r="AD408" s="114"/>
      <c r="AE408" s="114"/>
    </row>
    <row r="409" ht="12.75" customHeight="1">
      <c r="A409" s="114"/>
      <c r="B409" s="114"/>
      <c r="C409" s="114"/>
      <c r="D409" s="114"/>
      <c r="E409" s="114"/>
      <c r="F409" s="114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4"/>
      <c r="U409" s="114"/>
      <c r="V409" s="114"/>
      <c r="W409" s="114"/>
      <c r="X409" s="114"/>
      <c r="Y409" s="114"/>
      <c r="Z409" s="114"/>
      <c r="AA409" s="114"/>
      <c r="AB409" s="114"/>
      <c r="AC409" s="114"/>
      <c r="AD409" s="114"/>
      <c r="AE409" s="114"/>
    </row>
    <row r="410" ht="12.75" customHeight="1">
      <c r="A410" s="114"/>
      <c r="B410" s="114"/>
      <c r="C410" s="114"/>
      <c r="D410" s="114"/>
      <c r="E410" s="114"/>
      <c r="F410" s="114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4"/>
      <c r="U410" s="114"/>
      <c r="V410" s="114"/>
      <c r="W410" s="114"/>
      <c r="X410" s="114"/>
      <c r="Y410" s="114"/>
      <c r="Z410" s="114"/>
      <c r="AA410" s="114"/>
      <c r="AB410" s="114"/>
      <c r="AC410" s="114"/>
      <c r="AD410" s="114"/>
      <c r="AE410" s="114"/>
    </row>
    <row r="411" ht="12.75" customHeight="1">
      <c r="A411" s="114"/>
      <c r="B411" s="114"/>
      <c r="C411" s="114"/>
      <c r="D411" s="114"/>
      <c r="E411" s="114"/>
      <c r="F411" s="114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4"/>
      <c r="U411" s="114"/>
      <c r="V411" s="114"/>
      <c r="W411" s="114"/>
      <c r="X411" s="114"/>
      <c r="Y411" s="114"/>
      <c r="Z411" s="114"/>
      <c r="AA411" s="114"/>
      <c r="AB411" s="114"/>
      <c r="AC411" s="114"/>
      <c r="AD411" s="114"/>
      <c r="AE411" s="114"/>
    </row>
    <row r="412" ht="12.75" customHeight="1">
      <c r="A412" s="114"/>
      <c r="B412" s="114"/>
      <c r="C412" s="114"/>
      <c r="D412" s="114"/>
      <c r="E412" s="114"/>
      <c r="F412" s="114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4"/>
      <c r="U412" s="114"/>
      <c r="V412" s="114"/>
      <c r="W412" s="114"/>
      <c r="X412" s="114"/>
      <c r="Y412" s="114"/>
      <c r="Z412" s="114"/>
      <c r="AA412" s="114"/>
      <c r="AB412" s="114"/>
      <c r="AC412" s="114"/>
      <c r="AD412" s="114"/>
      <c r="AE412" s="114"/>
    </row>
    <row r="413" ht="12.75" customHeight="1">
      <c r="A413" s="114"/>
      <c r="B413" s="114"/>
      <c r="C413" s="114"/>
      <c r="D413" s="114"/>
      <c r="E413" s="114"/>
      <c r="F413" s="114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4"/>
      <c r="U413" s="114"/>
      <c r="V413" s="114"/>
      <c r="W413" s="114"/>
      <c r="X413" s="114"/>
      <c r="Y413" s="114"/>
      <c r="Z413" s="114"/>
      <c r="AA413" s="114"/>
      <c r="AB413" s="114"/>
      <c r="AC413" s="114"/>
      <c r="AD413" s="114"/>
      <c r="AE413" s="114"/>
    </row>
    <row r="414" ht="12.75" customHeight="1">
      <c r="A414" s="114"/>
      <c r="B414" s="114"/>
      <c r="C414" s="114"/>
      <c r="D414" s="114"/>
      <c r="E414" s="114"/>
      <c r="F414" s="114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4"/>
      <c r="U414" s="114"/>
      <c r="V414" s="114"/>
      <c r="W414" s="114"/>
      <c r="X414" s="114"/>
      <c r="Y414" s="114"/>
      <c r="Z414" s="114"/>
      <c r="AA414" s="114"/>
      <c r="AB414" s="114"/>
      <c r="AC414" s="114"/>
      <c r="AD414" s="114"/>
      <c r="AE414" s="114"/>
    </row>
    <row r="415" ht="12.75" customHeight="1">
      <c r="A415" s="114"/>
      <c r="B415" s="114"/>
      <c r="C415" s="114"/>
      <c r="D415" s="114"/>
      <c r="E415" s="114"/>
      <c r="F415" s="114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4"/>
      <c r="U415" s="114"/>
      <c r="V415" s="114"/>
      <c r="W415" s="114"/>
      <c r="X415" s="114"/>
      <c r="Y415" s="114"/>
      <c r="Z415" s="114"/>
      <c r="AA415" s="114"/>
      <c r="AB415" s="114"/>
      <c r="AC415" s="114"/>
      <c r="AD415" s="114"/>
      <c r="AE415" s="114"/>
    </row>
    <row r="416" ht="12.75" customHeight="1">
      <c r="A416" s="114"/>
      <c r="B416" s="114"/>
      <c r="C416" s="114"/>
      <c r="D416" s="114"/>
      <c r="E416" s="114"/>
      <c r="F416" s="114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4"/>
      <c r="U416" s="114"/>
      <c r="V416" s="114"/>
      <c r="W416" s="114"/>
      <c r="X416" s="114"/>
      <c r="Y416" s="114"/>
      <c r="Z416" s="114"/>
      <c r="AA416" s="114"/>
      <c r="AB416" s="114"/>
      <c r="AC416" s="114"/>
      <c r="AD416" s="114"/>
      <c r="AE416" s="114"/>
    </row>
    <row r="417" ht="12.75" customHeight="1">
      <c r="A417" s="114"/>
      <c r="B417" s="114"/>
      <c r="C417" s="114"/>
      <c r="D417" s="114"/>
      <c r="E417" s="114"/>
      <c r="F417" s="114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4"/>
      <c r="U417" s="114"/>
      <c r="V417" s="114"/>
      <c r="W417" s="114"/>
      <c r="X417" s="114"/>
      <c r="Y417" s="114"/>
      <c r="Z417" s="114"/>
      <c r="AA417" s="114"/>
      <c r="AB417" s="114"/>
      <c r="AC417" s="114"/>
      <c r="AD417" s="114"/>
      <c r="AE417" s="114"/>
    </row>
    <row r="418" ht="12.75" customHeight="1">
      <c r="A418" s="114"/>
      <c r="B418" s="114"/>
      <c r="C418" s="114"/>
      <c r="D418" s="114"/>
      <c r="E418" s="114"/>
      <c r="F418" s="114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4"/>
      <c r="U418" s="114"/>
      <c r="V418" s="114"/>
      <c r="W418" s="114"/>
      <c r="X418" s="114"/>
      <c r="Y418" s="114"/>
      <c r="Z418" s="114"/>
      <c r="AA418" s="114"/>
      <c r="AB418" s="114"/>
      <c r="AC418" s="114"/>
      <c r="AD418" s="114"/>
      <c r="AE418" s="114"/>
    </row>
    <row r="419" ht="12.75" customHeight="1">
      <c r="A419" s="114"/>
      <c r="B419" s="114"/>
      <c r="C419" s="114"/>
      <c r="D419" s="114"/>
      <c r="E419" s="114"/>
      <c r="F419" s="114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4"/>
      <c r="U419" s="114"/>
      <c r="V419" s="114"/>
      <c r="W419" s="114"/>
      <c r="X419" s="114"/>
      <c r="Y419" s="114"/>
      <c r="Z419" s="114"/>
      <c r="AA419" s="114"/>
      <c r="AB419" s="114"/>
      <c r="AC419" s="114"/>
      <c r="AD419" s="114"/>
      <c r="AE419" s="114"/>
    </row>
    <row r="420" ht="12.75" customHeight="1">
      <c r="A420" s="114"/>
      <c r="B420" s="114"/>
      <c r="C420" s="114"/>
      <c r="D420" s="114"/>
      <c r="E420" s="114"/>
      <c r="F420" s="114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4"/>
      <c r="U420" s="114"/>
      <c r="V420" s="114"/>
      <c r="W420" s="114"/>
      <c r="X420" s="114"/>
      <c r="Y420" s="114"/>
      <c r="Z420" s="114"/>
      <c r="AA420" s="114"/>
      <c r="AB420" s="114"/>
      <c r="AC420" s="114"/>
      <c r="AD420" s="114"/>
      <c r="AE420" s="114"/>
    </row>
    <row r="421" ht="12.75" customHeight="1">
      <c r="A421" s="114"/>
      <c r="B421" s="114"/>
      <c r="C421" s="114"/>
      <c r="D421" s="114"/>
      <c r="E421" s="114"/>
      <c r="F421" s="114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4"/>
      <c r="U421" s="114"/>
      <c r="V421" s="114"/>
      <c r="W421" s="114"/>
      <c r="X421" s="114"/>
      <c r="Y421" s="114"/>
      <c r="Z421" s="114"/>
      <c r="AA421" s="114"/>
      <c r="AB421" s="114"/>
      <c r="AC421" s="114"/>
      <c r="AD421" s="114"/>
      <c r="AE421" s="114"/>
    </row>
    <row r="422" ht="12.75" customHeight="1">
      <c r="A422" s="114"/>
      <c r="B422" s="114"/>
      <c r="C422" s="114"/>
      <c r="D422" s="114"/>
      <c r="E422" s="114"/>
      <c r="F422" s="114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4"/>
      <c r="U422" s="114"/>
      <c r="V422" s="114"/>
      <c r="W422" s="114"/>
      <c r="X422" s="114"/>
      <c r="Y422" s="114"/>
      <c r="Z422" s="114"/>
      <c r="AA422" s="114"/>
      <c r="AB422" s="114"/>
      <c r="AC422" s="114"/>
      <c r="AD422" s="114"/>
      <c r="AE422" s="114"/>
    </row>
    <row r="423" ht="12.75" customHeight="1">
      <c r="A423" s="114"/>
      <c r="B423" s="114"/>
      <c r="C423" s="114"/>
      <c r="D423" s="114"/>
      <c r="E423" s="114"/>
      <c r="F423" s="114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4"/>
      <c r="U423" s="114"/>
      <c r="V423" s="114"/>
      <c r="W423" s="114"/>
      <c r="X423" s="114"/>
      <c r="Y423" s="114"/>
      <c r="Z423" s="114"/>
      <c r="AA423" s="114"/>
      <c r="AB423" s="114"/>
      <c r="AC423" s="114"/>
      <c r="AD423" s="114"/>
      <c r="AE423" s="114"/>
    </row>
    <row r="424" ht="12.75" customHeight="1">
      <c r="A424" s="114"/>
      <c r="B424" s="114"/>
      <c r="C424" s="114"/>
      <c r="D424" s="114"/>
      <c r="E424" s="114"/>
      <c r="F424" s="114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4"/>
      <c r="U424" s="114"/>
      <c r="V424" s="114"/>
      <c r="W424" s="114"/>
      <c r="X424" s="114"/>
      <c r="Y424" s="114"/>
      <c r="Z424" s="114"/>
      <c r="AA424" s="114"/>
      <c r="AB424" s="114"/>
      <c r="AC424" s="114"/>
      <c r="AD424" s="114"/>
      <c r="AE424" s="114"/>
    </row>
    <row r="425" ht="12.75" customHeight="1">
      <c r="A425" s="114"/>
      <c r="B425" s="114"/>
      <c r="C425" s="114"/>
      <c r="D425" s="114"/>
      <c r="E425" s="114"/>
      <c r="F425" s="114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4"/>
      <c r="U425" s="114"/>
      <c r="V425" s="114"/>
      <c r="W425" s="114"/>
      <c r="X425" s="114"/>
      <c r="Y425" s="114"/>
      <c r="Z425" s="114"/>
      <c r="AA425" s="114"/>
      <c r="AB425" s="114"/>
      <c r="AC425" s="114"/>
      <c r="AD425" s="114"/>
      <c r="AE425" s="114"/>
    </row>
    <row r="426" ht="12.75" customHeight="1">
      <c r="A426" s="114"/>
      <c r="B426" s="114"/>
      <c r="C426" s="114"/>
      <c r="D426" s="114"/>
      <c r="E426" s="114"/>
      <c r="F426" s="114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4"/>
      <c r="U426" s="114"/>
      <c r="V426" s="114"/>
      <c r="W426" s="114"/>
      <c r="X426" s="114"/>
      <c r="Y426" s="114"/>
      <c r="Z426" s="114"/>
      <c r="AA426" s="114"/>
      <c r="AB426" s="114"/>
      <c r="AC426" s="114"/>
      <c r="AD426" s="114"/>
      <c r="AE426" s="114"/>
    </row>
    <row r="427" ht="12.75" customHeight="1">
      <c r="A427" s="114"/>
      <c r="B427" s="114"/>
      <c r="C427" s="114"/>
      <c r="D427" s="114"/>
      <c r="E427" s="114"/>
      <c r="F427" s="114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4"/>
      <c r="U427" s="114"/>
      <c r="V427" s="114"/>
      <c r="W427" s="114"/>
      <c r="X427" s="114"/>
      <c r="Y427" s="114"/>
      <c r="Z427" s="114"/>
      <c r="AA427" s="114"/>
      <c r="AB427" s="114"/>
      <c r="AC427" s="114"/>
      <c r="AD427" s="114"/>
      <c r="AE427" s="114"/>
    </row>
    <row r="428" ht="12.75" customHeight="1">
      <c r="A428" s="114"/>
      <c r="B428" s="114"/>
      <c r="C428" s="114"/>
      <c r="D428" s="114"/>
      <c r="E428" s="114"/>
      <c r="F428" s="114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4"/>
      <c r="U428" s="114"/>
      <c r="V428" s="114"/>
      <c r="W428" s="114"/>
      <c r="X428" s="114"/>
      <c r="Y428" s="114"/>
      <c r="Z428" s="114"/>
      <c r="AA428" s="114"/>
      <c r="AB428" s="114"/>
      <c r="AC428" s="114"/>
      <c r="AD428" s="114"/>
      <c r="AE428" s="114"/>
    </row>
    <row r="429" ht="12.75" customHeight="1">
      <c r="A429" s="114"/>
      <c r="B429" s="114"/>
      <c r="C429" s="114"/>
      <c r="D429" s="114"/>
      <c r="E429" s="114"/>
      <c r="F429" s="114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4"/>
      <c r="U429" s="114"/>
      <c r="V429" s="114"/>
      <c r="W429" s="114"/>
      <c r="X429" s="114"/>
      <c r="Y429" s="114"/>
      <c r="Z429" s="114"/>
      <c r="AA429" s="114"/>
      <c r="AB429" s="114"/>
      <c r="AC429" s="114"/>
      <c r="AD429" s="114"/>
      <c r="AE429" s="114"/>
    </row>
    <row r="430" ht="12.75" customHeight="1">
      <c r="A430" s="114"/>
      <c r="B430" s="114"/>
      <c r="C430" s="114"/>
      <c r="D430" s="114"/>
      <c r="E430" s="114"/>
      <c r="F430" s="114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4"/>
      <c r="U430" s="114"/>
      <c r="V430" s="114"/>
      <c r="W430" s="114"/>
      <c r="X430" s="114"/>
      <c r="Y430" s="114"/>
      <c r="Z430" s="114"/>
      <c r="AA430" s="114"/>
      <c r="AB430" s="114"/>
      <c r="AC430" s="114"/>
      <c r="AD430" s="114"/>
      <c r="AE430" s="114"/>
    </row>
    <row r="431" ht="12.75" customHeight="1">
      <c r="A431" s="114"/>
      <c r="B431" s="114"/>
      <c r="C431" s="114"/>
      <c r="D431" s="114"/>
      <c r="E431" s="114"/>
      <c r="F431" s="114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4"/>
      <c r="U431" s="114"/>
      <c r="V431" s="114"/>
      <c r="W431" s="114"/>
      <c r="X431" s="114"/>
      <c r="Y431" s="114"/>
      <c r="Z431" s="114"/>
      <c r="AA431" s="114"/>
      <c r="AB431" s="114"/>
      <c r="AC431" s="114"/>
      <c r="AD431" s="114"/>
      <c r="AE431" s="114"/>
    </row>
    <row r="432" ht="12.75" customHeight="1">
      <c r="A432" s="114"/>
      <c r="B432" s="114"/>
      <c r="C432" s="114"/>
      <c r="D432" s="114"/>
      <c r="E432" s="114"/>
      <c r="F432" s="114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4"/>
      <c r="U432" s="114"/>
      <c r="V432" s="114"/>
      <c r="W432" s="114"/>
      <c r="X432" s="114"/>
      <c r="Y432" s="114"/>
      <c r="Z432" s="114"/>
      <c r="AA432" s="114"/>
      <c r="AB432" s="114"/>
      <c r="AC432" s="114"/>
      <c r="AD432" s="114"/>
      <c r="AE432" s="114"/>
    </row>
    <row r="433" ht="12.75" customHeight="1">
      <c r="A433" s="114"/>
      <c r="B433" s="114"/>
      <c r="C433" s="114"/>
      <c r="D433" s="114"/>
      <c r="E433" s="114"/>
      <c r="F433" s="114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4"/>
      <c r="U433" s="114"/>
      <c r="V433" s="114"/>
      <c r="W433" s="114"/>
      <c r="X433" s="114"/>
      <c r="Y433" s="114"/>
      <c r="Z433" s="114"/>
      <c r="AA433" s="114"/>
      <c r="AB433" s="114"/>
      <c r="AC433" s="114"/>
      <c r="AD433" s="114"/>
      <c r="AE433" s="114"/>
    </row>
    <row r="434" ht="12.75" customHeight="1">
      <c r="A434" s="114"/>
      <c r="B434" s="114"/>
      <c r="C434" s="114"/>
      <c r="D434" s="114"/>
      <c r="E434" s="114"/>
      <c r="F434" s="114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4"/>
      <c r="U434" s="114"/>
      <c r="V434" s="114"/>
      <c r="W434" s="114"/>
      <c r="X434" s="114"/>
      <c r="Y434" s="114"/>
      <c r="Z434" s="114"/>
      <c r="AA434" s="114"/>
      <c r="AB434" s="114"/>
      <c r="AC434" s="114"/>
      <c r="AD434" s="114"/>
      <c r="AE434" s="114"/>
    </row>
    <row r="435" ht="12.75" customHeight="1">
      <c r="A435" s="114"/>
      <c r="B435" s="114"/>
      <c r="C435" s="114"/>
      <c r="D435" s="114"/>
      <c r="E435" s="114"/>
      <c r="F435" s="114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4"/>
      <c r="U435" s="114"/>
      <c r="V435" s="114"/>
      <c r="W435" s="114"/>
      <c r="X435" s="114"/>
      <c r="Y435" s="114"/>
      <c r="Z435" s="114"/>
      <c r="AA435" s="114"/>
      <c r="AB435" s="114"/>
      <c r="AC435" s="114"/>
      <c r="AD435" s="114"/>
      <c r="AE435" s="114"/>
    </row>
    <row r="436" ht="12.75" customHeight="1">
      <c r="A436" s="114"/>
      <c r="B436" s="114"/>
      <c r="C436" s="114"/>
      <c r="D436" s="114"/>
      <c r="E436" s="114"/>
      <c r="F436" s="114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4"/>
      <c r="U436" s="114"/>
      <c r="V436" s="114"/>
      <c r="W436" s="114"/>
      <c r="X436" s="114"/>
      <c r="Y436" s="114"/>
      <c r="Z436" s="114"/>
      <c r="AA436" s="114"/>
      <c r="AB436" s="114"/>
      <c r="AC436" s="114"/>
      <c r="AD436" s="114"/>
      <c r="AE436" s="114"/>
    </row>
    <row r="437" ht="12.75" customHeight="1">
      <c r="A437" s="114"/>
      <c r="B437" s="114"/>
      <c r="C437" s="114"/>
      <c r="D437" s="114"/>
      <c r="E437" s="114"/>
      <c r="F437" s="114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4"/>
      <c r="U437" s="114"/>
      <c r="V437" s="114"/>
      <c r="W437" s="114"/>
      <c r="X437" s="114"/>
      <c r="Y437" s="114"/>
      <c r="Z437" s="114"/>
      <c r="AA437" s="114"/>
      <c r="AB437" s="114"/>
      <c r="AC437" s="114"/>
      <c r="AD437" s="114"/>
      <c r="AE437" s="114"/>
    </row>
    <row r="438" ht="12.75" customHeight="1">
      <c r="A438" s="114"/>
      <c r="B438" s="114"/>
      <c r="C438" s="114"/>
      <c r="D438" s="114"/>
      <c r="E438" s="114"/>
      <c r="F438" s="114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4"/>
      <c r="U438" s="114"/>
      <c r="V438" s="114"/>
      <c r="W438" s="114"/>
      <c r="X438" s="114"/>
      <c r="Y438" s="114"/>
      <c r="Z438" s="114"/>
      <c r="AA438" s="114"/>
      <c r="AB438" s="114"/>
      <c r="AC438" s="114"/>
      <c r="AD438" s="114"/>
      <c r="AE438" s="114"/>
    </row>
    <row r="439" ht="12.75" customHeight="1">
      <c r="A439" s="114"/>
      <c r="B439" s="114"/>
      <c r="C439" s="114"/>
      <c r="D439" s="114"/>
      <c r="E439" s="114"/>
      <c r="F439" s="114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4"/>
      <c r="U439" s="114"/>
      <c r="V439" s="114"/>
      <c r="W439" s="114"/>
      <c r="X439" s="114"/>
      <c r="Y439" s="114"/>
      <c r="Z439" s="114"/>
      <c r="AA439" s="114"/>
      <c r="AB439" s="114"/>
      <c r="AC439" s="114"/>
      <c r="AD439" s="114"/>
      <c r="AE439" s="114"/>
    </row>
    <row r="440" ht="12.75" customHeight="1">
      <c r="A440" s="114"/>
      <c r="B440" s="114"/>
      <c r="C440" s="114"/>
      <c r="D440" s="114"/>
      <c r="E440" s="114"/>
      <c r="F440" s="114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4"/>
      <c r="U440" s="114"/>
      <c r="V440" s="114"/>
      <c r="W440" s="114"/>
      <c r="X440" s="114"/>
      <c r="Y440" s="114"/>
      <c r="Z440" s="114"/>
      <c r="AA440" s="114"/>
      <c r="AB440" s="114"/>
      <c r="AC440" s="114"/>
      <c r="AD440" s="114"/>
      <c r="AE440" s="114"/>
    </row>
    <row r="441" ht="12.75" customHeight="1">
      <c r="A441" s="114"/>
      <c r="B441" s="114"/>
      <c r="C441" s="114"/>
      <c r="D441" s="114"/>
      <c r="E441" s="114"/>
      <c r="F441" s="114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4"/>
      <c r="U441" s="114"/>
      <c r="V441" s="114"/>
      <c r="W441" s="114"/>
      <c r="X441" s="114"/>
      <c r="Y441" s="114"/>
      <c r="Z441" s="114"/>
      <c r="AA441" s="114"/>
      <c r="AB441" s="114"/>
      <c r="AC441" s="114"/>
      <c r="AD441" s="114"/>
      <c r="AE441" s="114"/>
    </row>
    <row r="442" ht="12.75" customHeight="1">
      <c r="A442" s="114"/>
      <c r="B442" s="114"/>
      <c r="C442" s="114"/>
      <c r="D442" s="114"/>
      <c r="E442" s="114"/>
      <c r="F442" s="114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4"/>
      <c r="U442" s="114"/>
      <c r="V442" s="114"/>
      <c r="W442" s="114"/>
      <c r="X442" s="114"/>
      <c r="Y442" s="114"/>
      <c r="Z442" s="114"/>
      <c r="AA442" s="114"/>
      <c r="AB442" s="114"/>
      <c r="AC442" s="114"/>
      <c r="AD442" s="114"/>
      <c r="AE442" s="114"/>
    </row>
    <row r="443" ht="12.75" customHeight="1">
      <c r="A443" s="114"/>
      <c r="B443" s="114"/>
      <c r="C443" s="114"/>
      <c r="D443" s="114"/>
      <c r="E443" s="114"/>
      <c r="F443" s="114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4"/>
      <c r="U443" s="114"/>
      <c r="V443" s="114"/>
      <c r="W443" s="114"/>
      <c r="X443" s="114"/>
      <c r="Y443" s="114"/>
      <c r="Z443" s="114"/>
      <c r="AA443" s="114"/>
      <c r="AB443" s="114"/>
      <c r="AC443" s="114"/>
      <c r="AD443" s="114"/>
      <c r="AE443" s="114"/>
    </row>
    <row r="444" ht="12.75" customHeight="1">
      <c r="A444" s="114"/>
      <c r="B444" s="114"/>
      <c r="C444" s="114"/>
      <c r="D444" s="114"/>
      <c r="E444" s="114"/>
      <c r="F444" s="114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4"/>
      <c r="U444" s="114"/>
      <c r="V444" s="114"/>
      <c r="W444" s="114"/>
      <c r="X444" s="114"/>
      <c r="Y444" s="114"/>
      <c r="Z444" s="114"/>
      <c r="AA444" s="114"/>
      <c r="AB444" s="114"/>
      <c r="AC444" s="114"/>
      <c r="AD444" s="114"/>
      <c r="AE444" s="114"/>
    </row>
    <row r="445" ht="12.75" customHeight="1">
      <c r="A445" s="114"/>
      <c r="B445" s="114"/>
      <c r="C445" s="114"/>
      <c r="D445" s="114"/>
      <c r="E445" s="114"/>
      <c r="F445" s="114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4"/>
      <c r="U445" s="114"/>
      <c r="V445" s="114"/>
      <c r="W445" s="114"/>
      <c r="X445" s="114"/>
      <c r="Y445" s="114"/>
      <c r="Z445" s="114"/>
      <c r="AA445" s="114"/>
      <c r="AB445" s="114"/>
      <c r="AC445" s="114"/>
      <c r="AD445" s="114"/>
      <c r="AE445" s="114"/>
    </row>
    <row r="446" ht="12.75" customHeight="1">
      <c r="A446" s="114"/>
      <c r="B446" s="114"/>
      <c r="C446" s="114"/>
      <c r="D446" s="114"/>
      <c r="E446" s="114"/>
      <c r="F446" s="114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4"/>
      <c r="U446" s="114"/>
      <c r="V446" s="114"/>
      <c r="W446" s="114"/>
      <c r="X446" s="114"/>
      <c r="Y446" s="114"/>
      <c r="Z446" s="114"/>
      <c r="AA446" s="114"/>
      <c r="AB446" s="114"/>
      <c r="AC446" s="114"/>
      <c r="AD446" s="114"/>
      <c r="AE446" s="114"/>
    </row>
    <row r="447" ht="12.75" customHeight="1">
      <c r="A447" s="114"/>
      <c r="B447" s="114"/>
      <c r="C447" s="114"/>
      <c r="D447" s="114"/>
      <c r="E447" s="114"/>
      <c r="F447" s="114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4"/>
      <c r="U447" s="114"/>
      <c r="V447" s="114"/>
      <c r="W447" s="114"/>
      <c r="X447" s="114"/>
      <c r="Y447" s="114"/>
      <c r="Z447" s="114"/>
      <c r="AA447" s="114"/>
      <c r="AB447" s="114"/>
      <c r="AC447" s="114"/>
      <c r="AD447" s="114"/>
      <c r="AE447" s="114"/>
    </row>
    <row r="448" ht="12.75" customHeight="1">
      <c r="A448" s="114"/>
      <c r="B448" s="114"/>
      <c r="C448" s="114"/>
      <c r="D448" s="114"/>
      <c r="E448" s="114"/>
      <c r="F448" s="114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4"/>
      <c r="U448" s="114"/>
      <c r="V448" s="114"/>
      <c r="W448" s="114"/>
      <c r="X448" s="114"/>
      <c r="Y448" s="114"/>
      <c r="Z448" s="114"/>
      <c r="AA448" s="114"/>
      <c r="AB448" s="114"/>
      <c r="AC448" s="114"/>
      <c r="AD448" s="114"/>
      <c r="AE448" s="114"/>
    </row>
    <row r="449" ht="12.75" customHeight="1">
      <c r="A449" s="114"/>
      <c r="B449" s="114"/>
      <c r="C449" s="114"/>
      <c r="D449" s="114"/>
      <c r="E449" s="114"/>
      <c r="F449" s="114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4"/>
      <c r="U449" s="114"/>
      <c r="V449" s="114"/>
      <c r="W449" s="114"/>
      <c r="X449" s="114"/>
      <c r="Y449" s="114"/>
      <c r="Z449" s="114"/>
      <c r="AA449" s="114"/>
      <c r="AB449" s="114"/>
      <c r="AC449" s="114"/>
      <c r="AD449" s="114"/>
      <c r="AE449" s="114"/>
    </row>
    <row r="450" ht="12.75" customHeight="1">
      <c r="A450" s="114"/>
      <c r="B450" s="114"/>
      <c r="C450" s="114"/>
      <c r="D450" s="114"/>
      <c r="E450" s="114"/>
      <c r="F450" s="114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4"/>
      <c r="U450" s="114"/>
      <c r="V450" s="114"/>
      <c r="W450" s="114"/>
      <c r="X450" s="114"/>
      <c r="Y450" s="114"/>
      <c r="Z450" s="114"/>
      <c r="AA450" s="114"/>
      <c r="AB450" s="114"/>
      <c r="AC450" s="114"/>
      <c r="AD450" s="114"/>
      <c r="AE450" s="114"/>
    </row>
    <row r="451" ht="12.75" customHeight="1">
      <c r="A451" s="114"/>
      <c r="B451" s="114"/>
      <c r="C451" s="114"/>
      <c r="D451" s="114"/>
      <c r="E451" s="114"/>
      <c r="F451" s="114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4"/>
      <c r="U451" s="114"/>
      <c r="V451" s="114"/>
      <c r="W451" s="114"/>
      <c r="X451" s="114"/>
      <c r="Y451" s="114"/>
      <c r="Z451" s="114"/>
      <c r="AA451" s="114"/>
      <c r="AB451" s="114"/>
      <c r="AC451" s="114"/>
      <c r="AD451" s="114"/>
      <c r="AE451" s="114"/>
    </row>
    <row r="452" ht="12.75" customHeight="1">
      <c r="A452" s="114"/>
      <c r="B452" s="114"/>
      <c r="C452" s="114"/>
      <c r="D452" s="114"/>
      <c r="E452" s="114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4"/>
      <c r="U452" s="114"/>
      <c r="V452" s="114"/>
      <c r="W452" s="114"/>
      <c r="X452" s="114"/>
      <c r="Y452" s="114"/>
      <c r="Z452" s="114"/>
      <c r="AA452" s="114"/>
      <c r="AB452" s="114"/>
      <c r="AC452" s="114"/>
      <c r="AD452" s="114"/>
      <c r="AE452" s="114"/>
    </row>
    <row r="453" ht="12.75" customHeight="1">
      <c r="A453" s="114"/>
      <c r="B453" s="114"/>
      <c r="C453" s="114"/>
      <c r="D453" s="114"/>
      <c r="E453" s="114"/>
      <c r="F453" s="114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4"/>
      <c r="U453" s="114"/>
      <c r="V453" s="114"/>
      <c r="W453" s="114"/>
      <c r="X453" s="114"/>
      <c r="Y453" s="114"/>
      <c r="Z453" s="114"/>
      <c r="AA453" s="114"/>
      <c r="AB453" s="114"/>
      <c r="AC453" s="114"/>
      <c r="AD453" s="114"/>
      <c r="AE453" s="114"/>
    </row>
    <row r="454" ht="12.75" customHeight="1">
      <c r="A454" s="114"/>
      <c r="B454" s="114"/>
      <c r="C454" s="114"/>
      <c r="D454" s="114"/>
      <c r="E454" s="114"/>
      <c r="F454" s="114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114"/>
      <c r="AD454" s="114"/>
      <c r="AE454" s="114"/>
    </row>
    <row r="455" ht="12.75" customHeight="1">
      <c r="A455" s="114"/>
      <c r="B455" s="114"/>
      <c r="C455" s="114"/>
      <c r="D455" s="114"/>
      <c r="E455" s="114"/>
      <c r="F455" s="114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4"/>
      <c r="U455" s="114"/>
      <c r="V455" s="114"/>
      <c r="W455" s="114"/>
      <c r="X455" s="114"/>
      <c r="Y455" s="114"/>
      <c r="Z455" s="114"/>
      <c r="AA455" s="114"/>
      <c r="AB455" s="114"/>
      <c r="AC455" s="114"/>
      <c r="AD455" s="114"/>
      <c r="AE455" s="114"/>
    </row>
    <row r="456" ht="12.75" customHeight="1">
      <c r="A456" s="114"/>
      <c r="B456" s="114"/>
      <c r="C456" s="114"/>
      <c r="D456" s="114"/>
      <c r="E456" s="114"/>
      <c r="F456" s="114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4"/>
      <c r="U456" s="114"/>
      <c r="V456" s="114"/>
      <c r="W456" s="114"/>
      <c r="X456" s="114"/>
      <c r="Y456" s="114"/>
      <c r="Z456" s="114"/>
      <c r="AA456" s="114"/>
      <c r="AB456" s="114"/>
      <c r="AC456" s="114"/>
      <c r="AD456" s="114"/>
      <c r="AE456" s="114"/>
    </row>
    <row r="457" ht="12.75" customHeight="1">
      <c r="A457" s="114"/>
      <c r="B457" s="114"/>
      <c r="C457" s="114"/>
      <c r="D457" s="114"/>
      <c r="E457" s="114"/>
      <c r="F457" s="114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4"/>
      <c r="U457" s="114"/>
      <c r="V457" s="114"/>
      <c r="W457" s="114"/>
      <c r="X457" s="114"/>
      <c r="Y457" s="114"/>
      <c r="Z457" s="114"/>
      <c r="AA457" s="114"/>
      <c r="AB457" s="114"/>
      <c r="AC457" s="114"/>
      <c r="AD457" s="114"/>
      <c r="AE457" s="114"/>
    </row>
    <row r="458" ht="12.75" customHeight="1">
      <c r="A458" s="114"/>
      <c r="B458" s="114"/>
      <c r="C458" s="114"/>
      <c r="D458" s="114"/>
      <c r="E458" s="114"/>
      <c r="F458" s="114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4"/>
      <c r="U458" s="114"/>
      <c r="V458" s="114"/>
      <c r="W458" s="114"/>
      <c r="X458" s="114"/>
      <c r="Y458" s="114"/>
      <c r="Z458" s="114"/>
      <c r="AA458" s="114"/>
      <c r="AB458" s="114"/>
      <c r="AC458" s="114"/>
      <c r="AD458" s="114"/>
      <c r="AE458" s="114"/>
    </row>
    <row r="459" ht="12.75" customHeight="1">
      <c r="A459" s="114"/>
      <c r="B459" s="114"/>
      <c r="C459" s="114"/>
      <c r="D459" s="114"/>
      <c r="E459" s="114"/>
      <c r="F459" s="114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4"/>
      <c r="U459" s="114"/>
      <c r="V459" s="114"/>
      <c r="W459" s="114"/>
      <c r="X459" s="114"/>
      <c r="Y459" s="114"/>
      <c r="Z459" s="114"/>
      <c r="AA459" s="114"/>
      <c r="AB459" s="114"/>
      <c r="AC459" s="114"/>
      <c r="AD459" s="114"/>
      <c r="AE459" s="114"/>
    </row>
    <row r="460" ht="12.75" customHeight="1">
      <c r="A460" s="114"/>
      <c r="B460" s="114"/>
      <c r="C460" s="114"/>
      <c r="D460" s="114"/>
      <c r="E460" s="114"/>
      <c r="F460" s="114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4"/>
      <c r="U460" s="114"/>
      <c r="V460" s="114"/>
      <c r="W460" s="114"/>
      <c r="X460" s="114"/>
      <c r="Y460" s="114"/>
      <c r="Z460" s="114"/>
      <c r="AA460" s="114"/>
      <c r="AB460" s="114"/>
      <c r="AC460" s="114"/>
      <c r="AD460" s="114"/>
      <c r="AE460" s="114"/>
    </row>
    <row r="461" ht="12.75" customHeight="1">
      <c r="A461" s="114"/>
      <c r="B461" s="114"/>
      <c r="C461" s="114"/>
      <c r="D461" s="114"/>
      <c r="E461" s="114"/>
      <c r="F461" s="114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4"/>
      <c r="U461" s="114"/>
      <c r="V461" s="114"/>
      <c r="W461" s="114"/>
      <c r="X461" s="114"/>
      <c r="Y461" s="114"/>
      <c r="Z461" s="114"/>
      <c r="AA461" s="114"/>
      <c r="AB461" s="114"/>
      <c r="AC461" s="114"/>
      <c r="AD461" s="114"/>
      <c r="AE461" s="114"/>
    </row>
    <row r="462" ht="12.75" customHeight="1">
      <c r="A462" s="114"/>
      <c r="B462" s="114"/>
      <c r="C462" s="114"/>
      <c r="D462" s="114"/>
      <c r="E462" s="114"/>
      <c r="F462" s="114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4"/>
      <c r="U462" s="114"/>
      <c r="V462" s="114"/>
      <c r="W462" s="114"/>
      <c r="X462" s="114"/>
      <c r="Y462" s="114"/>
      <c r="Z462" s="114"/>
      <c r="AA462" s="114"/>
      <c r="AB462" s="114"/>
      <c r="AC462" s="114"/>
      <c r="AD462" s="114"/>
      <c r="AE462" s="114"/>
    </row>
    <row r="463" ht="12.75" customHeight="1">
      <c r="A463" s="114"/>
      <c r="B463" s="114"/>
      <c r="C463" s="114"/>
      <c r="D463" s="114"/>
      <c r="E463" s="114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4"/>
      <c r="U463" s="114"/>
      <c r="V463" s="114"/>
      <c r="W463" s="114"/>
      <c r="X463" s="114"/>
      <c r="Y463" s="114"/>
      <c r="Z463" s="114"/>
      <c r="AA463" s="114"/>
      <c r="AB463" s="114"/>
      <c r="AC463" s="114"/>
      <c r="AD463" s="114"/>
      <c r="AE463" s="114"/>
    </row>
    <row r="464" ht="12.75" customHeight="1">
      <c r="A464" s="114"/>
      <c r="B464" s="114"/>
      <c r="C464" s="114"/>
      <c r="D464" s="114"/>
      <c r="E464" s="114"/>
      <c r="F464" s="114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4"/>
      <c r="U464" s="114"/>
      <c r="V464" s="114"/>
      <c r="W464" s="114"/>
      <c r="X464" s="114"/>
      <c r="Y464" s="114"/>
      <c r="Z464" s="114"/>
      <c r="AA464" s="114"/>
      <c r="AB464" s="114"/>
      <c r="AC464" s="114"/>
      <c r="AD464" s="114"/>
      <c r="AE464" s="114"/>
    </row>
    <row r="465" ht="12.75" customHeight="1">
      <c r="A465" s="114"/>
      <c r="B465" s="114"/>
      <c r="C465" s="114"/>
      <c r="D465" s="114"/>
      <c r="E465" s="114"/>
      <c r="F465" s="114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4"/>
      <c r="U465" s="114"/>
      <c r="V465" s="114"/>
      <c r="W465" s="114"/>
      <c r="X465" s="114"/>
      <c r="Y465" s="114"/>
      <c r="Z465" s="114"/>
      <c r="AA465" s="114"/>
      <c r="AB465" s="114"/>
      <c r="AC465" s="114"/>
      <c r="AD465" s="114"/>
      <c r="AE465" s="114"/>
    </row>
    <row r="466" ht="12.75" customHeight="1">
      <c r="A466" s="114"/>
      <c r="B466" s="114"/>
      <c r="C466" s="114"/>
      <c r="D466" s="114"/>
      <c r="E466" s="114"/>
      <c r="F466" s="114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4"/>
      <c r="U466" s="114"/>
      <c r="V466" s="114"/>
      <c r="W466" s="114"/>
      <c r="X466" s="114"/>
      <c r="Y466" s="114"/>
      <c r="Z466" s="114"/>
      <c r="AA466" s="114"/>
      <c r="AB466" s="114"/>
      <c r="AC466" s="114"/>
      <c r="AD466" s="114"/>
      <c r="AE466" s="114"/>
    </row>
    <row r="467" ht="12.75" customHeight="1">
      <c r="A467" s="114"/>
      <c r="B467" s="114"/>
      <c r="C467" s="114"/>
      <c r="D467" s="114"/>
      <c r="E467" s="114"/>
      <c r="F467" s="114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4"/>
      <c r="U467" s="114"/>
      <c r="V467" s="114"/>
      <c r="W467" s="114"/>
      <c r="X467" s="114"/>
      <c r="Y467" s="114"/>
      <c r="Z467" s="114"/>
      <c r="AA467" s="114"/>
      <c r="AB467" s="114"/>
      <c r="AC467" s="114"/>
      <c r="AD467" s="114"/>
      <c r="AE467" s="114"/>
    </row>
    <row r="468" ht="12.75" customHeight="1">
      <c r="A468" s="114"/>
      <c r="B468" s="114"/>
      <c r="C468" s="114"/>
      <c r="D468" s="114"/>
      <c r="E468" s="114"/>
      <c r="F468" s="114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4"/>
      <c r="U468" s="114"/>
      <c r="V468" s="114"/>
      <c r="W468" s="114"/>
      <c r="X468" s="114"/>
      <c r="Y468" s="114"/>
      <c r="Z468" s="114"/>
      <c r="AA468" s="114"/>
      <c r="AB468" s="114"/>
      <c r="AC468" s="114"/>
      <c r="AD468" s="114"/>
      <c r="AE468" s="114"/>
    </row>
    <row r="469" ht="12.75" customHeight="1">
      <c r="A469" s="114"/>
      <c r="B469" s="114"/>
      <c r="C469" s="114"/>
      <c r="D469" s="114"/>
      <c r="E469" s="114"/>
      <c r="F469" s="114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4"/>
      <c r="U469" s="114"/>
      <c r="V469" s="114"/>
      <c r="W469" s="114"/>
      <c r="X469" s="114"/>
      <c r="Y469" s="114"/>
      <c r="Z469" s="114"/>
      <c r="AA469" s="114"/>
      <c r="AB469" s="114"/>
      <c r="AC469" s="114"/>
      <c r="AD469" s="114"/>
      <c r="AE469" s="114"/>
    </row>
    <row r="470" ht="12.75" customHeight="1">
      <c r="A470" s="114"/>
      <c r="B470" s="114"/>
      <c r="C470" s="114"/>
      <c r="D470" s="114"/>
      <c r="E470" s="114"/>
      <c r="F470" s="114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4"/>
      <c r="U470" s="114"/>
      <c r="V470" s="114"/>
      <c r="W470" s="114"/>
      <c r="X470" s="114"/>
      <c r="Y470" s="114"/>
      <c r="Z470" s="114"/>
      <c r="AA470" s="114"/>
      <c r="AB470" s="114"/>
      <c r="AC470" s="114"/>
      <c r="AD470" s="114"/>
      <c r="AE470" s="114"/>
    </row>
    <row r="471" ht="12.75" customHeight="1">
      <c r="A471" s="114"/>
      <c r="B471" s="114"/>
      <c r="C471" s="114"/>
      <c r="D471" s="114"/>
      <c r="E471" s="114"/>
      <c r="F471" s="114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4"/>
      <c r="U471" s="114"/>
      <c r="V471" s="114"/>
      <c r="W471" s="114"/>
      <c r="X471" s="114"/>
      <c r="Y471" s="114"/>
      <c r="Z471" s="114"/>
      <c r="AA471" s="114"/>
      <c r="AB471" s="114"/>
      <c r="AC471" s="114"/>
      <c r="AD471" s="114"/>
      <c r="AE471" s="114"/>
    </row>
    <row r="472" ht="12.75" customHeight="1">
      <c r="A472" s="114"/>
      <c r="B472" s="114"/>
      <c r="C472" s="114"/>
      <c r="D472" s="114"/>
      <c r="E472" s="114"/>
      <c r="F472" s="114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4"/>
      <c r="U472" s="114"/>
      <c r="V472" s="114"/>
      <c r="W472" s="114"/>
      <c r="X472" s="114"/>
      <c r="Y472" s="114"/>
      <c r="Z472" s="114"/>
      <c r="AA472" s="114"/>
      <c r="AB472" s="114"/>
      <c r="AC472" s="114"/>
      <c r="AD472" s="114"/>
      <c r="AE472" s="114"/>
    </row>
    <row r="473" ht="12.75" customHeight="1">
      <c r="A473" s="114"/>
      <c r="B473" s="114"/>
      <c r="C473" s="114"/>
      <c r="D473" s="114"/>
      <c r="E473" s="114"/>
      <c r="F473" s="114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4"/>
      <c r="U473" s="114"/>
      <c r="V473" s="114"/>
      <c r="W473" s="114"/>
      <c r="X473" s="114"/>
      <c r="Y473" s="114"/>
      <c r="Z473" s="114"/>
      <c r="AA473" s="114"/>
      <c r="AB473" s="114"/>
      <c r="AC473" s="114"/>
      <c r="AD473" s="114"/>
      <c r="AE473" s="114"/>
    </row>
    <row r="474" ht="12.75" customHeight="1">
      <c r="A474" s="114"/>
      <c r="B474" s="114"/>
      <c r="C474" s="114"/>
      <c r="D474" s="114"/>
      <c r="E474" s="114"/>
      <c r="F474" s="114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114"/>
      <c r="AD474" s="114"/>
      <c r="AE474" s="114"/>
    </row>
    <row r="475" ht="12.75" customHeight="1">
      <c r="A475" s="114"/>
      <c r="B475" s="114"/>
      <c r="C475" s="114"/>
      <c r="D475" s="114"/>
      <c r="E475" s="114"/>
      <c r="F475" s="114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4"/>
      <c r="U475" s="114"/>
      <c r="V475" s="114"/>
      <c r="W475" s="114"/>
      <c r="X475" s="114"/>
      <c r="Y475" s="114"/>
      <c r="Z475" s="114"/>
      <c r="AA475" s="114"/>
      <c r="AB475" s="114"/>
      <c r="AC475" s="114"/>
      <c r="AD475" s="114"/>
      <c r="AE475" s="114"/>
    </row>
    <row r="476" ht="12.75" customHeight="1">
      <c r="A476" s="114"/>
      <c r="B476" s="114"/>
      <c r="C476" s="114"/>
      <c r="D476" s="114"/>
      <c r="E476" s="114"/>
      <c r="F476" s="114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4"/>
      <c r="U476" s="114"/>
      <c r="V476" s="114"/>
      <c r="W476" s="114"/>
      <c r="X476" s="114"/>
      <c r="Y476" s="114"/>
      <c r="Z476" s="114"/>
      <c r="AA476" s="114"/>
      <c r="AB476" s="114"/>
      <c r="AC476" s="114"/>
      <c r="AD476" s="114"/>
      <c r="AE476" s="114"/>
    </row>
    <row r="477" ht="12.75" customHeight="1">
      <c r="A477" s="114"/>
      <c r="B477" s="114"/>
      <c r="C477" s="114"/>
      <c r="D477" s="114"/>
      <c r="E477" s="114"/>
      <c r="F477" s="114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4"/>
      <c r="U477" s="114"/>
      <c r="V477" s="114"/>
      <c r="W477" s="114"/>
      <c r="X477" s="114"/>
      <c r="Y477" s="114"/>
      <c r="Z477" s="114"/>
      <c r="AA477" s="114"/>
      <c r="AB477" s="114"/>
      <c r="AC477" s="114"/>
      <c r="AD477" s="114"/>
      <c r="AE477" s="114"/>
    </row>
    <row r="478" ht="12.75" customHeight="1">
      <c r="A478" s="114"/>
      <c r="B478" s="114"/>
      <c r="C478" s="114"/>
      <c r="D478" s="114"/>
      <c r="E478" s="114"/>
      <c r="F478" s="114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4"/>
      <c r="U478" s="114"/>
      <c r="V478" s="114"/>
      <c r="W478" s="114"/>
      <c r="X478" s="114"/>
      <c r="Y478" s="114"/>
      <c r="Z478" s="114"/>
      <c r="AA478" s="114"/>
      <c r="AB478" s="114"/>
      <c r="AC478" s="114"/>
      <c r="AD478" s="114"/>
      <c r="AE478" s="114"/>
    </row>
    <row r="479" ht="12.75" customHeight="1">
      <c r="A479" s="114"/>
      <c r="B479" s="114"/>
      <c r="C479" s="114"/>
      <c r="D479" s="114"/>
      <c r="E479" s="114"/>
      <c r="F479" s="114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4"/>
      <c r="U479" s="114"/>
      <c r="V479" s="114"/>
      <c r="W479" s="114"/>
      <c r="X479" s="114"/>
      <c r="Y479" s="114"/>
      <c r="Z479" s="114"/>
      <c r="AA479" s="114"/>
      <c r="AB479" s="114"/>
      <c r="AC479" s="114"/>
      <c r="AD479" s="114"/>
      <c r="AE479" s="114"/>
    </row>
    <row r="480" ht="12.75" customHeight="1">
      <c r="A480" s="114"/>
      <c r="B480" s="114"/>
      <c r="C480" s="114"/>
      <c r="D480" s="114"/>
      <c r="E480" s="114"/>
      <c r="F480" s="114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4"/>
      <c r="U480" s="114"/>
      <c r="V480" s="114"/>
      <c r="W480" s="114"/>
      <c r="X480" s="114"/>
      <c r="Y480" s="114"/>
      <c r="Z480" s="114"/>
      <c r="AA480" s="114"/>
      <c r="AB480" s="114"/>
      <c r="AC480" s="114"/>
      <c r="AD480" s="114"/>
      <c r="AE480" s="114"/>
    </row>
    <row r="481" ht="12.75" customHeight="1">
      <c r="A481" s="114"/>
      <c r="B481" s="114"/>
      <c r="C481" s="114"/>
      <c r="D481" s="114"/>
      <c r="E481" s="114"/>
      <c r="F481" s="114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4"/>
      <c r="U481" s="114"/>
      <c r="V481" s="114"/>
      <c r="W481" s="114"/>
      <c r="X481" s="114"/>
      <c r="Y481" s="114"/>
      <c r="Z481" s="114"/>
      <c r="AA481" s="114"/>
      <c r="AB481" s="114"/>
      <c r="AC481" s="114"/>
      <c r="AD481" s="114"/>
      <c r="AE481" s="114"/>
    </row>
    <row r="482" ht="12.75" customHeight="1">
      <c r="A482" s="114"/>
      <c r="B482" s="114"/>
      <c r="C482" s="114"/>
      <c r="D482" s="114"/>
      <c r="E482" s="114"/>
      <c r="F482" s="114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4"/>
      <c r="U482" s="114"/>
      <c r="V482" s="114"/>
      <c r="W482" s="114"/>
      <c r="X482" s="114"/>
      <c r="Y482" s="114"/>
      <c r="Z482" s="114"/>
      <c r="AA482" s="114"/>
      <c r="AB482" s="114"/>
      <c r="AC482" s="114"/>
      <c r="AD482" s="114"/>
      <c r="AE482" s="114"/>
    </row>
    <row r="483" ht="12.75" customHeight="1">
      <c r="A483" s="114"/>
      <c r="B483" s="114"/>
      <c r="C483" s="114"/>
      <c r="D483" s="114"/>
      <c r="E483" s="114"/>
      <c r="F483" s="114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4"/>
      <c r="U483" s="114"/>
      <c r="V483" s="114"/>
      <c r="W483" s="114"/>
      <c r="X483" s="114"/>
      <c r="Y483" s="114"/>
      <c r="Z483" s="114"/>
      <c r="AA483" s="114"/>
      <c r="AB483" s="114"/>
      <c r="AC483" s="114"/>
      <c r="AD483" s="114"/>
      <c r="AE483" s="114"/>
    </row>
    <row r="484" ht="12.75" customHeight="1">
      <c r="A484" s="114"/>
      <c r="B484" s="114"/>
      <c r="C484" s="114"/>
      <c r="D484" s="114"/>
      <c r="E484" s="114"/>
      <c r="F484" s="114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4"/>
      <c r="U484" s="114"/>
      <c r="V484" s="114"/>
      <c r="W484" s="114"/>
      <c r="X484" s="114"/>
      <c r="Y484" s="114"/>
      <c r="Z484" s="114"/>
      <c r="AA484" s="114"/>
      <c r="AB484" s="114"/>
      <c r="AC484" s="114"/>
      <c r="AD484" s="114"/>
      <c r="AE484" s="114"/>
    </row>
    <row r="485" ht="12.75" customHeight="1">
      <c r="A485" s="114"/>
      <c r="B485" s="114"/>
      <c r="C485" s="114"/>
      <c r="D485" s="114"/>
      <c r="E485" s="114"/>
      <c r="F485" s="114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4"/>
      <c r="U485" s="114"/>
      <c r="V485" s="114"/>
      <c r="W485" s="114"/>
      <c r="X485" s="114"/>
      <c r="Y485" s="114"/>
      <c r="Z485" s="114"/>
      <c r="AA485" s="114"/>
      <c r="AB485" s="114"/>
      <c r="AC485" s="114"/>
      <c r="AD485" s="114"/>
      <c r="AE485" s="114"/>
    </row>
    <row r="486" ht="12.75" customHeight="1">
      <c r="A486" s="114"/>
      <c r="B486" s="114"/>
      <c r="C486" s="114"/>
      <c r="D486" s="114"/>
      <c r="E486" s="114"/>
      <c r="F486" s="114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4"/>
      <c r="U486" s="114"/>
      <c r="V486" s="114"/>
      <c r="W486" s="114"/>
      <c r="X486" s="114"/>
      <c r="Y486" s="114"/>
      <c r="Z486" s="114"/>
      <c r="AA486" s="114"/>
      <c r="AB486" s="114"/>
      <c r="AC486" s="114"/>
      <c r="AD486" s="114"/>
      <c r="AE486" s="114"/>
    </row>
    <row r="487" ht="12.75" customHeight="1">
      <c r="A487" s="114"/>
      <c r="B487" s="114"/>
      <c r="C487" s="114"/>
      <c r="D487" s="114"/>
      <c r="E487" s="114"/>
      <c r="F487" s="114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4"/>
      <c r="U487" s="114"/>
      <c r="V487" s="114"/>
      <c r="W487" s="114"/>
      <c r="X487" s="114"/>
      <c r="Y487" s="114"/>
      <c r="Z487" s="114"/>
      <c r="AA487" s="114"/>
      <c r="AB487" s="114"/>
      <c r="AC487" s="114"/>
      <c r="AD487" s="114"/>
      <c r="AE487" s="114"/>
    </row>
    <row r="488" ht="12.75" customHeight="1">
      <c r="A488" s="114"/>
      <c r="B488" s="114"/>
      <c r="C488" s="114"/>
      <c r="D488" s="114"/>
      <c r="E488" s="114"/>
      <c r="F488" s="114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4"/>
      <c r="U488" s="114"/>
      <c r="V488" s="114"/>
      <c r="W488" s="114"/>
      <c r="X488" s="114"/>
      <c r="Y488" s="114"/>
      <c r="Z488" s="114"/>
      <c r="AA488" s="114"/>
      <c r="AB488" s="114"/>
      <c r="AC488" s="114"/>
      <c r="AD488" s="114"/>
      <c r="AE488" s="114"/>
    </row>
    <row r="489" ht="12.75" customHeight="1">
      <c r="A489" s="114"/>
      <c r="B489" s="114"/>
      <c r="C489" s="114"/>
      <c r="D489" s="114"/>
      <c r="E489" s="114"/>
      <c r="F489" s="114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4"/>
      <c r="U489" s="114"/>
      <c r="V489" s="114"/>
      <c r="W489" s="114"/>
      <c r="X489" s="114"/>
      <c r="Y489" s="114"/>
      <c r="Z489" s="114"/>
      <c r="AA489" s="114"/>
      <c r="AB489" s="114"/>
      <c r="AC489" s="114"/>
      <c r="AD489" s="114"/>
      <c r="AE489" s="114"/>
    </row>
    <row r="490" ht="12.75" customHeight="1">
      <c r="A490" s="114"/>
      <c r="B490" s="114"/>
      <c r="C490" s="114"/>
      <c r="D490" s="114"/>
      <c r="E490" s="114"/>
      <c r="F490" s="114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4"/>
      <c r="U490" s="114"/>
      <c r="V490" s="114"/>
      <c r="W490" s="114"/>
      <c r="X490" s="114"/>
      <c r="Y490" s="114"/>
      <c r="Z490" s="114"/>
      <c r="AA490" s="114"/>
      <c r="AB490" s="114"/>
      <c r="AC490" s="114"/>
      <c r="AD490" s="114"/>
      <c r="AE490" s="114"/>
    </row>
    <row r="491" ht="12.75" customHeight="1">
      <c r="A491" s="114"/>
      <c r="B491" s="114"/>
      <c r="C491" s="114"/>
      <c r="D491" s="114"/>
      <c r="E491" s="114"/>
      <c r="F491" s="114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4"/>
      <c r="U491" s="114"/>
      <c r="V491" s="114"/>
      <c r="W491" s="114"/>
      <c r="X491" s="114"/>
      <c r="Y491" s="114"/>
      <c r="Z491" s="114"/>
      <c r="AA491" s="114"/>
      <c r="AB491" s="114"/>
      <c r="AC491" s="114"/>
      <c r="AD491" s="114"/>
      <c r="AE491" s="114"/>
    </row>
    <row r="492" ht="12.75" customHeight="1">
      <c r="A492" s="114"/>
      <c r="B492" s="114"/>
      <c r="C492" s="114"/>
      <c r="D492" s="114"/>
      <c r="E492" s="114"/>
      <c r="F492" s="114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4"/>
      <c r="U492" s="114"/>
      <c r="V492" s="114"/>
      <c r="W492" s="114"/>
      <c r="X492" s="114"/>
      <c r="Y492" s="114"/>
      <c r="Z492" s="114"/>
      <c r="AA492" s="114"/>
      <c r="AB492" s="114"/>
      <c r="AC492" s="114"/>
      <c r="AD492" s="114"/>
      <c r="AE492" s="114"/>
    </row>
    <row r="493" ht="12.75" customHeight="1">
      <c r="A493" s="114"/>
      <c r="B493" s="114"/>
      <c r="C493" s="114"/>
      <c r="D493" s="114"/>
      <c r="E493" s="114"/>
      <c r="F493" s="114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4"/>
      <c r="U493" s="114"/>
      <c r="V493" s="114"/>
      <c r="W493" s="114"/>
      <c r="X493" s="114"/>
      <c r="Y493" s="114"/>
      <c r="Z493" s="114"/>
      <c r="AA493" s="114"/>
      <c r="AB493" s="114"/>
      <c r="AC493" s="114"/>
      <c r="AD493" s="114"/>
      <c r="AE493" s="114"/>
    </row>
    <row r="494" ht="12.75" customHeight="1">
      <c r="A494" s="114"/>
      <c r="B494" s="114"/>
      <c r="C494" s="114"/>
      <c r="D494" s="114"/>
      <c r="E494" s="114"/>
      <c r="F494" s="114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4"/>
      <c r="U494" s="114"/>
      <c r="V494" s="114"/>
      <c r="W494" s="114"/>
      <c r="X494" s="114"/>
      <c r="Y494" s="114"/>
      <c r="Z494" s="114"/>
      <c r="AA494" s="114"/>
      <c r="AB494" s="114"/>
      <c r="AC494" s="114"/>
      <c r="AD494" s="114"/>
      <c r="AE494" s="114"/>
    </row>
    <row r="495" ht="12.75" customHeight="1">
      <c r="A495" s="114"/>
      <c r="B495" s="114"/>
      <c r="C495" s="114"/>
      <c r="D495" s="114"/>
      <c r="E495" s="114"/>
      <c r="F495" s="114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4"/>
      <c r="U495" s="114"/>
      <c r="V495" s="114"/>
      <c r="W495" s="114"/>
      <c r="X495" s="114"/>
      <c r="Y495" s="114"/>
      <c r="Z495" s="114"/>
      <c r="AA495" s="114"/>
      <c r="AB495" s="114"/>
      <c r="AC495" s="114"/>
      <c r="AD495" s="114"/>
      <c r="AE495" s="114"/>
    </row>
    <row r="496" ht="12.75" customHeight="1">
      <c r="A496" s="114"/>
      <c r="B496" s="114"/>
      <c r="C496" s="114"/>
      <c r="D496" s="114"/>
      <c r="E496" s="114"/>
      <c r="F496" s="114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4"/>
      <c r="U496" s="114"/>
      <c r="V496" s="114"/>
      <c r="W496" s="114"/>
      <c r="X496" s="114"/>
      <c r="Y496" s="114"/>
      <c r="Z496" s="114"/>
      <c r="AA496" s="114"/>
      <c r="AB496" s="114"/>
      <c r="AC496" s="114"/>
      <c r="AD496" s="114"/>
      <c r="AE496" s="114"/>
    </row>
    <row r="497" ht="12.75" customHeight="1">
      <c r="A497" s="114"/>
      <c r="B497" s="114"/>
      <c r="C497" s="114"/>
      <c r="D497" s="114"/>
      <c r="E497" s="114"/>
      <c r="F497" s="114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4"/>
      <c r="U497" s="114"/>
      <c r="V497" s="114"/>
      <c r="W497" s="114"/>
      <c r="X497" s="114"/>
      <c r="Y497" s="114"/>
      <c r="Z497" s="114"/>
      <c r="AA497" s="114"/>
      <c r="AB497" s="114"/>
      <c r="AC497" s="114"/>
      <c r="AD497" s="114"/>
      <c r="AE497" s="114"/>
    </row>
    <row r="498" ht="12.75" customHeight="1">
      <c r="A498" s="114"/>
      <c r="B498" s="114"/>
      <c r="C498" s="114"/>
      <c r="D498" s="114"/>
      <c r="E498" s="114"/>
      <c r="F498" s="114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4"/>
      <c r="U498" s="114"/>
      <c r="V498" s="114"/>
      <c r="W498" s="114"/>
      <c r="X498" s="114"/>
      <c r="Y498" s="114"/>
      <c r="Z498" s="114"/>
      <c r="AA498" s="114"/>
      <c r="AB498" s="114"/>
      <c r="AC498" s="114"/>
      <c r="AD498" s="114"/>
      <c r="AE498" s="114"/>
    </row>
    <row r="499" ht="12.75" customHeight="1">
      <c r="A499" s="114"/>
      <c r="B499" s="114"/>
      <c r="C499" s="114"/>
      <c r="D499" s="114"/>
      <c r="E499" s="114"/>
      <c r="F499" s="114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4"/>
      <c r="U499" s="114"/>
      <c r="V499" s="114"/>
      <c r="W499" s="114"/>
      <c r="X499" s="114"/>
      <c r="Y499" s="114"/>
      <c r="Z499" s="114"/>
      <c r="AA499" s="114"/>
      <c r="AB499" s="114"/>
      <c r="AC499" s="114"/>
      <c r="AD499" s="114"/>
      <c r="AE499" s="114"/>
    </row>
    <row r="500" ht="12.75" customHeight="1">
      <c r="A500" s="114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4"/>
      <c r="AE500" s="114"/>
    </row>
    <row r="501" ht="12.75" customHeight="1">
      <c r="A501" s="114"/>
      <c r="B501" s="114"/>
      <c r="C501" s="114"/>
      <c r="D501" s="114"/>
      <c r="E501" s="114"/>
      <c r="F501" s="114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4"/>
      <c r="U501" s="114"/>
      <c r="V501" s="114"/>
      <c r="W501" s="114"/>
      <c r="X501" s="114"/>
      <c r="Y501" s="114"/>
      <c r="Z501" s="114"/>
      <c r="AA501" s="114"/>
      <c r="AB501" s="114"/>
      <c r="AC501" s="114"/>
      <c r="AD501" s="114"/>
      <c r="AE501" s="114"/>
    </row>
    <row r="502" ht="12.75" customHeight="1">
      <c r="A502" s="114"/>
      <c r="B502" s="114"/>
      <c r="C502" s="114"/>
      <c r="D502" s="114"/>
      <c r="E502" s="114"/>
      <c r="F502" s="114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4"/>
      <c r="U502" s="114"/>
      <c r="V502" s="114"/>
      <c r="W502" s="114"/>
      <c r="X502" s="114"/>
      <c r="Y502" s="114"/>
      <c r="Z502" s="114"/>
      <c r="AA502" s="114"/>
      <c r="AB502" s="114"/>
      <c r="AC502" s="114"/>
      <c r="AD502" s="114"/>
      <c r="AE502" s="114"/>
    </row>
    <row r="503" ht="12.75" customHeight="1">
      <c r="A503" s="114"/>
      <c r="B503" s="114"/>
      <c r="C503" s="114"/>
      <c r="D503" s="114"/>
      <c r="E503" s="114"/>
      <c r="F503" s="114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4"/>
      <c r="U503" s="114"/>
      <c r="V503" s="114"/>
      <c r="W503" s="114"/>
      <c r="X503" s="114"/>
      <c r="Y503" s="114"/>
      <c r="Z503" s="114"/>
      <c r="AA503" s="114"/>
      <c r="AB503" s="114"/>
      <c r="AC503" s="114"/>
      <c r="AD503" s="114"/>
      <c r="AE503" s="114"/>
    </row>
    <row r="504" ht="12.75" customHeight="1">
      <c r="A504" s="114"/>
      <c r="B504" s="114"/>
      <c r="C504" s="114"/>
      <c r="D504" s="114"/>
      <c r="E504" s="114"/>
      <c r="F504" s="114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4"/>
      <c r="U504" s="114"/>
      <c r="V504" s="114"/>
      <c r="W504" s="114"/>
      <c r="X504" s="114"/>
      <c r="Y504" s="114"/>
      <c r="Z504" s="114"/>
      <c r="AA504" s="114"/>
      <c r="AB504" s="114"/>
      <c r="AC504" s="114"/>
      <c r="AD504" s="114"/>
      <c r="AE504" s="114"/>
    </row>
    <row r="505" ht="12.75" customHeight="1">
      <c r="A505" s="114"/>
      <c r="B505" s="114"/>
      <c r="C505" s="114"/>
      <c r="D505" s="114"/>
      <c r="E505" s="114"/>
      <c r="F505" s="114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4"/>
      <c r="U505" s="114"/>
      <c r="V505" s="114"/>
      <c r="W505" s="114"/>
      <c r="X505" s="114"/>
      <c r="Y505" s="114"/>
      <c r="Z505" s="114"/>
      <c r="AA505" s="114"/>
      <c r="AB505" s="114"/>
      <c r="AC505" s="114"/>
      <c r="AD505" s="114"/>
      <c r="AE505" s="114"/>
    </row>
    <row r="506" ht="12.75" customHeight="1">
      <c r="A506" s="114"/>
      <c r="B506" s="114"/>
      <c r="C506" s="114"/>
      <c r="D506" s="114"/>
      <c r="E506" s="114"/>
      <c r="F506" s="114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4"/>
      <c r="U506" s="114"/>
      <c r="V506" s="114"/>
      <c r="W506" s="114"/>
      <c r="X506" s="114"/>
      <c r="Y506" s="114"/>
      <c r="Z506" s="114"/>
      <c r="AA506" s="114"/>
      <c r="AB506" s="114"/>
      <c r="AC506" s="114"/>
      <c r="AD506" s="114"/>
      <c r="AE506" s="114"/>
    </row>
    <row r="507" ht="12.75" customHeight="1">
      <c r="A507" s="114"/>
      <c r="B507" s="114"/>
      <c r="C507" s="114"/>
      <c r="D507" s="114"/>
      <c r="E507" s="114"/>
      <c r="F507" s="114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4"/>
      <c r="U507" s="114"/>
      <c r="V507" s="114"/>
      <c r="W507" s="114"/>
      <c r="X507" s="114"/>
      <c r="Y507" s="114"/>
      <c r="Z507" s="114"/>
      <c r="AA507" s="114"/>
      <c r="AB507" s="114"/>
      <c r="AC507" s="114"/>
      <c r="AD507" s="114"/>
      <c r="AE507" s="114"/>
    </row>
    <row r="508" ht="12.75" customHeight="1">
      <c r="A508" s="114"/>
      <c r="B508" s="114"/>
      <c r="C508" s="114"/>
      <c r="D508" s="114"/>
      <c r="E508" s="114"/>
      <c r="F508" s="114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4"/>
      <c r="U508" s="114"/>
      <c r="V508" s="114"/>
      <c r="W508" s="114"/>
      <c r="X508" s="114"/>
      <c r="Y508" s="114"/>
      <c r="Z508" s="114"/>
      <c r="AA508" s="114"/>
      <c r="AB508" s="114"/>
      <c r="AC508" s="114"/>
      <c r="AD508" s="114"/>
      <c r="AE508" s="114"/>
    </row>
    <row r="509" ht="12.75" customHeight="1">
      <c r="A509" s="114"/>
      <c r="B509" s="114"/>
      <c r="C509" s="114"/>
      <c r="D509" s="114"/>
      <c r="E509" s="114"/>
      <c r="F509" s="114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4"/>
      <c r="U509" s="114"/>
      <c r="V509" s="114"/>
      <c r="W509" s="114"/>
      <c r="X509" s="114"/>
      <c r="Y509" s="114"/>
      <c r="Z509" s="114"/>
      <c r="AA509" s="114"/>
      <c r="AB509" s="114"/>
      <c r="AC509" s="114"/>
      <c r="AD509" s="114"/>
      <c r="AE509" s="114"/>
    </row>
    <row r="510" ht="12.75" customHeight="1">
      <c r="A510" s="114"/>
      <c r="B510" s="114"/>
      <c r="C510" s="114"/>
      <c r="D510" s="114"/>
      <c r="E510" s="114"/>
      <c r="F510" s="114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4"/>
      <c r="U510" s="114"/>
      <c r="V510" s="114"/>
      <c r="W510" s="114"/>
      <c r="X510" s="114"/>
      <c r="Y510" s="114"/>
      <c r="Z510" s="114"/>
      <c r="AA510" s="114"/>
      <c r="AB510" s="114"/>
      <c r="AC510" s="114"/>
      <c r="AD510" s="114"/>
      <c r="AE510" s="114"/>
    </row>
    <row r="511" ht="12.75" customHeight="1">
      <c r="A511" s="114"/>
      <c r="B511" s="114"/>
      <c r="C511" s="114"/>
      <c r="D511" s="114"/>
      <c r="E511" s="114"/>
      <c r="F511" s="114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4"/>
      <c r="U511" s="114"/>
      <c r="V511" s="114"/>
      <c r="W511" s="114"/>
      <c r="X511" s="114"/>
      <c r="Y511" s="114"/>
      <c r="Z511" s="114"/>
      <c r="AA511" s="114"/>
      <c r="AB511" s="114"/>
      <c r="AC511" s="114"/>
      <c r="AD511" s="114"/>
      <c r="AE511" s="114"/>
    </row>
    <row r="512" ht="12.75" customHeight="1">
      <c r="A512" s="114"/>
      <c r="B512" s="114"/>
      <c r="C512" s="114"/>
      <c r="D512" s="114"/>
      <c r="E512" s="114"/>
      <c r="F512" s="114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4"/>
      <c r="U512" s="114"/>
      <c r="V512" s="114"/>
      <c r="W512" s="114"/>
      <c r="X512" s="114"/>
      <c r="Y512" s="114"/>
      <c r="Z512" s="114"/>
      <c r="AA512" s="114"/>
      <c r="AB512" s="114"/>
      <c r="AC512" s="114"/>
      <c r="AD512" s="114"/>
      <c r="AE512" s="114"/>
    </row>
    <row r="513" ht="12.75" customHeight="1">
      <c r="A513" s="114"/>
      <c r="B513" s="114"/>
      <c r="C513" s="114"/>
      <c r="D513" s="114"/>
      <c r="E513" s="114"/>
      <c r="F513" s="114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4"/>
      <c r="U513" s="114"/>
      <c r="V513" s="114"/>
      <c r="W513" s="114"/>
      <c r="X513" s="114"/>
      <c r="Y513" s="114"/>
      <c r="Z513" s="114"/>
      <c r="AA513" s="114"/>
      <c r="AB513" s="114"/>
      <c r="AC513" s="114"/>
      <c r="AD513" s="114"/>
      <c r="AE513" s="114"/>
    </row>
    <row r="514" ht="12.75" customHeight="1">
      <c r="A514" s="114"/>
      <c r="B514" s="114"/>
      <c r="C514" s="114"/>
      <c r="D514" s="114"/>
      <c r="E514" s="114"/>
      <c r="F514" s="114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4"/>
      <c r="X514" s="114"/>
      <c r="Y514" s="114"/>
      <c r="Z514" s="114"/>
      <c r="AA514" s="114"/>
      <c r="AB514" s="114"/>
      <c r="AC514" s="114"/>
      <c r="AD514" s="114"/>
      <c r="AE514" s="114"/>
    </row>
    <row r="515" ht="12.75" customHeight="1">
      <c r="A515" s="114"/>
      <c r="B515" s="114"/>
      <c r="C515" s="114"/>
      <c r="D515" s="114"/>
      <c r="E515" s="114"/>
      <c r="F515" s="114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4"/>
      <c r="U515" s="114"/>
      <c r="V515" s="114"/>
      <c r="W515" s="114"/>
      <c r="X515" s="114"/>
      <c r="Y515" s="114"/>
      <c r="Z515" s="114"/>
      <c r="AA515" s="114"/>
      <c r="AB515" s="114"/>
      <c r="AC515" s="114"/>
      <c r="AD515" s="114"/>
      <c r="AE515" s="114"/>
    </row>
    <row r="516" ht="12.75" customHeight="1">
      <c r="A516" s="114"/>
      <c r="B516" s="114"/>
      <c r="C516" s="114"/>
      <c r="D516" s="114"/>
      <c r="E516" s="114"/>
      <c r="F516" s="114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4"/>
      <c r="U516" s="114"/>
      <c r="V516" s="114"/>
      <c r="W516" s="114"/>
      <c r="X516" s="114"/>
      <c r="Y516" s="114"/>
      <c r="Z516" s="114"/>
      <c r="AA516" s="114"/>
      <c r="AB516" s="114"/>
      <c r="AC516" s="114"/>
      <c r="AD516" s="114"/>
      <c r="AE516" s="114"/>
    </row>
    <row r="517" ht="12.75" customHeight="1">
      <c r="A517" s="114"/>
      <c r="B517" s="114"/>
      <c r="C517" s="114"/>
      <c r="D517" s="114"/>
      <c r="E517" s="114"/>
      <c r="F517" s="114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4"/>
      <c r="U517" s="114"/>
      <c r="V517" s="114"/>
      <c r="W517" s="114"/>
      <c r="X517" s="114"/>
      <c r="Y517" s="114"/>
      <c r="Z517" s="114"/>
      <c r="AA517" s="114"/>
      <c r="AB517" s="114"/>
      <c r="AC517" s="114"/>
      <c r="AD517" s="114"/>
      <c r="AE517" s="114"/>
    </row>
    <row r="518" ht="12.75" customHeight="1">
      <c r="A518" s="114"/>
      <c r="B518" s="114"/>
      <c r="C518" s="114"/>
      <c r="D518" s="114"/>
      <c r="E518" s="114"/>
      <c r="F518" s="114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4"/>
      <c r="U518" s="114"/>
      <c r="V518" s="114"/>
      <c r="W518" s="114"/>
      <c r="X518" s="114"/>
      <c r="Y518" s="114"/>
      <c r="Z518" s="114"/>
      <c r="AA518" s="114"/>
      <c r="AB518" s="114"/>
      <c r="AC518" s="114"/>
      <c r="AD518" s="114"/>
      <c r="AE518" s="114"/>
    </row>
    <row r="519" ht="12.75" customHeight="1">
      <c r="A519" s="114"/>
      <c r="B519" s="114"/>
      <c r="C519" s="114"/>
      <c r="D519" s="114"/>
      <c r="E519" s="114"/>
      <c r="F519" s="114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4"/>
      <c r="U519" s="114"/>
      <c r="V519" s="114"/>
      <c r="W519" s="114"/>
      <c r="X519" s="114"/>
      <c r="Y519" s="114"/>
      <c r="Z519" s="114"/>
      <c r="AA519" s="114"/>
      <c r="AB519" s="114"/>
      <c r="AC519" s="114"/>
      <c r="AD519" s="114"/>
      <c r="AE519" s="114"/>
    </row>
    <row r="520" ht="12.75" customHeight="1">
      <c r="A520" s="114"/>
      <c r="B520" s="114"/>
      <c r="C520" s="114"/>
      <c r="D520" s="114"/>
      <c r="E520" s="114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4"/>
      <c r="U520" s="114"/>
      <c r="V520" s="114"/>
      <c r="W520" s="114"/>
      <c r="X520" s="114"/>
      <c r="Y520" s="114"/>
      <c r="Z520" s="114"/>
      <c r="AA520" s="114"/>
      <c r="AB520" s="114"/>
      <c r="AC520" s="114"/>
      <c r="AD520" s="114"/>
      <c r="AE520" s="114"/>
    </row>
    <row r="521" ht="12.75" customHeight="1">
      <c r="A521" s="114"/>
      <c r="B521" s="114"/>
      <c r="C521" s="114"/>
      <c r="D521" s="114"/>
      <c r="E521" s="114"/>
      <c r="F521" s="114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4"/>
      <c r="U521" s="114"/>
      <c r="V521" s="114"/>
      <c r="W521" s="114"/>
      <c r="X521" s="114"/>
      <c r="Y521" s="114"/>
      <c r="Z521" s="114"/>
      <c r="AA521" s="114"/>
      <c r="AB521" s="114"/>
      <c r="AC521" s="114"/>
      <c r="AD521" s="114"/>
      <c r="AE521" s="114"/>
    </row>
    <row r="522" ht="12.75" customHeight="1">
      <c r="A522" s="114"/>
      <c r="B522" s="114"/>
      <c r="C522" s="114"/>
      <c r="D522" s="114"/>
      <c r="E522" s="114"/>
      <c r="F522" s="114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4"/>
      <c r="U522" s="114"/>
      <c r="V522" s="114"/>
      <c r="W522" s="114"/>
      <c r="X522" s="114"/>
      <c r="Y522" s="114"/>
      <c r="Z522" s="114"/>
      <c r="AA522" s="114"/>
      <c r="AB522" s="114"/>
      <c r="AC522" s="114"/>
      <c r="AD522" s="114"/>
      <c r="AE522" s="114"/>
    </row>
    <row r="523" ht="12.75" customHeight="1">
      <c r="A523" s="114"/>
      <c r="B523" s="114"/>
      <c r="C523" s="114"/>
      <c r="D523" s="114"/>
      <c r="E523" s="114"/>
      <c r="F523" s="114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4"/>
      <c r="U523" s="114"/>
      <c r="V523" s="114"/>
      <c r="W523" s="114"/>
      <c r="X523" s="114"/>
      <c r="Y523" s="114"/>
      <c r="Z523" s="114"/>
      <c r="AA523" s="114"/>
      <c r="AB523" s="114"/>
      <c r="AC523" s="114"/>
      <c r="AD523" s="114"/>
      <c r="AE523" s="114"/>
    </row>
    <row r="524" ht="12.75" customHeight="1">
      <c r="A524" s="114"/>
      <c r="B524" s="114"/>
      <c r="C524" s="114"/>
      <c r="D524" s="114"/>
      <c r="E524" s="114"/>
      <c r="F524" s="114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4"/>
      <c r="U524" s="114"/>
      <c r="V524" s="114"/>
      <c r="W524" s="114"/>
      <c r="X524" s="114"/>
      <c r="Y524" s="114"/>
      <c r="Z524" s="114"/>
      <c r="AA524" s="114"/>
      <c r="AB524" s="114"/>
      <c r="AC524" s="114"/>
      <c r="AD524" s="114"/>
      <c r="AE524" s="114"/>
    </row>
    <row r="525" ht="12.75" customHeight="1">
      <c r="A525" s="114"/>
      <c r="B525" s="114"/>
      <c r="C525" s="114"/>
      <c r="D525" s="114"/>
      <c r="E525" s="114"/>
      <c r="F525" s="114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4"/>
      <c r="U525" s="114"/>
      <c r="V525" s="114"/>
      <c r="W525" s="114"/>
      <c r="X525" s="114"/>
      <c r="Y525" s="114"/>
      <c r="Z525" s="114"/>
      <c r="AA525" s="114"/>
      <c r="AB525" s="114"/>
      <c r="AC525" s="114"/>
      <c r="AD525" s="114"/>
      <c r="AE525" s="114"/>
    </row>
    <row r="526" ht="12.75" customHeight="1">
      <c r="A526" s="114"/>
      <c r="B526" s="114"/>
      <c r="C526" s="114"/>
      <c r="D526" s="114"/>
      <c r="E526" s="114"/>
      <c r="F526" s="114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4"/>
      <c r="U526" s="114"/>
      <c r="V526" s="114"/>
      <c r="W526" s="114"/>
      <c r="X526" s="114"/>
      <c r="Y526" s="114"/>
      <c r="Z526" s="114"/>
      <c r="AA526" s="114"/>
      <c r="AB526" s="114"/>
      <c r="AC526" s="114"/>
      <c r="AD526" s="114"/>
      <c r="AE526" s="114"/>
    </row>
    <row r="527" ht="12.75" customHeight="1">
      <c r="A527" s="114"/>
      <c r="B527" s="114"/>
      <c r="C527" s="114"/>
      <c r="D527" s="114"/>
      <c r="E527" s="114"/>
      <c r="F527" s="114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4"/>
      <c r="U527" s="114"/>
      <c r="V527" s="114"/>
      <c r="W527" s="114"/>
      <c r="X527" s="114"/>
      <c r="Y527" s="114"/>
      <c r="Z527" s="114"/>
      <c r="AA527" s="114"/>
      <c r="AB527" s="114"/>
      <c r="AC527" s="114"/>
      <c r="AD527" s="114"/>
      <c r="AE527" s="114"/>
    </row>
    <row r="528" ht="12.75" customHeight="1">
      <c r="A528" s="114"/>
      <c r="B528" s="114"/>
      <c r="C528" s="114"/>
      <c r="D528" s="114"/>
      <c r="E528" s="114"/>
      <c r="F528" s="114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4"/>
      <c r="U528" s="114"/>
      <c r="V528" s="114"/>
      <c r="W528" s="114"/>
      <c r="X528" s="114"/>
      <c r="Y528" s="114"/>
      <c r="Z528" s="114"/>
      <c r="AA528" s="114"/>
      <c r="AB528" s="114"/>
      <c r="AC528" s="114"/>
      <c r="AD528" s="114"/>
      <c r="AE528" s="114"/>
    </row>
    <row r="529" ht="12.75" customHeight="1">
      <c r="A529" s="114"/>
      <c r="B529" s="114"/>
      <c r="C529" s="114"/>
      <c r="D529" s="114"/>
      <c r="E529" s="114"/>
      <c r="F529" s="114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4"/>
      <c r="U529" s="114"/>
      <c r="V529" s="114"/>
      <c r="W529" s="114"/>
      <c r="X529" s="114"/>
      <c r="Y529" s="114"/>
      <c r="Z529" s="114"/>
      <c r="AA529" s="114"/>
      <c r="AB529" s="114"/>
      <c r="AC529" s="114"/>
      <c r="AD529" s="114"/>
      <c r="AE529" s="114"/>
    </row>
    <row r="530" ht="12.75" customHeight="1">
      <c r="A530" s="114"/>
      <c r="B530" s="114"/>
      <c r="C530" s="114"/>
      <c r="D530" s="114"/>
      <c r="E530" s="114"/>
      <c r="F530" s="114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4"/>
      <c r="U530" s="114"/>
      <c r="V530" s="114"/>
      <c r="W530" s="114"/>
      <c r="X530" s="114"/>
      <c r="Y530" s="114"/>
      <c r="Z530" s="114"/>
      <c r="AA530" s="114"/>
      <c r="AB530" s="114"/>
      <c r="AC530" s="114"/>
      <c r="AD530" s="114"/>
      <c r="AE530" s="114"/>
    </row>
    <row r="531" ht="12.75" customHeight="1">
      <c r="A531" s="114"/>
      <c r="B531" s="114"/>
      <c r="C531" s="114"/>
      <c r="D531" s="114"/>
      <c r="E531" s="114"/>
      <c r="F531" s="114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4"/>
      <c r="U531" s="114"/>
      <c r="V531" s="114"/>
      <c r="W531" s="114"/>
      <c r="X531" s="114"/>
      <c r="Y531" s="114"/>
      <c r="Z531" s="114"/>
      <c r="AA531" s="114"/>
      <c r="AB531" s="114"/>
      <c r="AC531" s="114"/>
      <c r="AD531" s="114"/>
      <c r="AE531" s="114"/>
    </row>
    <row r="532" ht="12.75" customHeight="1">
      <c r="A532" s="114"/>
      <c r="B532" s="114"/>
      <c r="C532" s="114"/>
      <c r="D532" s="114"/>
      <c r="E532" s="114"/>
      <c r="F532" s="114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4"/>
      <c r="U532" s="114"/>
      <c r="V532" s="114"/>
      <c r="W532" s="114"/>
      <c r="X532" s="114"/>
      <c r="Y532" s="114"/>
      <c r="Z532" s="114"/>
      <c r="AA532" s="114"/>
      <c r="AB532" s="114"/>
      <c r="AC532" s="114"/>
      <c r="AD532" s="114"/>
      <c r="AE532" s="114"/>
    </row>
    <row r="533" ht="12.75" customHeight="1">
      <c r="A533" s="114"/>
      <c r="B533" s="114"/>
      <c r="C533" s="114"/>
      <c r="D533" s="114"/>
      <c r="E533" s="114"/>
      <c r="F533" s="114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4"/>
      <c r="U533" s="114"/>
      <c r="V533" s="114"/>
      <c r="W533" s="114"/>
      <c r="X533" s="114"/>
      <c r="Y533" s="114"/>
      <c r="Z533" s="114"/>
      <c r="AA533" s="114"/>
      <c r="AB533" s="114"/>
      <c r="AC533" s="114"/>
      <c r="AD533" s="114"/>
      <c r="AE533" s="114"/>
    </row>
    <row r="534" ht="12.75" customHeight="1">
      <c r="A534" s="114"/>
      <c r="B534" s="114"/>
      <c r="C534" s="114"/>
      <c r="D534" s="114"/>
      <c r="E534" s="114"/>
      <c r="F534" s="114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4"/>
      <c r="U534" s="114"/>
      <c r="V534" s="114"/>
      <c r="W534" s="114"/>
      <c r="X534" s="114"/>
      <c r="Y534" s="114"/>
      <c r="Z534" s="114"/>
      <c r="AA534" s="114"/>
      <c r="AB534" s="114"/>
      <c r="AC534" s="114"/>
      <c r="AD534" s="114"/>
      <c r="AE534" s="114"/>
    </row>
    <row r="535" ht="12.75" customHeight="1">
      <c r="A535" s="114"/>
      <c r="B535" s="114"/>
      <c r="C535" s="114"/>
      <c r="D535" s="114"/>
      <c r="E535" s="114"/>
      <c r="F535" s="114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4"/>
      <c r="U535" s="114"/>
      <c r="V535" s="114"/>
      <c r="W535" s="114"/>
      <c r="X535" s="114"/>
      <c r="Y535" s="114"/>
      <c r="Z535" s="114"/>
      <c r="AA535" s="114"/>
      <c r="AB535" s="114"/>
      <c r="AC535" s="114"/>
      <c r="AD535" s="114"/>
      <c r="AE535" s="114"/>
    </row>
    <row r="536" ht="12.75" customHeight="1">
      <c r="A536" s="114"/>
      <c r="B536" s="114"/>
      <c r="C536" s="114"/>
      <c r="D536" s="114"/>
      <c r="E536" s="114"/>
      <c r="F536" s="114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4"/>
      <c r="U536" s="114"/>
      <c r="V536" s="114"/>
      <c r="W536" s="114"/>
      <c r="X536" s="114"/>
      <c r="Y536" s="114"/>
      <c r="Z536" s="114"/>
      <c r="AA536" s="114"/>
      <c r="AB536" s="114"/>
      <c r="AC536" s="114"/>
      <c r="AD536" s="114"/>
      <c r="AE536" s="114"/>
    </row>
    <row r="537" ht="12.75" customHeight="1">
      <c r="A537" s="114"/>
      <c r="B537" s="114"/>
      <c r="C537" s="114"/>
      <c r="D537" s="114"/>
      <c r="E537" s="114"/>
      <c r="F537" s="114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4"/>
      <c r="U537" s="114"/>
      <c r="V537" s="114"/>
      <c r="W537" s="114"/>
      <c r="X537" s="114"/>
      <c r="Y537" s="114"/>
      <c r="Z537" s="114"/>
      <c r="AA537" s="114"/>
      <c r="AB537" s="114"/>
      <c r="AC537" s="114"/>
      <c r="AD537" s="114"/>
      <c r="AE537" s="114"/>
    </row>
    <row r="538" ht="12.75" customHeight="1">
      <c r="A538" s="114"/>
      <c r="B538" s="114"/>
      <c r="C538" s="114"/>
      <c r="D538" s="114"/>
      <c r="E538" s="114"/>
      <c r="F538" s="114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4"/>
      <c r="U538" s="114"/>
      <c r="V538" s="114"/>
      <c r="W538" s="114"/>
      <c r="X538" s="114"/>
      <c r="Y538" s="114"/>
      <c r="Z538" s="114"/>
      <c r="AA538" s="114"/>
      <c r="AB538" s="114"/>
      <c r="AC538" s="114"/>
      <c r="AD538" s="114"/>
      <c r="AE538" s="114"/>
    </row>
    <row r="539" ht="12.75" customHeight="1">
      <c r="A539" s="114"/>
      <c r="B539" s="114"/>
      <c r="C539" s="114"/>
      <c r="D539" s="114"/>
      <c r="E539" s="114"/>
      <c r="F539" s="114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4"/>
      <c r="U539" s="114"/>
      <c r="V539" s="114"/>
      <c r="W539" s="114"/>
      <c r="X539" s="114"/>
      <c r="Y539" s="114"/>
      <c r="Z539" s="114"/>
      <c r="AA539" s="114"/>
      <c r="AB539" s="114"/>
      <c r="AC539" s="114"/>
      <c r="AD539" s="114"/>
      <c r="AE539" s="114"/>
    </row>
    <row r="540" ht="12.75" customHeight="1">
      <c r="A540" s="114"/>
      <c r="B540" s="114"/>
      <c r="C540" s="114"/>
      <c r="D540" s="114"/>
      <c r="E540" s="114"/>
      <c r="F540" s="114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4"/>
      <c r="U540" s="114"/>
      <c r="V540" s="114"/>
      <c r="W540" s="114"/>
      <c r="X540" s="114"/>
      <c r="Y540" s="114"/>
      <c r="Z540" s="114"/>
      <c r="AA540" s="114"/>
      <c r="AB540" s="114"/>
      <c r="AC540" s="114"/>
      <c r="AD540" s="114"/>
      <c r="AE540" s="114"/>
    </row>
    <row r="541" ht="12.75" customHeight="1">
      <c r="A541" s="114"/>
      <c r="B541" s="114"/>
      <c r="C541" s="114"/>
      <c r="D541" s="114"/>
      <c r="E541" s="114"/>
      <c r="F541" s="114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4"/>
      <c r="U541" s="114"/>
      <c r="V541" s="114"/>
      <c r="W541" s="114"/>
      <c r="X541" s="114"/>
      <c r="Y541" s="114"/>
      <c r="Z541" s="114"/>
      <c r="AA541" s="114"/>
      <c r="AB541" s="114"/>
      <c r="AC541" s="114"/>
      <c r="AD541" s="114"/>
      <c r="AE541" s="114"/>
    </row>
    <row r="542" ht="12.75" customHeight="1">
      <c r="A542" s="114"/>
      <c r="B542" s="114"/>
      <c r="C542" s="114"/>
      <c r="D542" s="114"/>
      <c r="E542" s="114"/>
      <c r="F542" s="114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4"/>
      <c r="U542" s="114"/>
      <c r="V542" s="114"/>
      <c r="W542" s="114"/>
      <c r="X542" s="114"/>
      <c r="Y542" s="114"/>
      <c r="Z542" s="114"/>
      <c r="AA542" s="114"/>
      <c r="AB542" s="114"/>
      <c r="AC542" s="114"/>
      <c r="AD542" s="114"/>
      <c r="AE542" s="114"/>
    </row>
    <row r="543" ht="12.75" customHeight="1">
      <c r="A543" s="114"/>
      <c r="B543" s="114"/>
      <c r="C543" s="114"/>
      <c r="D543" s="114"/>
      <c r="E543" s="114"/>
      <c r="F543" s="114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4"/>
      <c r="U543" s="114"/>
      <c r="V543" s="114"/>
      <c r="W543" s="114"/>
      <c r="X543" s="114"/>
      <c r="Y543" s="114"/>
      <c r="Z543" s="114"/>
      <c r="AA543" s="114"/>
      <c r="AB543" s="114"/>
      <c r="AC543" s="114"/>
      <c r="AD543" s="114"/>
      <c r="AE543" s="114"/>
    </row>
    <row r="544" ht="12.75" customHeight="1">
      <c r="A544" s="114"/>
      <c r="B544" s="114"/>
      <c r="C544" s="114"/>
      <c r="D544" s="114"/>
      <c r="E544" s="114"/>
      <c r="F544" s="114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4"/>
      <c r="U544" s="114"/>
      <c r="V544" s="114"/>
      <c r="W544" s="114"/>
      <c r="X544" s="114"/>
      <c r="Y544" s="114"/>
      <c r="Z544" s="114"/>
      <c r="AA544" s="114"/>
      <c r="AB544" s="114"/>
      <c r="AC544" s="114"/>
      <c r="AD544" s="114"/>
      <c r="AE544" s="114"/>
    </row>
    <row r="545" ht="12.75" customHeight="1">
      <c r="A545" s="114"/>
      <c r="B545" s="114"/>
      <c r="C545" s="114"/>
      <c r="D545" s="114"/>
      <c r="E545" s="114"/>
      <c r="F545" s="114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4"/>
      <c r="U545" s="114"/>
      <c r="V545" s="114"/>
      <c r="W545" s="114"/>
      <c r="X545" s="114"/>
      <c r="Y545" s="114"/>
      <c r="Z545" s="114"/>
      <c r="AA545" s="114"/>
      <c r="AB545" s="114"/>
      <c r="AC545" s="114"/>
      <c r="AD545" s="114"/>
      <c r="AE545" s="114"/>
    </row>
    <row r="546" ht="12.75" customHeight="1">
      <c r="A546" s="114"/>
      <c r="B546" s="114"/>
      <c r="C546" s="114"/>
      <c r="D546" s="114"/>
      <c r="E546" s="114"/>
      <c r="F546" s="114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4"/>
      <c r="U546" s="114"/>
      <c r="V546" s="114"/>
      <c r="W546" s="114"/>
      <c r="X546" s="114"/>
      <c r="Y546" s="114"/>
      <c r="Z546" s="114"/>
      <c r="AA546" s="114"/>
      <c r="AB546" s="114"/>
      <c r="AC546" s="114"/>
      <c r="AD546" s="114"/>
      <c r="AE546" s="114"/>
    </row>
    <row r="547" ht="12.75" customHeight="1">
      <c r="A547" s="114"/>
      <c r="B547" s="114"/>
      <c r="C547" s="114"/>
      <c r="D547" s="114"/>
      <c r="E547" s="114"/>
      <c r="F547" s="114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4"/>
      <c r="U547" s="114"/>
      <c r="V547" s="114"/>
      <c r="W547" s="114"/>
      <c r="X547" s="114"/>
      <c r="Y547" s="114"/>
      <c r="Z547" s="114"/>
      <c r="AA547" s="114"/>
      <c r="AB547" s="114"/>
      <c r="AC547" s="114"/>
      <c r="AD547" s="114"/>
      <c r="AE547" s="114"/>
    </row>
    <row r="548" ht="12.75" customHeight="1">
      <c r="A548" s="114"/>
      <c r="B548" s="114"/>
      <c r="C548" s="114"/>
      <c r="D548" s="114"/>
      <c r="E548" s="114"/>
      <c r="F548" s="114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4"/>
      <c r="U548" s="114"/>
      <c r="V548" s="114"/>
      <c r="W548" s="114"/>
      <c r="X548" s="114"/>
      <c r="Y548" s="114"/>
      <c r="Z548" s="114"/>
      <c r="AA548" s="114"/>
      <c r="AB548" s="114"/>
      <c r="AC548" s="114"/>
      <c r="AD548" s="114"/>
      <c r="AE548" s="114"/>
    </row>
    <row r="549" ht="12.75" customHeight="1">
      <c r="A549" s="114"/>
      <c r="B549" s="114"/>
      <c r="C549" s="114"/>
      <c r="D549" s="114"/>
      <c r="E549" s="114"/>
      <c r="F549" s="114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4"/>
      <c r="U549" s="114"/>
      <c r="V549" s="114"/>
      <c r="W549" s="114"/>
      <c r="X549" s="114"/>
      <c r="Y549" s="114"/>
      <c r="Z549" s="114"/>
      <c r="AA549" s="114"/>
      <c r="AB549" s="114"/>
      <c r="AC549" s="114"/>
      <c r="AD549" s="114"/>
      <c r="AE549" s="114"/>
    </row>
    <row r="550" ht="12.75" customHeight="1">
      <c r="A550" s="114"/>
      <c r="B550" s="114"/>
      <c r="C550" s="114"/>
      <c r="D550" s="114"/>
      <c r="E550" s="114"/>
      <c r="F550" s="114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4"/>
      <c r="U550" s="114"/>
      <c r="V550" s="114"/>
      <c r="W550" s="114"/>
      <c r="X550" s="114"/>
      <c r="Y550" s="114"/>
      <c r="Z550" s="114"/>
      <c r="AA550" s="114"/>
      <c r="AB550" s="114"/>
      <c r="AC550" s="114"/>
      <c r="AD550" s="114"/>
      <c r="AE550" s="114"/>
    </row>
    <row r="551" ht="12.75" customHeight="1">
      <c r="A551" s="114"/>
      <c r="B551" s="114"/>
      <c r="C551" s="114"/>
      <c r="D551" s="114"/>
      <c r="E551" s="114"/>
      <c r="F551" s="114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4"/>
      <c r="U551" s="114"/>
      <c r="V551" s="114"/>
      <c r="W551" s="114"/>
      <c r="X551" s="114"/>
      <c r="Y551" s="114"/>
      <c r="Z551" s="114"/>
      <c r="AA551" s="114"/>
      <c r="AB551" s="114"/>
      <c r="AC551" s="114"/>
      <c r="AD551" s="114"/>
      <c r="AE551" s="114"/>
    </row>
    <row r="552" ht="12.75" customHeight="1">
      <c r="A552" s="114"/>
      <c r="B552" s="114"/>
      <c r="C552" s="114"/>
      <c r="D552" s="114"/>
      <c r="E552" s="114"/>
      <c r="F552" s="114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4"/>
      <c r="U552" s="114"/>
      <c r="V552" s="114"/>
      <c r="W552" s="114"/>
      <c r="X552" s="114"/>
      <c r="Y552" s="114"/>
      <c r="Z552" s="114"/>
      <c r="AA552" s="114"/>
      <c r="AB552" s="114"/>
      <c r="AC552" s="114"/>
      <c r="AD552" s="114"/>
      <c r="AE552" s="114"/>
    </row>
    <row r="553" ht="12.75" customHeight="1">
      <c r="A553" s="114"/>
      <c r="B553" s="114"/>
      <c r="C553" s="114"/>
      <c r="D553" s="114"/>
      <c r="E553" s="114"/>
      <c r="F553" s="114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4"/>
      <c r="U553" s="114"/>
      <c r="V553" s="114"/>
      <c r="W553" s="114"/>
      <c r="X553" s="114"/>
      <c r="Y553" s="114"/>
      <c r="Z553" s="114"/>
      <c r="AA553" s="114"/>
      <c r="AB553" s="114"/>
      <c r="AC553" s="114"/>
      <c r="AD553" s="114"/>
      <c r="AE553" s="114"/>
    </row>
    <row r="554" ht="12.75" customHeight="1">
      <c r="A554" s="114"/>
      <c r="B554" s="114"/>
      <c r="C554" s="114"/>
      <c r="D554" s="114"/>
      <c r="E554" s="114"/>
      <c r="F554" s="114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4"/>
      <c r="U554" s="114"/>
      <c r="V554" s="114"/>
      <c r="W554" s="114"/>
      <c r="X554" s="114"/>
      <c r="Y554" s="114"/>
      <c r="Z554" s="114"/>
      <c r="AA554" s="114"/>
      <c r="AB554" s="114"/>
      <c r="AC554" s="114"/>
      <c r="AD554" s="114"/>
      <c r="AE554" s="114"/>
    </row>
    <row r="555" ht="12.75" customHeight="1">
      <c r="A555" s="114"/>
      <c r="B555" s="114"/>
      <c r="C555" s="114"/>
      <c r="D555" s="114"/>
      <c r="E555" s="114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4"/>
      <c r="U555" s="114"/>
      <c r="V555" s="114"/>
      <c r="W555" s="114"/>
      <c r="X555" s="114"/>
      <c r="Y555" s="114"/>
      <c r="Z555" s="114"/>
      <c r="AA555" s="114"/>
      <c r="AB555" s="114"/>
      <c r="AC555" s="114"/>
      <c r="AD555" s="114"/>
      <c r="AE555" s="114"/>
    </row>
    <row r="556" ht="12.75" customHeight="1">
      <c r="A556" s="114"/>
      <c r="B556" s="114"/>
      <c r="C556" s="114"/>
      <c r="D556" s="114"/>
      <c r="E556" s="114"/>
      <c r="F556" s="114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4"/>
      <c r="U556" s="114"/>
      <c r="V556" s="114"/>
      <c r="W556" s="114"/>
      <c r="X556" s="114"/>
      <c r="Y556" s="114"/>
      <c r="Z556" s="114"/>
      <c r="AA556" s="114"/>
      <c r="AB556" s="114"/>
      <c r="AC556" s="114"/>
      <c r="AD556" s="114"/>
      <c r="AE556" s="114"/>
    </row>
    <row r="557" ht="12.75" customHeight="1">
      <c r="A557" s="114"/>
      <c r="B557" s="114"/>
      <c r="C557" s="114"/>
      <c r="D557" s="114"/>
      <c r="E557" s="114"/>
      <c r="F557" s="114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4"/>
      <c r="U557" s="114"/>
      <c r="V557" s="114"/>
      <c r="W557" s="114"/>
      <c r="X557" s="114"/>
      <c r="Y557" s="114"/>
      <c r="Z557" s="114"/>
      <c r="AA557" s="114"/>
      <c r="AB557" s="114"/>
      <c r="AC557" s="114"/>
      <c r="AD557" s="114"/>
      <c r="AE557" s="114"/>
    </row>
    <row r="558" ht="12.75" customHeight="1">
      <c r="A558" s="114"/>
      <c r="B558" s="114"/>
      <c r="C558" s="114"/>
      <c r="D558" s="114"/>
      <c r="E558" s="114"/>
      <c r="F558" s="114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4"/>
      <c r="U558" s="114"/>
      <c r="V558" s="114"/>
      <c r="W558" s="114"/>
      <c r="X558" s="114"/>
      <c r="Y558" s="114"/>
      <c r="Z558" s="114"/>
      <c r="AA558" s="114"/>
      <c r="AB558" s="114"/>
      <c r="AC558" s="114"/>
      <c r="AD558" s="114"/>
      <c r="AE558" s="114"/>
    </row>
    <row r="559" ht="12.75" customHeight="1">
      <c r="A559" s="114"/>
      <c r="B559" s="114"/>
      <c r="C559" s="114"/>
      <c r="D559" s="114"/>
      <c r="E559" s="114"/>
      <c r="F559" s="114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4"/>
      <c r="U559" s="114"/>
      <c r="V559" s="114"/>
      <c r="W559" s="114"/>
      <c r="X559" s="114"/>
      <c r="Y559" s="114"/>
      <c r="Z559" s="114"/>
      <c r="AA559" s="114"/>
      <c r="AB559" s="114"/>
      <c r="AC559" s="114"/>
      <c r="AD559" s="114"/>
      <c r="AE559" s="114"/>
    </row>
    <row r="560" ht="12.75" customHeight="1">
      <c r="A560" s="114"/>
      <c r="B560" s="114"/>
      <c r="C560" s="114"/>
      <c r="D560" s="114"/>
      <c r="E560" s="114"/>
      <c r="F560" s="114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4"/>
      <c r="U560" s="114"/>
      <c r="V560" s="114"/>
      <c r="W560" s="114"/>
      <c r="X560" s="114"/>
      <c r="Y560" s="114"/>
      <c r="Z560" s="114"/>
      <c r="AA560" s="114"/>
      <c r="AB560" s="114"/>
      <c r="AC560" s="114"/>
      <c r="AD560" s="114"/>
      <c r="AE560" s="114"/>
    </row>
    <row r="561" ht="12.75" customHeight="1">
      <c r="A561" s="114"/>
      <c r="B561" s="114"/>
      <c r="C561" s="114"/>
      <c r="D561" s="114"/>
      <c r="E561" s="114"/>
      <c r="F561" s="114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4"/>
      <c r="U561" s="114"/>
      <c r="V561" s="114"/>
      <c r="W561" s="114"/>
      <c r="X561" s="114"/>
      <c r="Y561" s="114"/>
      <c r="Z561" s="114"/>
      <c r="AA561" s="114"/>
      <c r="AB561" s="114"/>
      <c r="AC561" s="114"/>
      <c r="AD561" s="114"/>
      <c r="AE561" s="114"/>
    </row>
    <row r="562" ht="12.75" customHeight="1">
      <c r="A562" s="114"/>
      <c r="B562" s="114"/>
      <c r="C562" s="114"/>
      <c r="D562" s="114"/>
      <c r="E562" s="114"/>
      <c r="F562" s="114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4"/>
      <c r="U562" s="114"/>
      <c r="V562" s="114"/>
      <c r="W562" s="114"/>
      <c r="X562" s="114"/>
      <c r="Y562" s="114"/>
      <c r="Z562" s="114"/>
      <c r="AA562" s="114"/>
      <c r="AB562" s="114"/>
      <c r="AC562" s="114"/>
      <c r="AD562" s="114"/>
      <c r="AE562" s="114"/>
    </row>
    <row r="563" ht="12.75" customHeight="1">
      <c r="A563" s="114"/>
      <c r="B563" s="114"/>
      <c r="C563" s="114"/>
      <c r="D563" s="114"/>
      <c r="E563" s="114"/>
      <c r="F563" s="114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114"/>
      <c r="AD563" s="114"/>
      <c r="AE563" s="114"/>
    </row>
    <row r="564" ht="12.75" customHeight="1">
      <c r="A564" s="114"/>
      <c r="B564" s="114"/>
      <c r="C564" s="114"/>
      <c r="D564" s="114"/>
      <c r="E564" s="114"/>
      <c r="F564" s="114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4"/>
      <c r="U564" s="114"/>
      <c r="V564" s="114"/>
      <c r="W564" s="114"/>
      <c r="X564" s="114"/>
      <c r="Y564" s="114"/>
      <c r="Z564" s="114"/>
      <c r="AA564" s="114"/>
      <c r="AB564" s="114"/>
      <c r="AC564" s="114"/>
      <c r="AD564" s="114"/>
      <c r="AE564" s="114"/>
    </row>
    <row r="565" ht="12.75" customHeight="1">
      <c r="A565" s="114"/>
      <c r="B565" s="114"/>
      <c r="C565" s="114"/>
      <c r="D565" s="114"/>
      <c r="E565" s="114"/>
      <c r="F565" s="114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4"/>
      <c r="U565" s="114"/>
      <c r="V565" s="114"/>
      <c r="W565" s="114"/>
      <c r="X565" s="114"/>
      <c r="Y565" s="114"/>
      <c r="Z565" s="114"/>
      <c r="AA565" s="114"/>
      <c r="AB565" s="114"/>
      <c r="AC565" s="114"/>
      <c r="AD565" s="114"/>
      <c r="AE565" s="114"/>
    </row>
    <row r="566" ht="12.75" customHeight="1">
      <c r="A566" s="114"/>
      <c r="B566" s="114"/>
      <c r="C566" s="114"/>
      <c r="D566" s="114"/>
      <c r="E566" s="114"/>
      <c r="F566" s="114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4"/>
      <c r="U566" s="114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</row>
    <row r="567" ht="12.75" customHeight="1">
      <c r="A567" s="114"/>
      <c r="B567" s="114"/>
      <c r="C567" s="114"/>
      <c r="D567" s="114"/>
      <c r="E567" s="114"/>
      <c r="F567" s="114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4"/>
      <c r="U567" s="114"/>
      <c r="V567" s="114"/>
      <c r="W567" s="114"/>
      <c r="X567" s="114"/>
      <c r="Y567" s="114"/>
      <c r="Z567" s="114"/>
      <c r="AA567" s="114"/>
      <c r="AB567" s="114"/>
      <c r="AC567" s="114"/>
      <c r="AD567" s="114"/>
      <c r="AE567" s="114"/>
    </row>
    <row r="568" ht="12.75" customHeight="1">
      <c r="A568" s="114"/>
      <c r="B568" s="114"/>
      <c r="C568" s="114"/>
      <c r="D568" s="114"/>
      <c r="E568" s="114"/>
      <c r="F568" s="114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4"/>
      <c r="U568" s="114"/>
      <c r="V568" s="114"/>
      <c r="W568" s="114"/>
      <c r="X568" s="114"/>
      <c r="Y568" s="114"/>
      <c r="Z568" s="114"/>
      <c r="AA568" s="114"/>
      <c r="AB568" s="114"/>
      <c r="AC568" s="114"/>
      <c r="AD568" s="114"/>
      <c r="AE568" s="114"/>
    </row>
    <row r="569" ht="12.75" customHeight="1">
      <c r="A569" s="114"/>
      <c r="B569" s="114"/>
      <c r="C569" s="114"/>
      <c r="D569" s="114"/>
      <c r="E569" s="114"/>
      <c r="F569" s="114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4"/>
      <c r="U569" s="114"/>
      <c r="V569" s="114"/>
      <c r="W569" s="114"/>
      <c r="X569" s="114"/>
      <c r="Y569" s="114"/>
      <c r="Z569" s="114"/>
      <c r="AA569" s="114"/>
      <c r="AB569" s="114"/>
      <c r="AC569" s="114"/>
      <c r="AD569" s="114"/>
      <c r="AE569" s="114"/>
    </row>
    <row r="570" ht="12.75" customHeight="1">
      <c r="A570" s="114"/>
      <c r="B570" s="114"/>
      <c r="C570" s="114"/>
      <c r="D570" s="114"/>
      <c r="E570" s="114"/>
      <c r="F570" s="114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4"/>
      <c r="U570" s="114"/>
      <c r="V570" s="114"/>
      <c r="W570" s="114"/>
      <c r="X570" s="114"/>
      <c r="Y570" s="114"/>
      <c r="Z570" s="114"/>
      <c r="AA570" s="114"/>
      <c r="AB570" s="114"/>
      <c r="AC570" s="114"/>
      <c r="AD570" s="114"/>
      <c r="AE570" s="114"/>
    </row>
    <row r="571" ht="12.75" customHeight="1">
      <c r="A571" s="114"/>
      <c r="B571" s="114"/>
      <c r="C571" s="114"/>
      <c r="D571" s="114"/>
      <c r="E571" s="114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4"/>
      <c r="U571" s="114"/>
      <c r="V571" s="114"/>
      <c r="W571" s="114"/>
      <c r="X571" s="114"/>
      <c r="Y571" s="114"/>
      <c r="Z571" s="114"/>
      <c r="AA571" s="114"/>
      <c r="AB571" s="114"/>
      <c r="AC571" s="114"/>
      <c r="AD571" s="114"/>
      <c r="AE571" s="114"/>
    </row>
    <row r="572" ht="12.75" customHeight="1">
      <c r="A572" s="114"/>
      <c r="B572" s="114"/>
      <c r="C572" s="114"/>
      <c r="D572" s="114"/>
      <c r="E572" s="114"/>
      <c r="F572" s="114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4"/>
      <c r="U572" s="114"/>
      <c r="V572" s="114"/>
      <c r="W572" s="114"/>
      <c r="X572" s="114"/>
      <c r="Y572" s="114"/>
      <c r="Z572" s="114"/>
      <c r="AA572" s="114"/>
      <c r="AB572" s="114"/>
      <c r="AC572" s="114"/>
      <c r="AD572" s="114"/>
      <c r="AE572" s="114"/>
    </row>
    <row r="573" ht="12.75" customHeight="1">
      <c r="A573" s="114"/>
      <c r="B573" s="114"/>
      <c r="C573" s="114"/>
      <c r="D573" s="114"/>
      <c r="E573" s="114"/>
      <c r="F573" s="114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4"/>
      <c r="U573" s="114"/>
      <c r="V573" s="114"/>
      <c r="W573" s="114"/>
      <c r="X573" s="114"/>
      <c r="Y573" s="114"/>
      <c r="Z573" s="114"/>
      <c r="AA573" s="114"/>
      <c r="AB573" s="114"/>
      <c r="AC573" s="114"/>
      <c r="AD573" s="114"/>
      <c r="AE573" s="114"/>
    </row>
    <row r="574" ht="12.75" customHeight="1">
      <c r="A574" s="114"/>
      <c r="B574" s="114"/>
      <c r="C574" s="114"/>
      <c r="D574" s="114"/>
      <c r="E574" s="114"/>
      <c r="F574" s="114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4"/>
      <c r="U574" s="114"/>
      <c r="V574" s="114"/>
      <c r="W574" s="114"/>
      <c r="X574" s="114"/>
      <c r="Y574" s="114"/>
      <c r="Z574" s="114"/>
      <c r="AA574" s="114"/>
      <c r="AB574" s="114"/>
      <c r="AC574" s="114"/>
      <c r="AD574" s="114"/>
      <c r="AE574" s="114"/>
    </row>
    <row r="575" ht="12.75" customHeight="1">
      <c r="A575" s="114"/>
      <c r="B575" s="114"/>
      <c r="C575" s="114"/>
      <c r="D575" s="114"/>
      <c r="E575" s="114"/>
      <c r="F575" s="114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4"/>
      <c r="U575" s="114"/>
      <c r="V575" s="114"/>
      <c r="W575" s="114"/>
      <c r="X575" s="114"/>
      <c r="Y575" s="114"/>
      <c r="Z575" s="114"/>
      <c r="AA575" s="114"/>
      <c r="AB575" s="114"/>
      <c r="AC575" s="114"/>
      <c r="AD575" s="114"/>
      <c r="AE575" s="114"/>
    </row>
    <row r="576" ht="12.75" customHeight="1">
      <c r="A576" s="114"/>
      <c r="B576" s="114"/>
      <c r="C576" s="114"/>
      <c r="D576" s="114"/>
      <c r="E576" s="114"/>
      <c r="F576" s="114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4"/>
      <c r="U576" s="114"/>
      <c r="V576" s="114"/>
      <c r="W576" s="114"/>
      <c r="X576" s="114"/>
      <c r="Y576" s="114"/>
      <c r="Z576" s="114"/>
      <c r="AA576" s="114"/>
      <c r="AB576" s="114"/>
      <c r="AC576" s="114"/>
      <c r="AD576" s="114"/>
      <c r="AE576" s="114"/>
    </row>
    <row r="577" ht="12.75" customHeight="1">
      <c r="A577" s="114"/>
      <c r="B577" s="114"/>
      <c r="C577" s="114"/>
      <c r="D577" s="114"/>
      <c r="E577" s="114"/>
      <c r="F577" s="114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4"/>
      <c r="U577" s="114"/>
      <c r="V577" s="114"/>
      <c r="W577" s="114"/>
      <c r="X577" s="114"/>
      <c r="Y577" s="114"/>
      <c r="Z577" s="114"/>
      <c r="AA577" s="114"/>
      <c r="AB577" s="114"/>
      <c r="AC577" s="114"/>
      <c r="AD577" s="114"/>
      <c r="AE577" s="114"/>
    </row>
    <row r="578" ht="12.75" customHeight="1">
      <c r="A578" s="114"/>
      <c r="B578" s="114"/>
      <c r="C578" s="114"/>
      <c r="D578" s="114"/>
      <c r="E578" s="114"/>
      <c r="F578" s="114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4"/>
      <c r="U578" s="114"/>
      <c r="V578" s="114"/>
      <c r="W578" s="114"/>
      <c r="X578" s="114"/>
      <c r="Y578" s="114"/>
      <c r="Z578" s="114"/>
      <c r="AA578" s="114"/>
      <c r="AB578" s="114"/>
      <c r="AC578" s="114"/>
      <c r="AD578" s="114"/>
      <c r="AE578" s="114"/>
    </row>
    <row r="579" ht="12.75" customHeight="1">
      <c r="A579" s="114"/>
      <c r="B579" s="114"/>
      <c r="C579" s="114"/>
      <c r="D579" s="114"/>
      <c r="E579" s="114"/>
      <c r="F579" s="114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4"/>
      <c r="U579" s="114"/>
      <c r="V579" s="114"/>
      <c r="W579" s="114"/>
      <c r="X579" s="114"/>
      <c r="Y579" s="114"/>
      <c r="Z579" s="114"/>
      <c r="AA579" s="114"/>
      <c r="AB579" s="114"/>
      <c r="AC579" s="114"/>
      <c r="AD579" s="114"/>
      <c r="AE579" s="114"/>
    </row>
    <row r="580" ht="12.75" customHeight="1">
      <c r="A580" s="114"/>
      <c r="B580" s="114"/>
      <c r="C580" s="114"/>
      <c r="D580" s="114"/>
      <c r="E580" s="114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4"/>
      <c r="U580" s="114"/>
      <c r="V580" s="114"/>
      <c r="W580" s="114"/>
      <c r="X580" s="114"/>
      <c r="Y580" s="114"/>
      <c r="Z580" s="114"/>
      <c r="AA580" s="114"/>
      <c r="AB580" s="114"/>
      <c r="AC580" s="114"/>
      <c r="AD580" s="114"/>
      <c r="AE580" s="114"/>
    </row>
    <row r="581" ht="12.75" customHeight="1">
      <c r="A581" s="114"/>
      <c r="B581" s="114"/>
      <c r="C581" s="114"/>
      <c r="D581" s="114"/>
      <c r="E581" s="114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4"/>
      <c r="U581" s="114"/>
      <c r="V581" s="114"/>
      <c r="W581" s="114"/>
      <c r="X581" s="114"/>
      <c r="Y581" s="114"/>
      <c r="Z581" s="114"/>
      <c r="AA581" s="114"/>
      <c r="AB581" s="114"/>
      <c r="AC581" s="114"/>
      <c r="AD581" s="114"/>
      <c r="AE581" s="114"/>
    </row>
    <row r="582" ht="12.75" customHeight="1">
      <c r="A582" s="114"/>
      <c r="B582" s="114"/>
      <c r="C582" s="114"/>
      <c r="D582" s="114"/>
      <c r="E582" s="114"/>
      <c r="F582" s="114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4"/>
      <c r="U582" s="114"/>
      <c r="V582" s="114"/>
      <c r="W582" s="114"/>
      <c r="X582" s="114"/>
      <c r="Y582" s="114"/>
      <c r="Z582" s="114"/>
      <c r="AA582" s="114"/>
      <c r="AB582" s="114"/>
      <c r="AC582" s="114"/>
      <c r="AD582" s="114"/>
      <c r="AE582" s="114"/>
    </row>
    <row r="583" ht="12.75" customHeight="1">
      <c r="A583" s="114"/>
      <c r="B583" s="114"/>
      <c r="C583" s="114"/>
      <c r="D583" s="114"/>
      <c r="E583" s="114"/>
      <c r="F583" s="114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114"/>
      <c r="AD583" s="114"/>
      <c r="AE583" s="114"/>
    </row>
    <row r="584" ht="12.75" customHeight="1">
      <c r="A584" s="114"/>
      <c r="B584" s="114"/>
      <c r="C584" s="114"/>
      <c r="D584" s="114"/>
      <c r="E584" s="114"/>
      <c r="F584" s="114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4"/>
      <c r="U584" s="114"/>
      <c r="V584" s="114"/>
      <c r="W584" s="114"/>
      <c r="X584" s="114"/>
      <c r="Y584" s="114"/>
      <c r="Z584" s="114"/>
      <c r="AA584" s="114"/>
      <c r="AB584" s="114"/>
      <c r="AC584" s="114"/>
      <c r="AD584" s="114"/>
      <c r="AE584" s="114"/>
    </row>
    <row r="585" ht="12.75" customHeight="1">
      <c r="A585" s="114"/>
      <c r="B585" s="114"/>
      <c r="C585" s="114"/>
      <c r="D585" s="114"/>
      <c r="E585" s="114"/>
      <c r="F585" s="114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4"/>
      <c r="U585" s="114"/>
      <c r="V585" s="114"/>
      <c r="W585" s="114"/>
      <c r="X585" s="114"/>
      <c r="Y585" s="114"/>
      <c r="Z585" s="114"/>
      <c r="AA585" s="114"/>
      <c r="AB585" s="114"/>
      <c r="AC585" s="114"/>
      <c r="AD585" s="114"/>
      <c r="AE585" s="114"/>
    </row>
    <row r="586" ht="12.75" customHeight="1">
      <c r="A586" s="114"/>
      <c r="B586" s="114"/>
      <c r="C586" s="114"/>
      <c r="D586" s="114"/>
      <c r="E586" s="114"/>
      <c r="F586" s="114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4"/>
      <c r="U586" s="114"/>
      <c r="V586" s="114"/>
      <c r="W586" s="114"/>
      <c r="X586" s="114"/>
      <c r="Y586" s="114"/>
      <c r="Z586" s="114"/>
      <c r="AA586" s="114"/>
      <c r="AB586" s="114"/>
      <c r="AC586" s="114"/>
      <c r="AD586" s="114"/>
      <c r="AE586" s="114"/>
    </row>
    <row r="587" ht="12.75" customHeight="1">
      <c r="A587" s="114"/>
      <c r="B587" s="114"/>
      <c r="C587" s="114"/>
      <c r="D587" s="114"/>
      <c r="E587" s="114"/>
      <c r="F587" s="114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4"/>
      <c r="U587" s="114"/>
      <c r="V587" s="114"/>
      <c r="W587" s="114"/>
      <c r="X587" s="114"/>
      <c r="Y587" s="114"/>
      <c r="Z587" s="114"/>
      <c r="AA587" s="114"/>
      <c r="AB587" s="114"/>
      <c r="AC587" s="114"/>
      <c r="AD587" s="114"/>
      <c r="AE587" s="114"/>
    </row>
    <row r="588" ht="12.75" customHeight="1">
      <c r="A588" s="114"/>
      <c r="B588" s="114"/>
      <c r="C588" s="114"/>
      <c r="D588" s="114"/>
      <c r="E588" s="114"/>
      <c r="F588" s="114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4"/>
      <c r="U588" s="114"/>
      <c r="V588" s="114"/>
      <c r="W588" s="114"/>
      <c r="X588" s="114"/>
      <c r="Y588" s="114"/>
      <c r="Z588" s="114"/>
      <c r="AA588" s="114"/>
      <c r="AB588" s="114"/>
      <c r="AC588" s="114"/>
      <c r="AD588" s="114"/>
      <c r="AE588" s="114"/>
    </row>
    <row r="589" ht="12.75" customHeight="1">
      <c r="A589" s="114"/>
      <c r="B589" s="114"/>
      <c r="C589" s="114"/>
      <c r="D589" s="114"/>
      <c r="E589" s="114"/>
      <c r="F589" s="114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4"/>
      <c r="U589" s="114"/>
      <c r="V589" s="114"/>
      <c r="W589" s="114"/>
      <c r="X589" s="114"/>
      <c r="Y589" s="114"/>
      <c r="Z589" s="114"/>
      <c r="AA589" s="114"/>
      <c r="AB589" s="114"/>
      <c r="AC589" s="114"/>
      <c r="AD589" s="114"/>
      <c r="AE589" s="114"/>
    </row>
    <row r="590" ht="12.75" customHeight="1">
      <c r="A590" s="114"/>
      <c r="B590" s="114"/>
      <c r="C590" s="114"/>
      <c r="D590" s="114"/>
      <c r="E590" s="114"/>
      <c r="F590" s="114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4"/>
      <c r="U590" s="114"/>
      <c r="V590" s="114"/>
      <c r="W590" s="114"/>
      <c r="X590" s="114"/>
      <c r="Y590" s="114"/>
      <c r="Z590" s="114"/>
      <c r="AA590" s="114"/>
      <c r="AB590" s="114"/>
      <c r="AC590" s="114"/>
      <c r="AD590" s="114"/>
      <c r="AE590" s="114"/>
    </row>
    <row r="591" ht="12.75" customHeight="1">
      <c r="A591" s="114"/>
      <c r="B591" s="114"/>
      <c r="C591" s="114"/>
      <c r="D591" s="114"/>
      <c r="E591" s="114"/>
      <c r="F591" s="114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4"/>
      <c r="U591" s="114"/>
      <c r="V591" s="114"/>
      <c r="W591" s="114"/>
      <c r="X591" s="114"/>
      <c r="Y591" s="114"/>
      <c r="Z591" s="114"/>
      <c r="AA591" s="114"/>
      <c r="AB591" s="114"/>
      <c r="AC591" s="114"/>
      <c r="AD591" s="114"/>
      <c r="AE591" s="114"/>
    </row>
    <row r="592" ht="12.75" customHeight="1">
      <c r="A592" s="114"/>
      <c r="B592" s="114"/>
      <c r="C592" s="114"/>
      <c r="D592" s="114"/>
      <c r="E592" s="114"/>
      <c r="F592" s="114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4"/>
      <c r="U592" s="114"/>
      <c r="V592" s="114"/>
      <c r="W592" s="114"/>
      <c r="X592" s="114"/>
      <c r="Y592" s="114"/>
      <c r="Z592" s="114"/>
      <c r="AA592" s="114"/>
      <c r="AB592" s="114"/>
      <c r="AC592" s="114"/>
      <c r="AD592" s="114"/>
      <c r="AE592" s="114"/>
    </row>
    <row r="593" ht="12.75" customHeight="1">
      <c r="A593" s="114"/>
      <c r="B593" s="114"/>
      <c r="C593" s="114"/>
      <c r="D593" s="114"/>
      <c r="E593" s="114"/>
      <c r="F593" s="114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4"/>
      <c r="U593" s="114"/>
      <c r="V593" s="114"/>
      <c r="W593" s="114"/>
      <c r="X593" s="114"/>
      <c r="Y593" s="114"/>
      <c r="Z593" s="114"/>
      <c r="AA593" s="114"/>
      <c r="AB593" s="114"/>
      <c r="AC593" s="114"/>
      <c r="AD593" s="114"/>
      <c r="AE593" s="114"/>
    </row>
    <row r="594" ht="12.75" customHeight="1">
      <c r="A594" s="114"/>
      <c r="B594" s="114"/>
      <c r="C594" s="114"/>
      <c r="D594" s="114"/>
      <c r="E594" s="114"/>
      <c r="F594" s="114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4"/>
      <c r="U594" s="114"/>
      <c r="V594" s="114"/>
      <c r="W594" s="114"/>
      <c r="X594" s="114"/>
      <c r="Y594" s="114"/>
      <c r="Z594" s="114"/>
      <c r="AA594" s="114"/>
      <c r="AB594" s="114"/>
      <c r="AC594" s="114"/>
      <c r="AD594" s="114"/>
      <c r="AE594" s="114"/>
    </row>
    <row r="595" ht="12.75" customHeight="1">
      <c r="A595" s="114"/>
      <c r="B595" s="114"/>
      <c r="C595" s="114"/>
      <c r="D595" s="114"/>
      <c r="E595" s="114"/>
      <c r="F595" s="114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114"/>
      <c r="W595" s="114"/>
      <c r="X595" s="114"/>
      <c r="Y595" s="114"/>
      <c r="Z595" s="114"/>
      <c r="AA595" s="114"/>
      <c r="AB595" s="114"/>
      <c r="AC595" s="114"/>
      <c r="AD595" s="114"/>
      <c r="AE595" s="114"/>
    </row>
    <row r="596" ht="12.75" customHeight="1">
      <c r="A596" s="114"/>
      <c r="B596" s="114"/>
      <c r="C596" s="114"/>
      <c r="D596" s="114"/>
      <c r="E596" s="114"/>
      <c r="F596" s="114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4"/>
      <c r="U596" s="114"/>
      <c r="V596" s="114"/>
      <c r="W596" s="114"/>
      <c r="X596" s="114"/>
      <c r="Y596" s="114"/>
      <c r="Z596" s="114"/>
      <c r="AA596" s="114"/>
      <c r="AB596" s="114"/>
      <c r="AC596" s="114"/>
      <c r="AD596" s="114"/>
      <c r="AE596" s="114"/>
    </row>
    <row r="597" ht="12.75" customHeight="1">
      <c r="A597" s="114"/>
      <c r="B597" s="114"/>
      <c r="C597" s="114"/>
      <c r="D597" s="114"/>
      <c r="E597" s="114"/>
      <c r="F597" s="114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4"/>
      <c r="U597" s="114"/>
      <c r="V597" s="114"/>
      <c r="W597" s="114"/>
      <c r="X597" s="114"/>
      <c r="Y597" s="114"/>
      <c r="Z597" s="114"/>
      <c r="AA597" s="114"/>
      <c r="AB597" s="114"/>
      <c r="AC597" s="114"/>
      <c r="AD597" s="114"/>
      <c r="AE597" s="114"/>
    </row>
    <row r="598" ht="12.75" customHeight="1">
      <c r="A598" s="114"/>
      <c r="B598" s="114"/>
      <c r="C598" s="114"/>
      <c r="D598" s="114"/>
      <c r="E598" s="114"/>
      <c r="F598" s="114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4"/>
      <c r="U598" s="114"/>
      <c r="V598" s="114"/>
      <c r="W598" s="114"/>
      <c r="X598" s="114"/>
      <c r="Y598" s="114"/>
      <c r="Z598" s="114"/>
      <c r="AA598" s="114"/>
      <c r="AB598" s="114"/>
      <c r="AC598" s="114"/>
      <c r="AD598" s="114"/>
      <c r="AE598" s="114"/>
    </row>
    <row r="599" ht="12.75" customHeight="1">
      <c r="A599" s="114"/>
      <c r="B599" s="114"/>
      <c r="C599" s="114"/>
      <c r="D599" s="114"/>
      <c r="E599" s="114"/>
      <c r="F599" s="114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4"/>
      <c r="U599" s="114"/>
      <c r="V599" s="114"/>
      <c r="W599" s="114"/>
      <c r="X599" s="114"/>
      <c r="Y599" s="114"/>
      <c r="Z599" s="114"/>
      <c r="AA599" s="114"/>
      <c r="AB599" s="114"/>
      <c r="AC599" s="114"/>
      <c r="AD599" s="114"/>
      <c r="AE599" s="114"/>
    </row>
    <row r="600" ht="12.75" customHeight="1">
      <c r="A600" s="114"/>
      <c r="B600" s="114"/>
      <c r="C600" s="114"/>
      <c r="D600" s="114"/>
      <c r="E600" s="114"/>
      <c r="F600" s="114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4"/>
      <c r="U600" s="114"/>
      <c r="V600" s="114"/>
      <c r="W600" s="114"/>
      <c r="X600" s="114"/>
      <c r="Y600" s="114"/>
      <c r="Z600" s="114"/>
      <c r="AA600" s="114"/>
      <c r="AB600" s="114"/>
      <c r="AC600" s="114"/>
      <c r="AD600" s="114"/>
      <c r="AE600" s="114"/>
    </row>
    <row r="601" ht="12.75" customHeight="1">
      <c r="A601" s="114"/>
      <c r="B601" s="114"/>
      <c r="C601" s="114"/>
      <c r="D601" s="114"/>
      <c r="E601" s="114"/>
      <c r="F601" s="114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4"/>
      <c r="U601" s="114"/>
      <c r="V601" s="114"/>
      <c r="W601" s="114"/>
      <c r="X601" s="114"/>
      <c r="Y601" s="114"/>
      <c r="Z601" s="114"/>
      <c r="AA601" s="114"/>
      <c r="AB601" s="114"/>
      <c r="AC601" s="114"/>
      <c r="AD601" s="114"/>
      <c r="AE601" s="114"/>
    </row>
    <row r="602" ht="12.75" customHeight="1">
      <c r="A602" s="114"/>
      <c r="B602" s="114"/>
      <c r="C602" s="114"/>
      <c r="D602" s="114"/>
      <c r="E602" s="114"/>
      <c r="F602" s="114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4"/>
      <c r="U602" s="114"/>
      <c r="V602" s="114"/>
      <c r="W602" s="114"/>
      <c r="X602" s="114"/>
      <c r="Y602" s="114"/>
      <c r="Z602" s="114"/>
      <c r="AA602" s="114"/>
      <c r="AB602" s="114"/>
      <c r="AC602" s="114"/>
      <c r="AD602" s="114"/>
      <c r="AE602" s="114"/>
    </row>
    <row r="603" ht="12.75" customHeight="1">
      <c r="A603" s="114"/>
      <c r="B603" s="114"/>
      <c r="C603" s="114"/>
      <c r="D603" s="114"/>
      <c r="E603" s="114"/>
      <c r="F603" s="114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4"/>
      <c r="U603" s="114"/>
      <c r="V603" s="114"/>
      <c r="W603" s="114"/>
      <c r="X603" s="114"/>
      <c r="Y603" s="114"/>
      <c r="Z603" s="114"/>
      <c r="AA603" s="114"/>
      <c r="AB603" s="114"/>
      <c r="AC603" s="114"/>
      <c r="AD603" s="114"/>
      <c r="AE603" s="114"/>
    </row>
    <row r="604" ht="12.75" customHeight="1">
      <c r="A604" s="114"/>
      <c r="B604" s="114"/>
      <c r="C604" s="114"/>
      <c r="D604" s="114"/>
      <c r="E604" s="114"/>
      <c r="F604" s="114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4"/>
      <c r="U604" s="114"/>
      <c r="V604" s="114"/>
      <c r="W604" s="114"/>
      <c r="X604" s="114"/>
      <c r="Y604" s="114"/>
      <c r="Z604" s="114"/>
      <c r="AA604" s="114"/>
      <c r="AB604" s="114"/>
      <c r="AC604" s="114"/>
      <c r="AD604" s="114"/>
      <c r="AE604" s="114"/>
    </row>
    <row r="605" ht="12.75" customHeight="1">
      <c r="A605" s="114"/>
      <c r="B605" s="114"/>
      <c r="C605" s="114"/>
      <c r="D605" s="114"/>
      <c r="E605" s="114"/>
      <c r="F605" s="114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4"/>
      <c r="U605" s="114"/>
      <c r="V605" s="114"/>
      <c r="W605" s="114"/>
      <c r="X605" s="114"/>
      <c r="Y605" s="114"/>
      <c r="Z605" s="114"/>
      <c r="AA605" s="114"/>
      <c r="AB605" s="114"/>
      <c r="AC605" s="114"/>
      <c r="AD605" s="114"/>
      <c r="AE605" s="114"/>
    </row>
    <row r="606" ht="12.75" customHeight="1">
      <c r="A606" s="114"/>
      <c r="B606" s="114"/>
      <c r="C606" s="114"/>
      <c r="D606" s="114"/>
      <c r="E606" s="114"/>
      <c r="F606" s="114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114"/>
      <c r="W606" s="114"/>
      <c r="X606" s="114"/>
      <c r="Y606" s="114"/>
      <c r="Z606" s="114"/>
      <c r="AA606" s="114"/>
      <c r="AB606" s="114"/>
      <c r="AC606" s="114"/>
      <c r="AD606" s="114"/>
      <c r="AE606" s="114"/>
    </row>
    <row r="607" ht="12.75" customHeight="1">
      <c r="A607" s="114"/>
      <c r="B607" s="114"/>
      <c r="C607" s="114"/>
      <c r="D607" s="114"/>
      <c r="E607" s="114"/>
      <c r="F607" s="114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4"/>
      <c r="U607" s="114"/>
      <c r="V607" s="114"/>
      <c r="W607" s="114"/>
      <c r="X607" s="114"/>
      <c r="Y607" s="114"/>
      <c r="Z607" s="114"/>
      <c r="AA607" s="114"/>
      <c r="AB607" s="114"/>
      <c r="AC607" s="114"/>
      <c r="AD607" s="114"/>
      <c r="AE607" s="114"/>
    </row>
    <row r="608" ht="12.75" customHeight="1">
      <c r="A608" s="114"/>
      <c r="B608" s="114"/>
      <c r="C608" s="114"/>
      <c r="D608" s="114"/>
      <c r="E608" s="114"/>
      <c r="F608" s="114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4"/>
      <c r="U608" s="114"/>
      <c r="V608" s="114"/>
      <c r="W608" s="114"/>
      <c r="X608" s="114"/>
      <c r="Y608" s="114"/>
      <c r="Z608" s="114"/>
      <c r="AA608" s="114"/>
      <c r="AB608" s="114"/>
      <c r="AC608" s="114"/>
      <c r="AD608" s="114"/>
      <c r="AE608" s="114"/>
    </row>
    <row r="609" ht="12.75" customHeight="1">
      <c r="A609" s="114"/>
      <c r="B609" s="114"/>
      <c r="C609" s="114"/>
      <c r="D609" s="114"/>
      <c r="E609" s="114"/>
      <c r="F609" s="114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4"/>
      <c r="U609" s="114"/>
      <c r="V609" s="114"/>
      <c r="W609" s="114"/>
      <c r="X609" s="114"/>
      <c r="Y609" s="114"/>
      <c r="Z609" s="114"/>
      <c r="AA609" s="114"/>
      <c r="AB609" s="114"/>
      <c r="AC609" s="114"/>
      <c r="AD609" s="114"/>
      <c r="AE609" s="114"/>
    </row>
    <row r="610" ht="12.75" customHeight="1">
      <c r="A610" s="114"/>
      <c r="B610" s="114"/>
      <c r="C610" s="114"/>
      <c r="D610" s="114"/>
      <c r="E610" s="114"/>
      <c r="F610" s="114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4"/>
      <c r="U610" s="114"/>
      <c r="V610" s="114"/>
      <c r="W610" s="114"/>
      <c r="X610" s="114"/>
      <c r="Y610" s="114"/>
      <c r="Z610" s="114"/>
      <c r="AA610" s="114"/>
      <c r="AB610" s="114"/>
      <c r="AC610" s="114"/>
      <c r="AD610" s="114"/>
      <c r="AE610" s="114"/>
    </row>
    <row r="611" ht="12.75" customHeight="1">
      <c r="A611" s="114"/>
      <c r="B611" s="114"/>
      <c r="C611" s="114"/>
      <c r="D611" s="114"/>
      <c r="E611" s="114"/>
      <c r="F611" s="114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4"/>
      <c r="U611" s="114"/>
      <c r="V611" s="114"/>
      <c r="W611" s="114"/>
      <c r="X611" s="114"/>
      <c r="Y611" s="114"/>
      <c r="Z611" s="114"/>
      <c r="AA611" s="114"/>
      <c r="AB611" s="114"/>
      <c r="AC611" s="114"/>
      <c r="AD611" s="114"/>
      <c r="AE611" s="114"/>
    </row>
    <row r="612" ht="12.75" customHeight="1">
      <c r="A612" s="114"/>
      <c r="B612" s="114"/>
      <c r="C612" s="114"/>
      <c r="D612" s="114"/>
      <c r="E612" s="114"/>
      <c r="F612" s="114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4"/>
      <c r="U612" s="114"/>
      <c r="V612" s="114"/>
      <c r="W612" s="114"/>
      <c r="X612" s="114"/>
      <c r="Y612" s="114"/>
      <c r="Z612" s="114"/>
      <c r="AA612" s="114"/>
      <c r="AB612" s="114"/>
      <c r="AC612" s="114"/>
      <c r="AD612" s="114"/>
      <c r="AE612" s="114"/>
    </row>
    <row r="613" ht="12.75" customHeight="1">
      <c r="A613" s="114"/>
      <c r="B613" s="114"/>
      <c r="C613" s="114"/>
      <c r="D613" s="114"/>
      <c r="E613" s="114"/>
      <c r="F613" s="114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4"/>
      <c r="U613" s="114"/>
      <c r="V613" s="114"/>
      <c r="W613" s="114"/>
      <c r="X613" s="114"/>
      <c r="Y613" s="114"/>
      <c r="Z613" s="114"/>
      <c r="AA613" s="114"/>
      <c r="AB613" s="114"/>
      <c r="AC613" s="114"/>
      <c r="AD613" s="114"/>
      <c r="AE613" s="114"/>
    </row>
    <row r="614" ht="12.75" customHeight="1">
      <c r="A614" s="114"/>
      <c r="B614" s="114"/>
      <c r="C614" s="114"/>
      <c r="D614" s="114"/>
      <c r="E614" s="114"/>
      <c r="F614" s="114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4"/>
      <c r="U614" s="114"/>
      <c r="V614" s="114"/>
      <c r="W614" s="114"/>
      <c r="X614" s="114"/>
      <c r="Y614" s="114"/>
      <c r="Z614" s="114"/>
      <c r="AA614" s="114"/>
      <c r="AB614" s="114"/>
      <c r="AC614" s="114"/>
      <c r="AD614" s="114"/>
      <c r="AE614" s="114"/>
    </row>
    <row r="615" ht="12.75" customHeight="1">
      <c r="A615" s="114"/>
      <c r="B615" s="114"/>
      <c r="C615" s="114"/>
      <c r="D615" s="114"/>
      <c r="E615" s="114"/>
      <c r="F615" s="114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4"/>
      <c r="U615" s="114"/>
      <c r="V615" s="114"/>
      <c r="W615" s="114"/>
      <c r="X615" s="114"/>
      <c r="Y615" s="114"/>
      <c r="Z615" s="114"/>
      <c r="AA615" s="114"/>
      <c r="AB615" s="114"/>
      <c r="AC615" s="114"/>
      <c r="AD615" s="114"/>
      <c r="AE615" s="114"/>
    </row>
    <row r="616" ht="12.75" customHeight="1">
      <c r="A616" s="114"/>
      <c r="B616" s="114"/>
      <c r="C616" s="114"/>
      <c r="D616" s="114"/>
      <c r="E616" s="114"/>
      <c r="F616" s="114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4"/>
      <c r="U616" s="114"/>
      <c r="V616" s="114"/>
      <c r="W616" s="114"/>
      <c r="X616" s="114"/>
      <c r="Y616" s="114"/>
      <c r="Z616" s="114"/>
      <c r="AA616" s="114"/>
      <c r="AB616" s="114"/>
      <c r="AC616" s="114"/>
      <c r="AD616" s="114"/>
      <c r="AE616" s="114"/>
    </row>
    <row r="617" ht="12.75" customHeight="1">
      <c r="A617" s="114"/>
      <c r="B617" s="114"/>
      <c r="C617" s="114"/>
      <c r="D617" s="114"/>
      <c r="E617" s="114"/>
      <c r="F617" s="114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4"/>
      <c r="U617" s="114"/>
      <c r="V617" s="114"/>
      <c r="W617" s="114"/>
      <c r="X617" s="114"/>
      <c r="Y617" s="114"/>
      <c r="Z617" s="114"/>
      <c r="AA617" s="114"/>
      <c r="AB617" s="114"/>
      <c r="AC617" s="114"/>
      <c r="AD617" s="114"/>
      <c r="AE617" s="114"/>
    </row>
    <row r="618" ht="12.75" customHeight="1">
      <c r="A618" s="114"/>
      <c r="B618" s="114"/>
      <c r="C618" s="114"/>
      <c r="D618" s="114"/>
      <c r="E618" s="114"/>
      <c r="F618" s="114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4"/>
      <c r="U618" s="114"/>
      <c r="V618" s="114"/>
      <c r="W618" s="114"/>
      <c r="X618" s="114"/>
      <c r="Y618" s="114"/>
      <c r="Z618" s="114"/>
      <c r="AA618" s="114"/>
      <c r="AB618" s="114"/>
      <c r="AC618" s="114"/>
      <c r="AD618" s="114"/>
      <c r="AE618" s="114"/>
    </row>
    <row r="619" ht="12.75" customHeight="1">
      <c r="A619" s="114"/>
      <c r="B619" s="114"/>
      <c r="C619" s="114"/>
      <c r="D619" s="114"/>
      <c r="E619" s="114"/>
      <c r="F619" s="114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4"/>
      <c r="U619" s="114"/>
      <c r="V619" s="114"/>
      <c r="W619" s="114"/>
      <c r="X619" s="114"/>
      <c r="Y619" s="114"/>
      <c r="Z619" s="114"/>
      <c r="AA619" s="114"/>
      <c r="AB619" s="114"/>
      <c r="AC619" s="114"/>
      <c r="AD619" s="114"/>
      <c r="AE619" s="114"/>
    </row>
    <row r="620" ht="12.75" customHeight="1">
      <c r="A620" s="114"/>
      <c r="B620" s="114"/>
      <c r="C620" s="114"/>
      <c r="D620" s="114"/>
      <c r="E620" s="114"/>
      <c r="F620" s="114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4"/>
      <c r="U620" s="114"/>
      <c r="V620" s="114"/>
      <c r="W620" s="114"/>
      <c r="X620" s="114"/>
      <c r="Y620" s="114"/>
      <c r="Z620" s="114"/>
      <c r="AA620" s="114"/>
      <c r="AB620" s="114"/>
      <c r="AC620" s="114"/>
      <c r="AD620" s="114"/>
      <c r="AE620" s="114"/>
    </row>
    <row r="621" ht="12.75" customHeight="1">
      <c r="A621" s="114"/>
      <c r="B621" s="114"/>
      <c r="C621" s="114"/>
      <c r="D621" s="114"/>
      <c r="E621" s="114"/>
      <c r="F621" s="114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4"/>
      <c r="U621" s="114"/>
      <c r="V621" s="114"/>
      <c r="W621" s="114"/>
      <c r="X621" s="114"/>
      <c r="Y621" s="114"/>
      <c r="Z621" s="114"/>
      <c r="AA621" s="114"/>
      <c r="AB621" s="114"/>
      <c r="AC621" s="114"/>
      <c r="AD621" s="114"/>
      <c r="AE621" s="114"/>
    </row>
    <row r="622" ht="12.75" customHeight="1">
      <c r="A622" s="114"/>
      <c r="B622" s="114"/>
      <c r="C622" s="114"/>
      <c r="D622" s="114"/>
      <c r="E622" s="114"/>
      <c r="F622" s="114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4"/>
      <c r="U622" s="114"/>
      <c r="V622" s="114"/>
      <c r="W622" s="114"/>
      <c r="X622" s="114"/>
      <c r="Y622" s="114"/>
      <c r="Z622" s="114"/>
      <c r="AA622" s="114"/>
      <c r="AB622" s="114"/>
      <c r="AC622" s="114"/>
      <c r="AD622" s="114"/>
      <c r="AE622" s="114"/>
    </row>
    <row r="623" ht="12.75" customHeight="1">
      <c r="A623" s="114"/>
      <c r="B623" s="114"/>
      <c r="C623" s="114"/>
      <c r="D623" s="114"/>
      <c r="E623" s="114"/>
      <c r="F623" s="114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4"/>
      <c r="U623" s="114"/>
      <c r="V623" s="114"/>
      <c r="W623" s="114"/>
      <c r="X623" s="114"/>
      <c r="Y623" s="114"/>
      <c r="Z623" s="114"/>
      <c r="AA623" s="114"/>
      <c r="AB623" s="114"/>
      <c r="AC623" s="114"/>
      <c r="AD623" s="114"/>
      <c r="AE623" s="114"/>
    </row>
    <row r="624" ht="12.75" customHeight="1">
      <c r="A624" s="114"/>
      <c r="B624" s="114"/>
      <c r="C624" s="114"/>
      <c r="D624" s="114"/>
      <c r="E624" s="114"/>
      <c r="F624" s="114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4"/>
      <c r="U624" s="114"/>
      <c r="V624" s="114"/>
      <c r="W624" s="114"/>
      <c r="X624" s="114"/>
      <c r="Y624" s="114"/>
      <c r="Z624" s="114"/>
      <c r="AA624" s="114"/>
      <c r="AB624" s="114"/>
      <c r="AC624" s="114"/>
      <c r="AD624" s="114"/>
      <c r="AE624" s="114"/>
    </row>
    <row r="625" ht="12.75" customHeight="1">
      <c r="A625" s="114"/>
      <c r="B625" s="114"/>
      <c r="C625" s="114"/>
      <c r="D625" s="114"/>
      <c r="E625" s="114"/>
      <c r="F625" s="114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4"/>
      <c r="U625" s="114"/>
      <c r="V625" s="114"/>
      <c r="W625" s="114"/>
      <c r="X625" s="114"/>
      <c r="Y625" s="114"/>
      <c r="Z625" s="114"/>
      <c r="AA625" s="114"/>
      <c r="AB625" s="114"/>
      <c r="AC625" s="114"/>
      <c r="AD625" s="114"/>
      <c r="AE625" s="114"/>
    </row>
    <row r="626" ht="12.75" customHeight="1">
      <c r="A626" s="114"/>
      <c r="B626" s="114"/>
      <c r="C626" s="114"/>
      <c r="D626" s="114"/>
      <c r="E626" s="114"/>
      <c r="F626" s="114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4"/>
      <c r="U626" s="114"/>
      <c r="V626" s="114"/>
      <c r="W626" s="114"/>
      <c r="X626" s="114"/>
      <c r="Y626" s="114"/>
      <c r="Z626" s="114"/>
      <c r="AA626" s="114"/>
      <c r="AB626" s="114"/>
      <c r="AC626" s="114"/>
      <c r="AD626" s="114"/>
      <c r="AE626" s="114"/>
    </row>
    <row r="627" ht="12.75" customHeight="1">
      <c r="A627" s="114"/>
      <c r="B627" s="114"/>
      <c r="C627" s="114"/>
      <c r="D627" s="114"/>
      <c r="E627" s="114"/>
      <c r="F627" s="114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4"/>
      <c r="U627" s="114"/>
      <c r="V627" s="114"/>
      <c r="W627" s="114"/>
      <c r="X627" s="114"/>
      <c r="Y627" s="114"/>
      <c r="Z627" s="114"/>
      <c r="AA627" s="114"/>
      <c r="AB627" s="114"/>
      <c r="AC627" s="114"/>
      <c r="AD627" s="114"/>
      <c r="AE627" s="114"/>
    </row>
    <row r="628" ht="12.75" customHeight="1">
      <c r="A628" s="114"/>
      <c r="B628" s="114"/>
      <c r="C628" s="114"/>
      <c r="D628" s="114"/>
      <c r="E628" s="114"/>
      <c r="F628" s="114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4"/>
      <c r="U628" s="114"/>
      <c r="V628" s="114"/>
      <c r="W628" s="114"/>
      <c r="X628" s="114"/>
      <c r="Y628" s="114"/>
      <c r="Z628" s="114"/>
      <c r="AA628" s="114"/>
      <c r="AB628" s="114"/>
      <c r="AC628" s="114"/>
      <c r="AD628" s="114"/>
      <c r="AE628" s="114"/>
    </row>
    <row r="629" ht="12.75" customHeight="1">
      <c r="A629" s="114"/>
      <c r="B629" s="114"/>
      <c r="C629" s="114"/>
      <c r="D629" s="114"/>
      <c r="E629" s="114"/>
      <c r="F629" s="114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4"/>
      <c r="U629" s="114"/>
      <c r="V629" s="114"/>
      <c r="W629" s="114"/>
      <c r="X629" s="114"/>
      <c r="Y629" s="114"/>
      <c r="Z629" s="114"/>
      <c r="AA629" s="114"/>
      <c r="AB629" s="114"/>
      <c r="AC629" s="114"/>
      <c r="AD629" s="114"/>
      <c r="AE629" s="114"/>
    </row>
    <row r="630" ht="12.75" customHeight="1">
      <c r="A630" s="114"/>
      <c r="B630" s="114"/>
      <c r="C630" s="114"/>
      <c r="D630" s="114"/>
      <c r="E630" s="114"/>
      <c r="F630" s="114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4"/>
      <c r="U630" s="114"/>
      <c r="V630" s="114"/>
      <c r="W630" s="114"/>
      <c r="X630" s="114"/>
      <c r="Y630" s="114"/>
      <c r="Z630" s="114"/>
      <c r="AA630" s="114"/>
      <c r="AB630" s="114"/>
      <c r="AC630" s="114"/>
      <c r="AD630" s="114"/>
      <c r="AE630" s="114"/>
    </row>
    <row r="631" ht="12.75" customHeight="1">
      <c r="A631" s="114"/>
      <c r="B631" s="114"/>
      <c r="C631" s="114"/>
      <c r="D631" s="114"/>
      <c r="E631" s="114"/>
      <c r="F631" s="114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4"/>
      <c r="U631" s="114"/>
      <c r="V631" s="114"/>
      <c r="W631" s="114"/>
      <c r="X631" s="114"/>
      <c r="Y631" s="114"/>
      <c r="Z631" s="114"/>
      <c r="AA631" s="114"/>
      <c r="AB631" s="114"/>
      <c r="AC631" s="114"/>
      <c r="AD631" s="114"/>
      <c r="AE631" s="114"/>
    </row>
    <row r="632" ht="12.75" customHeight="1">
      <c r="A632" s="114"/>
      <c r="B632" s="114"/>
      <c r="C632" s="114"/>
      <c r="D632" s="114"/>
      <c r="E632" s="114"/>
      <c r="F632" s="114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4"/>
      <c r="U632" s="114"/>
      <c r="V632" s="114"/>
      <c r="W632" s="114"/>
      <c r="X632" s="114"/>
      <c r="Y632" s="114"/>
      <c r="Z632" s="114"/>
      <c r="AA632" s="114"/>
      <c r="AB632" s="114"/>
      <c r="AC632" s="114"/>
      <c r="AD632" s="114"/>
      <c r="AE632" s="114"/>
    </row>
    <row r="633" ht="12.75" customHeight="1">
      <c r="A633" s="114"/>
      <c r="B633" s="114"/>
      <c r="C633" s="114"/>
      <c r="D633" s="114"/>
      <c r="E633" s="114"/>
      <c r="F633" s="114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4"/>
      <c r="U633" s="114"/>
      <c r="V633" s="114"/>
      <c r="W633" s="114"/>
      <c r="X633" s="114"/>
      <c r="Y633" s="114"/>
      <c r="Z633" s="114"/>
      <c r="AA633" s="114"/>
      <c r="AB633" s="114"/>
      <c r="AC633" s="114"/>
      <c r="AD633" s="114"/>
      <c r="AE633" s="114"/>
    </row>
    <row r="634" ht="12.75" customHeight="1">
      <c r="A634" s="114"/>
      <c r="B634" s="114"/>
      <c r="C634" s="114"/>
      <c r="D634" s="114"/>
      <c r="E634" s="114"/>
      <c r="F634" s="114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4"/>
      <c r="U634" s="114"/>
      <c r="V634" s="114"/>
      <c r="W634" s="114"/>
      <c r="X634" s="114"/>
      <c r="Y634" s="114"/>
      <c r="Z634" s="114"/>
      <c r="AA634" s="114"/>
      <c r="AB634" s="114"/>
      <c r="AC634" s="114"/>
      <c r="AD634" s="114"/>
      <c r="AE634" s="114"/>
    </row>
    <row r="635" ht="12.75" customHeight="1">
      <c r="A635" s="114"/>
      <c r="B635" s="114"/>
      <c r="C635" s="114"/>
      <c r="D635" s="114"/>
      <c r="E635" s="114"/>
      <c r="F635" s="114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4"/>
      <c r="U635" s="114"/>
      <c r="V635" s="114"/>
      <c r="W635" s="114"/>
      <c r="X635" s="114"/>
      <c r="Y635" s="114"/>
      <c r="Z635" s="114"/>
      <c r="AA635" s="114"/>
      <c r="AB635" s="114"/>
      <c r="AC635" s="114"/>
      <c r="AD635" s="114"/>
      <c r="AE635" s="114"/>
    </row>
    <row r="636" ht="12.75" customHeight="1">
      <c r="A636" s="114"/>
      <c r="B636" s="114"/>
      <c r="C636" s="114"/>
      <c r="D636" s="114"/>
      <c r="E636" s="114"/>
      <c r="F636" s="114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4"/>
      <c r="U636" s="114"/>
      <c r="V636" s="114"/>
      <c r="W636" s="114"/>
      <c r="X636" s="114"/>
      <c r="Y636" s="114"/>
      <c r="Z636" s="114"/>
      <c r="AA636" s="114"/>
      <c r="AB636" s="114"/>
      <c r="AC636" s="114"/>
      <c r="AD636" s="114"/>
      <c r="AE636" s="114"/>
    </row>
    <row r="637" ht="12.75" customHeight="1">
      <c r="A637" s="114"/>
      <c r="B637" s="114"/>
      <c r="C637" s="114"/>
      <c r="D637" s="114"/>
      <c r="E637" s="114"/>
      <c r="F637" s="114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4"/>
      <c r="U637" s="114"/>
      <c r="V637" s="114"/>
      <c r="W637" s="114"/>
      <c r="X637" s="114"/>
      <c r="Y637" s="114"/>
      <c r="Z637" s="114"/>
      <c r="AA637" s="114"/>
      <c r="AB637" s="114"/>
      <c r="AC637" s="114"/>
      <c r="AD637" s="114"/>
      <c r="AE637" s="114"/>
    </row>
    <row r="638" ht="12.75" customHeight="1">
      <c r="A638" s="114"/>
      <c r="B638" s="114"/>
      <c r="C638" s="114"/>
      <c r="D638" s="114"/>
      <c r="E638" s="114"/>
      <c r="F638" s="114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4"/>
      <c r="U638" s="114"/>
      <c r="V638" s="114"/>
      <c r="W638" s="114"/>
      <c r="X638" s="114"/>
      <c r="Y638" s="114"/>
      <c r="Z638" s="114"/>
      <c r="AA638" s="114"/>
      <c r="AB638" s="114"/>
      <c r="AC638" s="114"/>
      <c r="AD638" s="114"/>
      <c r="AE638" s="114"/>
    </row>
    <row r="639" ht="12.75" customHeight="1">
      <c r="A639" s="114"/>
      <c r="B639" s="114"/>
      <c r="C639" s="114"/>
      <c r="D639" s="114"/>
      <c r="E639" s="114"/>
      <c r="F639" s="114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4"/>
      <c r="U639" s="114"/>
      <c r="V639" s="114"/>
      <c r="W639" s="114"/>
      <c r="X639" s="114"/>
      <c r="Y639" s="114"/>
      <c r="Z639" s="114"/>
      <c r="AA639" s="114"/>
      <c r="AB639" s="114"/>
      <c r="AC639" s="114"/>
      <c r="AD639" s="114"/>
      <c r="AE639" s="114"/>
    </row>
    <row r="640" ht="12.75" customHeight="1">
      <c r="A640" s="114"/>
      <c r="B640" s="114"/>
      <c r="C640" s="114"/>
      <c r="D640" s="114"/>
      <c r="E640" s="114"/>
      <c r="F640" s="114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4"/>
      <c r="U640" s="114"/>
      <c r="V640" s="114"/>
      <c r="W640" s="114"/>
      <c r="X640" s="114"/>
      <c r="Y640" s="114"/>
      <c r="Z640" s="114"/>
      <c r="AA640" s="114"/>
      <c r="AB640" s="114"/>
      <c r="AC640" s="114"/>
      <c r="AD640" s="114"/>
      <c r="AE640" s="114"/>
    </row>
    <row r="641" ht="12.75" customHeight="1">
      <c r="A641" s="114"/>
      <c r="B641" s="114"/>
      <c r="C641" s="114"/>
      <c r="D641" s="114"/>
      <c r="E641" s="114"/>
      <c r="F641" s="114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4"/>
      <c r="U641" s="114"/>
      <c r="V641" s="114"/>
      <c r="W641" s="114"/>
      <c r="X641" s="114"/>
      <c r="Y641" s="114"/>
      <c r="Z641" s="114"/>
      <c r="AA641" s="114"/>
      <c r="AB641" s="114"/>
      <c r="AC641" s="114"/>
      <c r="AD641" s="114"/>
      <c r="AE641" s="114"/>
    </row>
    <row r="642" ht="12.75" customHeight="1">
      <c r="A642" s="114"/>
      <c r="B642" s="114"/>
      <c r="C642" s="114"/>
      <c r="D642" s="114"/>
      <c r="E642" s="114"/>
      <c r="F642" s="114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</row>
    <row r="643" ht="12.75" customHeight="1">
      <c r="A643" s="114"/>
      <c r="B643" s="114"/>
      <c r="C643" s="114"/>
      <c r="D643" s="114"/>
      <c r="E643" s="114"/>
      <c r="F643" s="114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4"/>
      <c r="U643" s="114"/>
      <c r="V643" s="114"/>
      <c r="W643" s="114"/>
      <c r="X643" s="114"/>
      <c r="Y643" s="114"/>
      <c r="Z643" s="114"/>
      <c r="AA643" s="114"/>
      <c r="AB643" s="114"/>
      <c r="AC643" s="114"/>
      <c r="AD643" s="114"/>
      <c r="AE643" s="114"/>
    </row>
    <row r="644" ht="12.75" customHeight="1">
      <c r="A644" s="114"/>
      <c r="B644" s="114"/>
      <c r="C644" s="114"/>
      <c r="D644" s="114"/>
      <c r="E644" s="114"/>
      <c r="F644" s="114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4"/>
      <c r="U644" s="114"/>
      <c r="V644" s="114"/>
      <c r="W644" s="114"/>
      <c r="X644" s="114"/>
      <c r="Y644" s="114"/>
      <c r="Z644" s="114"/>
      <c r="AA644" s="114"/>
      <c r="AB644" s="114"/>
      <c r="AC644" s="114"/>
      <c r="AD644" s="114"/>
      <c r="AE644" s="114"/>
    </row>
    <row r="645" ht="12.75" customHeight="1">
      <c r="A645" s="114"/>
      <c r="B645" s="114"/>
      <c r="C645" s="114"/>
      <c r="D645" s="114"/>
      <c r="E645" s="114"/>
      <c r="F645" s="114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4"/>
      <c r="U645" s="114"/>
      <c r="V645" s="114"/>
      <c r="W645" s="114"/>
      <c r="X645" s="114"/>
      <c r="Y645" s="114"/>
      <c r="Z645" s="114"/>
      <c r="AA645" s="114"/>
      <c r="AB645" s="114"/>
      <c r="AC645" s="114"/>
      <c r="AD645" s="114"/>
      <c r="AE645" s="114"/>
    </row>
    <row r="646" ht="12.75" customHeight="1">
      <c r="A646" s="114"/>
      <c r="B646" s="114"/>
      <c r="C646" s="114"/>
      <c r="D646" s="114"/>
      <c r="E646" s="114"/>
      <c r="F646" s="114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4"/>
      <c r="U646" s="114"/>
      <c r="V646" s="114"/>
      <c r="W646" s="114"/>
      <c r="X646" s="114"/>
      <c r="Y646" s="114"/>
      <c r="Z646" s="114"/>
      <c r="AA646" s="114"/>
      <c r="AB646" s="114"/>
      <c r="AC646" s="114"/>
      <c r="AD646" s="114"/>
      <c r="AE646" s="114"/>
    </row>
    <row r="647" ht="12.75" customHeight="1">
      <c r="A647" s="114"/>
      <c r="B647" s="114"/>
      <c r="C647" s="114"/>
      <c r="D647" s="114"/>
      <c r="E647" s="114"/>
      <c r="F647" s="114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4"/>
      <c r="U647" s="114"/>
      <c r="V647" s="114"/>
      <c r="W647" s="114"/>
      <c r="X647" s="114"/>
      <c r="Y647" s="114"/>
      <c r="Z647" s="114"/>
      <c r="AA647" s="114"/>
      <c r="AB647" s="114"/>
      <c r="AC647" s="114"/>
      <c r="AD647" s="114"/>
      <c r="AE647" s="114"/>
    </row>
    <row r="648" ht="12.75" customHeight="1">
      <c r="A648" s="114"/>
      <c r="B648" s="114"/>
      <c r="C648" s="114"/>
      <c r="D648" s="114"/>
      <c r="E648" s="114"/>
      <c r="F648" s="114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4"/>
      <c r="U648" s="114"/>
      <c r="V648" s="114"/>
      <c r="W648" s="114"/>
      <c r="X648" s="114"/>
      <c r="Y648" s="114"/>
      <c r="Z648" s="114"/>
      <c r="AA648" s="114"/>
      <c r="AB648" s="114"/>
      <c r="AC648" s="114"/>
      <c r="AD648" s="114"/>
      <c r="AE648" s="114"/>
    </row>
    <row r="649" ht="12.75" customHeight="1">
      <c r="A649" s="114"/>
      <c r="B649" s="114"/>
      <c r="C649" s="114"/>
      <c r="D649" s="114"/>
      <c r="E649" s="114"/>
      <c r="F649" s="114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4"/>
      <c r="U649" s="114"/>
      <c r="V649" s="114"/>
      <c r="W649" s="114"/>
      <c r="X649" s="114"/>
      <c r="Y649" s="114"/>
      <c r="Z649" s="114"/>
      <c r="AA649" s="114"/>
      <c r="AB649" s="114"/>
      <c r="AC649" s="114"/>
      <c r="AD649" s="114"/>
      <c r="AE649" s="114"/>
    </row>
    <row r="650" ht="12.75" customHeight="1">
      <c r="A650" s="114"/>
      <c r="B650" s="114"/>
      <c r="C650" s="114"/>
      <c r="D650" s="114"/>
      <c r="E650" s="114"/>
      <c r="F650" s="114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4"/>
      <c r="U650" s="114"/>
      <c r="V650" s="114"/>
      <c r="W650" s="114"/>
      <c r="X650" s="114"/>
      <c r="Y650" s="114"/>
      <c r="Z650" s="114"/>
      <c r="AA650" s="114"/>
      <c r="AB650" s="114"/>
      <c r="AC650" s="114"/>
      <c r="AD650" s="114"/>
      <c r="AE650" s="114"/>
    </row>
    <row r="651" ht="12.75" customHeight="1">
      <c r="A651" s="114"/>
      <c r="B651" s="114"/>
      <c r="C651" s="114"/>
      <c r="D651" s="114"/>
      <c r="E651" s="114"/>
      <c r="F651" s="114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4"/>
      <c r="U651" s="114"/>
      <c r="V651" s="114"/>
      <c r="W651" s="114"/>
      <c r="X651" s="114"/>
      <c r="Y651" s="114"/>
      <c r="Z651" s="114"/>
      <c r="AA651" s="114"/>
      <c r="AB651" s="114"/>
      <c r="AC651" s="114"/>
      <c r="AD651" s="114"/>
      <c r="AE651" s="114"/>
    </row>
    <row r="652" ht="12.75" customHeight="1">
      <c r="A652" s="114"/>
      <c r="B652" s="114"/>
      <c r="C652" s="114"/>
      <c r="D652" s="114"/>
      <c r="E652" s="114"/>
      <c r="F652" s="114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4"/>
      <c r="U652" s="114"/>
      <c r="V652" s="114"/>
      <c r="W652" s="114"/>
      <c r="X652" s="114"/>
      <c r="Y652" s="114"/>
      <c r="Z652" s="114"/>
      <c r="AA652" s="114"/>
      <c r="AB652" s="114"/>
      <c r="AC652" s="114"/>
      <c r="AD652" s="114"/>
      <c r="AE652" s="114"/>
    </row>
    <row r="653" ht="12.75" customHeight="1">
      <c r="A653" s="114"/>
      <c r="B653" s="114"/>
      <c r="C653" s="114"/>
      <c r="D653" s="114"/>
      <c r="E653" s="114"/>
      <c r="F653" s="114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4"/>
      <c r="U653" s="114"/>
      <c r="V653" s="114"/>
      <c r="W653" s="114"/>
      <c r="X653" s="114"/>
      <c r="Y653" s="114"/>
      <c r="Z653" s="114"/>
      <c r="AA653" s="114"/>
      <c r="AB653" s="114"/>
      <c r="AC653" s="114"/>
      <c r="AD653" s="114"/>
      <c r="AE653" s="114"/>
    </row>
    <row r="654" ht="12.75" customHeight="1">
      <c r="A654" s="114"/>
      <c r="B654" s="114"/>
      <c r="C654" s="114"/>
      <c r="D654" s="114"/>
      <c r="E654" s="114"/>
      <c r="F654" s="114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4"/>
      <c r="U654" s="114"/>
      <c r="V654" s="114"/>
      <c r="W654" s="114"/>
      <c r="X654" s="114"/>
      <c r="Y654" s="114"/>
      <c r="Z654" s="114"/>
      <c r="AA654" s="114"/>
      <c r="AB654" s="114"/>
      <c r="AC654" s="114"/>
      <c r="AD654" s="114"/>
      <c r="AE654" s="114"/>
    </row>
    <row r="655" ht="12.75" customHeight="1">
      <c r="A655" s="114"/>
      <c r="B655" s="114"/>
      <c r="C655" s="114"/>
      <c r="D655" s="114"/>
      <c r="E655" s="114"/>
      <c r="F655" s="114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4"/>
      <c r="U655" s="114"/>
      <c r="V655" s="114"/>
      <c r="W655" s="114"/>
      <c r="X655" s="114"/>
      <c r="Y655" s="114"/>
      <c r="Z655" s="114"/>
      <c r="AA655" s="114"/>
      <c r="AB655" s="114"/>
      <c r="AC655" s="114"/>
      <c r="AD655" s="114"/>
      <c r="AE655" s="114"/>
    </row>
    <row r="656" ht="12.75" customHeight="1">
      <c r="A656" s="114"/>
      <c r="B656" s="114"/>
      <c r="C656" s="114"/>
      <c r="D656" s="114"/>
      <c r="E656" s="114"/>
      <c r="F656" s="114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4"/>
      <c r="U656" s="114"/>
      <c r="V656" s="114"/>
      <c r="W656" s="114"/>
      <c r="X656" s="114"/>
      <c r="Y656" s="114"/>
      <c r="Z656" s="114"/>
      <c r="AA656" s="114"/>
      <c r="AB656" s="114"/>
      <c r="AC656" s="114"/>
      <c r="AD656" s="114"/>
      <c r="AE656" s="114"/>
    </row>
    <row r="657" ht="12.75" customHeight="1">
      <c r="A657" s="114"/>
      <c r="B657" s="114"/>
      <c r="C657" s="114"/>
      <c r="D657" s="114"/>
      <c r="E657" s="114"/>
      <c r="F657" s="114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4"/>
      <c r="U657" s="114"/>
      <c r="V657" s="114"/>
      <c r="W657" s="114"/>
      <c r="X657" s="114"/>
      <c r="Y657" s="114"/>
      <c r="Z657" s="114"/>
      <c r="AA657" s="114"/>
      <c r="AB657" s="114"/>
      <c r="AC657" s="114"/>
      <c r="AD657" s="114"/>
      <c r="AE657" s="114"/>
    </row>
    <row r="658" ht="12.75" customHeight="1">
      <c r="A658" s="114"/>
      <c r="B658" s="114"/>
      <c r="C658" s="114"/>
      <c r="D658" s="114"/>
      <c r="E658" s="114"/>
      <c r="F658" s="114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4"/>
      <c r="U658" s="114"/>
      <c r="V658" s="114"/>
      <c r="W658" s="114"/>
      <c r="X658" s="114"/>
      <c r="Y658" s="114"/>
      <c r="Z658" s="114"/>
      <c r="AA658" s="114"/>
      <c r="AB658" s="114"/>
      <c r="AC658" s="114"/>
      <c r="AD658" s="114"/>
      <c r="AE658" s="114"/>
    </row>
    <row r="659" ht="12.75" customHeight="1">
      <c r="A659" s="114"/>
      <c r="B659" s="114"/>
      <c r="C659" s="114"/>
      <c r="D659" s="114"/>
      <c r="E659" s="114"/>
      <c r="F659" s="114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4"/>
      <c r="U659" s="114"/>
      <c r="V659" s="114"/>
      <c r="W659" s="114"/>
      <c r="X659" s="114"/>
      <c r="Y659" s="114"/>
      <c r="Z659" s="114"/>
      <c r="AA659" s="114"/>
      <c r="AB659" s="114"/>
      <c r="AC659" s="114"/>
      <c r="AD659" s="114"/>
      <c r="AE659" s="114"/>
    </row>
    <row r="660" ht="12.75" customHeight="1">
      <c r="A660" s="114"/>
      <c r="B660" s="114"/>
      <c r="C660" s="114"/>
      <c r="D660" s="114"/>
      <c r="E660" s="114"/>
      <c r="F660" s="114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4"/>
      <c r="U660" s="114"/>
      <c r="V660" s="114"/>
      <c r="W660" s="114"/>
      <c r="X660" s="114"/>
      <c r="Y660" s="114"/>
      <c r="Z660" s="114"/>
      <c r="AA660" s="114"/>
      <c r="AB660" s="114"/>
      <c r="AC660" s="114"/>
      <c r="AD660" s="114"/>
      <c r="AE660" s="114"/>
    </row>
    <row r="661" ht="12.75" customHeight="1">
      <c r="A661" s="114"/>
      <c r="B661" s="114"/>
      <c r="C661" s="114"/>
      <c r="D661" s="114"/>
      <c r="E661" s="114"/>
      <c r="F661" s="114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4"/>
      <c r="U661" s="114"/>
      <c r="V661" s="114"/>
      <c r="W661" s="114"/>
      <c r="X661" s="114"/>
      <c r="Y661" s="114"/>
      <c r="Z661" s="114"/>
      <c r="AA661" s="114"/>
      <c r="AB661" s="114"/>
      <c r="AC661" s="114"/>
      <c r="AD661" s="114"/>
      <c r="AE661" s="114"/>
    </row>
    <row r="662" ht="12.75" customHeight="1">
      <c r="A662" s="114"/>
      <c r="B662" s="114"/>
      <c r="C662" s="114"/>
      <c r="D662" s="114"/>
      <c r="E662" s="114"/>
      <c r="F662" s="114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4"/>
      <c r="U662" s="114"/>
      <c r="V662" s="114"/>
      <c r="W662" s="114"/>
      <c r="X662" s="114"/>
      <c r="Y662" s="114"/>
      <c r="Z662" s="114"/>
      <c r="AA662" s="114"/>
      <c r="AB662" s="114"/>
      <c r="AC662" s="114"/>
      <c r="AD662" s="114"/>
      <c r="AE662" s="114"/>
    </row>
    <row r="663" ht="12.75" customHeight="1">
      <c r="A663" s="114"/>
      <c r="B663" s="114"/>
      <c r="C663" s="114"/>
      <c r="D663" s="114"/>
      <c r="E663" s="114"/>
      <c r="F663" s="114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4"/>
      <c r="U663" s="114"/>
      <c r="V663" s="114"/>
      <c r="W663" s="114"/>
      <c r="X663" s="114"/>
      <c r="Y663" s="114"/>
      <c r="Z663" s="114"/>
      <c r="AA663" s="114"/>
      <c r="AB663" s="114"/>
      <c r="AC663" s="114"/>
      <c r="AD663" s="114"/>
      <c r="AE663" s="114"/>
    </row>
    <row r="664" ht="12.75" customHeight="1">
      <c r="A664" s="114"/>
      <c r="B664" s="114"/>
      <c r="C664" s="114"/>
      <c r="D664" s="114"/>
      <c r="E664" s="114"/>
      <c r="F664" s="114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4"/>
      <c r="U664" s="114"/>
      <c r="V664" s="114"/>
      <c r="W664" s="114"/>
      <c r="X664" s="114"/>
      <c r="Y664" s="114"/>
      <c r="Z664" s="114"/>
      <c r="AA664" s="114"/>
      <c r="AB664" s="114"/>
      <c r="AC664" s="114"/>
      <c r="AD664" s="114"/>
      <c r="AE664" s="114"/>
    </row>
    <row r="665" ht="12.75" customHeight="1">
      <c r="A665" s="114"/>
      <c r="B665" s="114"/>
      <c r="C665" s="114"/>
      <c r="D665" s="114"/>
      <c r="E665" s="114"/>
      <c r="F665" s="114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4"/>
      <c r="U665" s="114"/>
      <c r="V665" s="114"/>
      <c r="W665" s="114"/>
      <c r="X665" s="114"/>
      <c r="Y665" s="114"/>
      <c r="Z665" s="114"/>
      <c r="AA665" s="114"/>
      <c r="AB665" s="114"/>
      <c r="AC665" s="114"/>
      <c r="AD665" s="114"/>
      <c r="AE665" s="114"/>
    </row>
    <row r="666" ht="12.75" customHeight="1">
      <c r="A666" s="114"/>
      <c r="B666" s="114"/>
      <c r="C666" s="114"/>
      <c r="D666" s="114"/>
      <c r="E666" s="114"/>
      <c r="F666" s="114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114"/>
      <c r="AD666" s="114"/>
      <c r="AE666" s="114"/>
    </row>
    <row r="667" ht="12.75" customHeight="1">
      <c r="A667" s="114"/>
      <c r="B667" s="114"/>
      <c r="C667" s="114"/>
      <c r="D667" s="114"/>
      <c r="E667" s="114"/>
      <c r="F667" s="114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4"/>
      <c r="U667" s="114"/>
      <c r="V667" s="114"/>
      <c r="W667" s="114"/>
      <c r="X667" s="114"/>
      <c r="Y667" s="114"/>
      <c r="Z667" s="114"/>
      <c r="AA667" s="114"/>
      <c r="AB667" s="114"/>
      <c r="AC667" s="114"/>
      <c r="AD667" s="114"/>
      <c r="AE667" s="114"/>
    </row>
    <row r="668" ht="12.75" customHeight="1">
      <c r="A668" s="114"/>
      <c r="B668" s="114"/>
      <c r="C668" s="114"/>
      <c r="D668" s="114"/>
      <c r="E668" s="114"/>
      <c r="F668" s="114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4"/>
      <c r="U668" s="114"/>
      <c r="V668" s="114"/>
      <c r="W668" s="114"/>
      <c r="X668" s="114"/>
      <c r="Y668" s="114"/>
      <c r="Z668" s="114"/>
      <c r="AA668" s="114"/>
      <c r="AB668" s="114"/>
      <c r="AC668" s="114"/>
      <c r="AD668" s="114"/>
      <c r="AE668" s="114"/>
    </row>
    <row r="669" ht="12.75" customHeight="1">
      <c r="A669" s="114"/>
      <c r="B669" s="114"/>
      <c r="C669" s="114"/>
      <c r="D669" s="114"/>
      <c r="E669" s="114"/>
      <c r="F669" s="114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4"/>
      <c r="U669" s="114"/>
      <c r="V669" s="114"/>
      <c r="W669" s="114"/>
      <c r="X669" s="114"/>
      <c r="Y669" s="114"/>
      <c r="Z669" s="114"/>
      <c r="AA669" s="114"/>
      <c r="AB669" s="114"/>
      <c r="AC669" s="114"/>
      <c r="AD669" s="114"/>
      <c r="AE669" s="114"/>
    </row>
    <row r="670" ht="12.75" customHeight="1">
      <c r="A670" s="114"/>
      <c r="B670" s="114"/>
      <c r="C670" s="114"/>
      <c r="D670" s="114"/>
      <c r="E670" s="114"/>
      <c r="F670" s="114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4"/>
      <c r="U670" s="114"/>
      <c r="V670" s="114"/>
      <c r="W670" s="114"/>
      <c r="X670" s="114"/>
      <c r="Y670" s="114"/>
      <c r="Z670" s="114"/>
      <c r="AA670" s="114"/>
      <c r="AB670" s="114"/>
      <c r="AC670" s="114"/>
      <c r="AD670" s="114"/>
      <c r="AE670" s="114"/>
    </row>
    <row r="671" ht="12.75" customHeight="1">
      <c r="A671" s="114"/>
      <c r="B671" s="114"/>
      <c r="C671" s="114"/>
      <c r="D671" s="114"/>
      <c r="E671" s="114"/>
      <c r="F671" s="114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4"/>
      <c r="U671" s="114"/>
      <c r="V671" s="114"/>
      <c r="W671" s="114"/>
      <c r="X671" s="114"/>
      <c r="Y671" s="114"/>
      <c r="Z671" s="114"/>
      <c r="AA671" s="114"/>
      <c r="AB671" s="114"/>
      <c r="AC671" s="114"/>
      <c r="AD671" s="114"/>
      <c r="AE671" s="114"/>
    </row>
    <row r="672" ht="12.75" customHeight="1">
      <c r="A672" s="114"/>
      <c r="B672" s="114"/>
      <c r="C672" s="114"/>
      <c r="D672" s="114"/>
      <c r="E672" s="114"/>
      <c r="F672" s="114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4"/>
      <c r="U672" s="114"/>
      <c r="V672" s="114"/>
      <c r="W672" s="114"/>
      <c r="X672" s="114"/>
      <c r="Y672" s="114"/>
      <c r="Z672" s="114"/>
      <c r="AA672" s="114"/>
      <c r="AB672" s="114"/>
      <c r="AC672" s="114"/>
      <c r="AD672" s="114"/>
      <c r="AE672" s="114"/>
    </row>
    <row r="673" ht="12.75" customHeight="1">
      <c r="A673" s="114"/>
      <c r="B673" s="114"/>
      <c r="C673" s="114"/>
      <c r="D673" s="114"/>
      <c r="E673" s="114"/>
      <c r="F673" s="114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4"/>
      <c r="U673" s="114"/>
      <c r="V673" s="114"/>
      <c r="W673" s="114"/>
      <c r="X673" s="114"/>
      <c r="Y673" s="114"/>
      <c r="Z673" s="114"/>
      <c r="AA673" s="114"/>
      <c r="AB673" s="114"/>
      <c r="AC673" s="114"/>
      <c r="AD673" s="114"/>
      <c r="AE673" s="114"/>
    </row>
    <row r="674" ht="12.75" customHeight="1">
      <c r="A674" s="114"/>
      <c r="B674" s="114"/>
      <c r="C674" s="114"/>
      <c r="D674" s="114"/>
      <c r="E674" s="114"/>
      <c r="F674" s="114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4"/>
      <c r="U674" s="114"/>
      <c r="V674" s="114"/>
      <c r="W674" s="114"/>
      <c r="X674" s="114"/>
      <c r="Y674" s="114"/>
      <c r="Z674" s="114"/>
      <c r="AA674" s="114"/>
      <c r="AB674" s="114"/>
      <c r="AC674" s="114"/>
      <c r="AD674" s="114"/>
      <c r="AE674" s="114"/>
    </row>
    <row r="675" ht="12.75" customHeight="1">
      <c r="A675" s="114"/>
      <c r="B675" s="114"/>
      <c r="C675" s="114"/>
      <c r="D675" s="114"/>
      <c r="E675" s="114"/>
      <c r="F675" s="114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4"/>
      <c r="U675" s="114"/>
      <c r="V675" s="114"/>
      <c r="W675" s="114"/>
      <c r="X675" s="114"/>
      <c r="Y675" s="114"/>
      <c r="Z675" s="114"/>
      <c r="AA675" s="114"/>
      <c r="AB675" s="114"/>
      <c r="AC675" s="114"/>
      <c r="AD675" s="114"/>
      <c r="AE675" s="114"/>
    </row>
    <row r="676" ht="12.75" customHeight="1">
      <c r="A676" s="114"/>
      <c r="B676" s="114"/>
      <c r="C676" s="114"/>
      <c r="D676" s="114"/>
      <c r="E676" s="114"/>
      <c r="F676" s="114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4"/>
      <c r="U676" s="114"/>
      <c r="V676" s="114"/>
      <c r="W676" s="114"/>
      <c r="X676" s="114"/>
      <c r="Y676" s="114"/>
      <c r="Z676" s="114"/>
      <c r="AA676" s="114"/>
      <c r="AB676" s="114"/>
      <c r="AC676" s="114"/>
      <c r="AD676" s="114"/>
      <c r="AE676" s="114"/>
    </row>
    <row r="677" ht="12.75" customHeight="1">
      <c r="A677" s="114"/>
      <c r="B677" s="114"/>
      <c r="C677" s="114"/>
      <c r="D677" s="114"/>
      <c r="E677" s="114"/>
      <c r="F677" s="114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4"/>
      <c r="U677" s="114"/>
      <c r="V677" s="114"/>
      <c r="W677" s="114"/>
      <c r="X677" s="114"/>
      <c r="Y677" s="114"/>
      <c r="Z677" s="114"/>
      <c r="AA677" s="114"/>
      <c r="AB677" s="114"/>
      <c r="AC677" s="114"/>
      <c r="AD677" s="114"/>
      <c r="AE677" s="114"/>
    </row>
    <row r="678" ht="12.75" customHeight="1">
      <c r="A678" s="114"/>
      <c r="B678" s="114"/>
      <c r="C678" s="114"/>
      <c r="D678" s="114"/>
      <c r="E678" s="114"/>
      <c r="F678" s="114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4"/>
      <c r="U678" s="114"/>
      <c r="V678" s="114"/>
      <c r="W678" s="114"/>
      <c r="X678" s="114"/>
      <c r="Y678" s="114"/>
      <c r="Z678" s="114"/>
      <c r="AA678" s="114"/>
      <c r="AB678" s="114"/>
      <c r="AC678" s="114"/>
      <c r="AD678" s="114"/>
      <c r="AE678" s="114"/>
    </row>
    <row r="679" ht="12.75" customHeight="1">
      <c r="A679" s="114"/>
      <c r="B679" s="114"/>
      <c r="C679" s="114"/>
      <c r="D679" s="114"/>
      <c r="E679" s="114"/>
      <c r="F679" s="114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4"/>
      <c r="U679" s="114"/>
      <c r="V679" s="114"/>
      <c r="W679" s="114"/>
      <c r="X679" s="114"/>
      <c r="Y679" s="114"/>
      <c r="Z679" s="114"/>
      <c r="AA679" s="114"/>
      <c r="AB679" s="114"/>
      <c r="AC679" s="114"/>
      <c r="AD679" s="114"/>
      <c r="AE679" s="114"/>
    </row>
    <row r="680" ht="12.75" customHeight="1">
      <c r="A680" s="114"/>
      <c r="B680" s="114"/>
      <c r="C680" s="114"/>
      <c r="D680" s="114"/>
      <c r="E680" s="114"/>
      <c r="F680" s="114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4"/>
      <c r="U680" s="114"/>
      <c r="V680" s="114"/>
      <c r="W680" s="114"/>
      <c r="X680" s="114"/>
      <c r="Y680" s="114"/>
      <c r="Z680" s="114"/>
      <c r="AA680" s="114"/>
      <c r="AB680" s="114"/>
      <c r="AC680" s="114"/>
      <c r="AD680" s="114"/>
      <c r="AE680" s="114"/>
    </row>
    <row r="681" ht="12.75" customHeight="1">
      <c r="A681" s="114"/>
      <c r="B681" s="114"/>
      <c r="C681" s="114"/>
      <c r="D681" s="114"/>
      <c r="E681" s="114"/>
      <c r="F681" s="114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4"/>
      <c r="U681" s="114"/>
      <c r="V681" s="114"/>
      <c r="W681" s="114"/>
      <c r="X681" s="114"/>
      <c r="Y681" s="114"/>
      <c r="Z681" s="114"/>
      <c r="AA681" s="114"/>
      <c r="AB681" s="114"/>
      <c r="AC681" s="114"/>
      <c r="AD681" s="114"/>
      <c r="AE681" s="114"/>
    </row>
    <row r="682" ht="12.75" customHeight="1">
      <c r="A682" s="114"/>
      <c r="B682" s="114"/>
      <c r="C682" s="114"/>
      <c r="D682" s="114"/>
      <c r="E682" s="114"/>
      <c r="F682" s="114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4"/>
      <c r="U682" s="114"/>
      <c r="V682" s="114"/>
      <c r="W682" s="114"/>
      <c r="X682" s="114"/>
      <c r="Y682" s="114"/>
      <c r="Z682" s="114"/>
      <c r="AA682" s="114"/>
      <c r="AB682" s="114"/>
      <c r="AC682" s="114"/>
      <c r="AD682" s="114"/>
      <c r="AE682" s="114"/>
    </row>
    <row r="683" ht="12.75" customHeight="1">
      <c r="A683" s="114"/>
      <c r="B683" s="114"/>
      <c r="C683" s="114"/>
      <c r="D683" s="114"/>
      <c r="E683" s="114"/>
      <c r="F683" s="114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4"/>
      <c r="U683" s="114"/>
      <c r="V683" s="114"/>
      <c r="W683" s="114"/>
      <c r="X683" s="114"/>
      <c r="Y683" s="114"/>
      <c r="Z683" s="114"/>
      <c r="AA683" s="114"/>
      <c r="AB683" s="114"/>
      <c r="AC683" s="114"/>
      <c r="AD683" s="114"/>
      <c r="AE683" s="114"/>
    </row>
    <row r="684" ht="12.75" customHeight="1">
      <c r="A684" s="114"/>
      <c r="B684" s="114"/>
      <c r="C684" s="114"/>
      <c r="D684" s="114"/>
      <c r="E684" s="114"/>
      <c r="F684" s="114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4"/>
      <c r="U684" s="114"/>
      <c r="V684" s="114"/>
      <c r="W684" s="114"/>
      <c r="X684" s="114"/>
      <c r="Y684" s="114"/>
      <c r="Z684" s="114"/>
      <c r="AA684" s="114"/>
      <c r="AB684" s="114"/>
      <c r="AC684" s="114"/>
      <c r="AD684" s="114"/>
      <c r="AE684" s="114"/>
    </row>
    <row r="685" ht="12.75" customHeight="1">
      <c r="A685" s="114"/>
      <c r="B685" s="114"/>
      <c r="C685" s="114"/>
      <c r="D685" s="114"/>
      <c r="E685" s="114"/>
      <c r="F685" s="114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4"/>
      <c r="U685" s="114"/>
      <c r="V685" s="114"/>
      <c r="W685" s="114"/>
      <c r="X685" s="114"/>
      <c r="Y685" s="114"/>
      <c r="Z685" s="114"/>
      <c r="AA685" s="114"/>
      <c r="AB685" s="114"/>
      <c r="AC685" s="114"/>
      <c r="AD685" s="114"/>
      <c r="AE685" s="114"/>
    </row>
    <row r="686" ht="12.75" customHeight="1">
      <c r="A686" s="114"/>
      <c r="B686" s="114"/>
      <c r="C686" s="114"/>
      <c r="D686" s="114"/>
      <c r="E686" s="114"/>
      <c r="F686" s="114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114"/>
      <c r="AD686" s="114"/>
      <c r="AE686" s="114"/>
    </row>
    <row r="687" ht="12.75" customHeight="1">
      <c r="A687" s="114"/>
      <c r="B687" s="114"/>
      <c r="C687" s="114"/>
      <c r="D687" s="114"/>
      <c r="E687" s="114"/>
      <c r="F687" s="114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4"/>
      <c r="U687" s="114"/>
      <c r="V687" s="114"/>
      <c r="W687" s="114"/>
      <c r="X687" s="114"/>
      <c r="Y687" s="114"/>
      <c r="Z687" s="114"/>
      <c r="AA687" s="114"/>
      <c r="AB687" s="114"/>
      <c r="AC687" s="114"/>
      <c r="AD687" s="114"/>
      <c r="AE687" s="114"/>
    </row>
    <row r="688" ht="12.75" customHeight="1">
      <c r="A688" s="114"/>
      <c r="B688" s="114"/>
      <c r="C688" s="114"/>
      <c r="D688" s="114"/>
      <c r="E688" s="114"/>
      <c r="F688" s="114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4"/>
      <c r="U688" s="114"/>
      <c r="V688" s="114"/>
      <c r="W688" s="114"/>
      <c r="X688" s="114"/>
      <c r="Y688" s="114"/>
      <c r="Z688" s="114"/>
      <c r="AA688" s="114"/>
      <c r="AB688" s="114"/>
      <c r="AC688" s="114"/>
      <c r="AD688" s="114"/>
      <c r="AE688" s="114"/>
    </row>
    <row r="689" ht="12.75" customHeight="1">
      <c r="A689" s="114"/>
      <c r="B689" s="114"/>
      <c r="C689" s="114"/>
      <c r="D689" s="114"/>
      <c r="E689" s="114"/>
      <c r="F689" s="114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4"/>
      <c r="U689" s="114"/>
      <c r="V689" s="114"/>
      <c r="W689" s="114"/>
      <c r="X689" s="114"/>
      <c r="Y689" s="114"/>
      <c r="Z689" s="114"/>
      <c r="AA689" s="114"/>
      <c r="AB689" s="114"/>
      <c r="AC689" s="114"/>
      <c r="AD689" s="114"/>
      <c r="AE689" s="114"/>
    </row>
    <row r="690" ht="12.75" customHeight="1">
      <c r="A690" s="114"/>
      <c r="B690" s="114"/>
      <c r="C690" s="114"/>
      <c r="D690" s="114"/>
      <c r="E690" s="114"/>
      <c r="F690" s="114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4"/>
      <c r="U690" s="114"/>
      <c r="V690" s="114"/>
      <c r="W690" s="114"/>
      <c r="X690" s="114"/>
      <c r="Y690" s="114"/>
      <c r="Z690" s="114"/>
      <c r="AA690" s="114"/>
      <c r="AB690" s="114"/>
      <c r="AC690" s="114"/>
      <c r="AD690" s="114"/>
      <c r="AE690" s="114"/>
    </row>
    <row r="691" ht="12.75" customHeight="1">
      <c r="A691" s="114"/>
      <c r="B691" s="114"/>
      <c r="C691" s="114"/>
      <c r="D691" s="114"/>
      <c r="E691" s="114"/>
      <c r="F691" s="114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4"/>
      <c r="U691" s="114"/>
      <c r="V691" s="114"/>
      <c r="W691" s="114"/>
      <c r="X691" s="114"/>
      <c r="Y691" s="114"/>
      <c r="Z691" s="114"/>
      <c r="AA691" s="114"/>
      <c r="AB691" s="114"/>
      <c r="AC691" s="114"/>
      <c r="AD691" s="114"/>
      <c r="AE691" s="114"/>
    </row>
    <row r="692" ht="12.75" customHeight="1">
      <c r="A692" s="114"/>
      <c r="B692" s="114"/>
      <c r="C692" s="114"/>
      <c r="D692" s="114"/>
      <c r="E692" s="114"/>
      <c r="F692" s="114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4"/>
      <c r="U692" s="114"/>
      <c r="V692" s="114"/>
      <c r="W692" s="114"/>
      <c r="X692" s="114"/>
      <c r="Y692" s="114"/>
      <c r="Z692" s="114"/>
      <c r="AA692" s="114"/>
      <c r="AB692" s="114"/>
      <c r="AC692" s="114"/>
      <c r="AD692" s="114"/>
      <c r="AE692" s="114"/>
    </row>
    <row r="693" ht="12.75" customHeight="1">
      <c r="A693" s="114"/>
      <c r="B693" s="114"/>
      <c r="C693" s="114"/>
      <c r="D693" s="114"/>
      <c r="E693" s="114"/>
      <c r="F693" s="114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4"/>
      <c r="U693" s="114"/>
      <c r="V693" s="114"/>
      <c r="W693" s="114"/>
      <c r="X693" s="114"/>
      <c r="Y693" s="114"/>
      <c r="Z693" s="114"/>
      <c r="AA693" s="114"/>
      <c r="AB693" s="114"/>
      <c r="AC693" s="114"/>
      <c r="AD693" s="114"/>
      <c r="AE693" s="114"/>
    </row>
    <row r="694" ht="12.75" customHeight="1">
      <c r="A694" s="114"/>
      <c r="B694" s="114"/>
      <c r="C694" s="114"/>
      <c r="D694" s="114"/>
      <c r="E694" s="114"/>
      <c r="F694" s="114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4"/>
      <c r="U694" s="114"/>
      <c r="V694" s="114"/>
      <c r="W694" s="114"/>
      <c r="X694" s="114"/>
      <c r="Y694" s="114"/>
      <c r="Z694" s="114"/>
      <c r="AA694" s="114"/>
      <c r="AB694" s="114"/>
      <c r="AC694" s="114"/>
      <c r="AD694" s="114"/>
      <c r="AE694" s="114"/>
    </row>
    <row r="695" ht="12.75" customHeight="1">
      <c r="A695" s="114"/>
      <c r="B695" s="114"/>
      <c r="C695" s="114"/>
      <c r="D695" s="114"/>
      <c r="E695" s="114"/>
      <c r="F695" s="114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4"/>
      <c r="U695" s="114"/>
      <c r="V695" s="114"/>
      <c r="W695" s="114"/>
      <c r="X695" s="114"/>
      <c r="Y695" s="114"/>
      <c r="Z695" s="114"/>
      <c r="AA695" s="114"/>
      <c r="AB695" s="114"/>
      <c r="AC695" s="114"/>
      <c r="AD695" s="114"/>
      <c r="AE695" s="114"/>
    </row>
    <row r="696" ht="12.75" customHeight="1">
      <c r="A696" s="114"/>
      <c r="B696" s="114"/>
      <c r="C696" s="114"/>
      <c r="D696" s="114"/>
      <c r="E696" s="114"/>
      <c r="F696" s="114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4"/>
      <c r="U696" s="114"/>
      <c r="V696" s="114"/>
      <c r="W696" s="114"/>
      <c r="X696" s="114"/>
      <c r="Y696" s="114"/>
      <c r="Z696" s="114"/>
      <c r="AA696" s="114"/>
      <c r="AB696" s="114"/>
      <c r="AC696" s="114"/>
      <c r="AD696" s="114"/>
      <c r="AE696" s="114"/>
    </row>
    <row r="697" ht="12.75" customHeight="1">
      <c r="A697" s="114"/>
      <c r="B697" s="114"/>
      <c r="C697" s="114"/>
      <c r="D697" s="114"/>
      <c r="E697" s="114"/>
      <c r="F697" s="114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4"/>
      <c r="U697" s="114"/>
      <c r="V697" s="114"/>
      <c r="W697" s="114"/>
      <c r="X697" s="114"/>
      <c r="Y697" s="114"/>
      <c r="Z697" s="114"/>
      <c r="AA697" s="114"/>
      <c r="AB697" s="114"/>
      <c r="AC697" s="114"/>
      <c r="AD697" s="114"/>
      <c r="AE697" s="114"/>
    </row>
    <row r="698" ht="12.75" customHeight="1">
      <c r="A698" s="114"/>
      <c r="B698" s="114"/>
      <c r="C698" s="114"/>
      <c r="D698" s="114"/>
      <c r="E698" s="114"/>
      <c r="F698" s="114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4"/>
      <c r="U698" s="114"/>
      <c r="V698" s="114"/>
      <c r="W698" s="114"/>
      <c r="X698" s="114"/>
      <c r="Y698" s="114"/>
      <c r="Z698" s="114"/>
      <c r="AA698" s="114"/>
      <c r="AB698" s="114"/>
      <c r="AC698" s="114"/>
      <c r="AD698" s="114"/>
      <c r="AE698" s="114"/>
    </row>
    <row r="699" ht="12.75" customHeight="1">
      <c r="A699" s="114"/>
      <c r="B699" s="114"/>
      <c r="C699" s="114"/>
      <c r="D699" s="114"/>
      <c r="E699" s="114"/>
      <c r="F699" s="114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4"/>
      <c r="U699" s="114"/>
      <c r="V699" s="114"/>
      <c r="W699" s="114"/>
      <c r="X699" s="114"/>
      <c r="Y699" s="114"/>
      <c r="Z699" s="114"/>
      <c r="AA699" s="114"/>
      <c r="AB699" s="114"/>
      <c r="AC699" s="114"/>
      <c r="AD699" s="114"/>
      <c r="AE699" s="114"/>
    </row>
    <row r="700" ht="12.75" customHeight="1">
      <c r="A700" s="114"/>
      <c r="B700" s="114"/>
      <c r="C700" s="114"/>
      <c r="D700" s="114"/>
      <c r="E700" s="114"/>
      <c r="F700" s="114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4"/>
      <c r="U700" s="114"/>
      <c r="V700" s="114"/>
      <c r="W700" s="114"/>
      <c r="X700" s="114"/>
      <c r="Y700" s="114"/>
      <c r="Z700" s="114"/>
      <c r="AA700" s="114"/>
      <c r="AB700" s="114"/>
      <c r="AC700" s="114"/>
      <c r="AD700" s="114"/>
      <c r="AE700" s="114"/>
    </row>
    <row r="701" ht="12.75" customHeight="1">
      <c r="A701" s="114"/>
      <c r="B701" s="114"/>
      <c r="C701" s="114"/>
      <c r="D701" s="114"/>
      <c r="E701" s="114"/>
      <c r="F701" s="114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4"/>
      <c r="U701" s="114"/>
      <c r="V701" s="114"/>
      <c r="W701" s="114"/>
      <c r="X701" s="114"/>
      <c r="Y701" s="114"/>
      <c r="Z701" s="114"/>
      <c r="AA701" s="114"/>
      <c r="AB701" s="114"/>
      <c r="AC701" s="114"/>
      <c r="AD701" s="114"/>
      <c r="AE701" s="114"/>
    </row>
    <row r="702" ht="12.75" customHeight="1">
      <c r="A702" s="114"/>
      <c r="B702" s="114"/>
      <c r="C702" s="114"/>
      <c r="D702" s="114"/>
      <c r="E702" s="114"/>
      <c r="F702" s="114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4"/>
      <c r="U702" s="114"/>
      <c r="V702" s="114"/>
      <c r="W702" s="114"/>
      <c r="X702" s="114"/>
      <c r="Y702" s="114"/>
      <c r="Z702" s="114"/>
      <c r="AA702" s="114"/>
      <c r="AB702" s="114"/>
      <c r="AC702" s="114"/>
      <c r="AD702" s="114"/>
      <c r="AE702" s="114"/>
    </row>
    <row r="703" ht="12.75" customHeight="1">
      <c r="A703" s="114"/>
      <c r="B703" s="114"/>
      <c r="C703" s="114"/>
      <c r="D703" s="114"/>
      <c r="E703" s="114"/>
      <c r="F703" s="114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4"/>
      <c r="U703" s="114"/>
      <c r="V703" s="114"/>
      <c r="W703" s="114"/>
      <c r="X703" s="114"/>
      <c r="Y703" s="114"/>
      <c r="Z703" s="114"/>
      <c r="AA703" s="114"/>
      <c r="AB703" s="114"/>
      <c r="AC703" s="114"/>
      <c r="AD703" s="114"/>
      <c r="AE703" s="114"/>
    </row>
    <row r="704" ht="12.75" customHeight="1">
      <c r="A704" s="114"/>
      <c r="B704" s="114"/>
      <c r="C704" s="114"/>
      <c r="D704" s="114"/>
      <c r="E704" s="114"/>
      <c r="F704" s="114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4"/>
      <c r="U704" s="114"/>
      <c r="V704" s="114"/>
      <c r="W704" s="114"/>
      <c r="X704" s="114"/>
      <c r="Y704" s="114"/>
      <c r="Z704" s="114"/>
      <c r="AA704" s="114"/>
      <c r="AB704" s="114"/>
      <c r="AC704" s="114"/>
      <c r="AD704" s="114"/>
      <c r="AE704" s="114"/>
    </row>
    <row r="705" ht="12.75" customHeight="1">
      <c r="A705" s="114"/>
      <c r="B705" s="114"/>
      <c r="C705" s="114"/>
      <c r="D705" s="114"/>
      <c r="E705" s="114"/>
      <c r="F705" s="114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4"/>
      <c r="X705" s="114"/>
      <c r="Y705" s="114"/>
      <c r="Z705" s="114"/>
      <c r="AA705" s="114"/>
      <c r="AB705" s="114"/>
      <c r="AC705" s="114"/>
      <c r="AD705" s="114"/>
      <c r="AE705" s="114"/>
    </row>
    <row r="706" ht="12.75" customHeight="1">
      <c r="A706" s="114"/>
      <c r="B706" s="114"/>
      <c r="C706" s="114"/>
      <c r="D706" s="114"/>
      <c r="E706" s="114"/>
      <c r="F706" s="114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4"/>
      <c r="U706" s="114"/>
      <c r="V706" s="114"/>
      <c r="W706" s="114"/>
      <c r="X706" s="114"/>
      <c r="Y706" s="114"/>
      <c r="Z706" s="114"/>
      <c r="AA706" s="114"/>
      <c r="AB706" s="114"/>
      <c r="AC706" s="114"/>
      <c r="AD706" s="114"/>
      <c r="AE706" s="114"/>
    </row>
    <row r="707" ht="12.75" customHeight="1">
      <c r="A707" s="114"/>
      <c r="B707" s="114"/>
      <c r="C707" s="114"/>
      <c r="D707" s="114"/>
      <c r="E707" s="114"/>
      <c r="F707" s="114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4"/>
      <c r="U707" s="114"/>
      <c r="V707" s="114"/>
      <c r="W707" s="114"/>
      <c r="X707" s="114"/>
      <c r="Y707" s="114"/>
      <c r="Z707" s="114"/>
      <c r="AA707" s="114"/>
      <c r="AB707" s="114"/>
      <c r="AC707" s="114"/>
      <c r="AD707" s="114"/>
      <c r="AE707" s="114"/>
    </row>
    <row r="708" ht="12.75" customHeight="1">
      <c r="A708" s="114"/>
      <c r="B708" s="114"/>
      <c r="C708" s="114"/>
      <c r="D708" s="114"/>
      <c r="E708" s="114"/>
      <c r="F708" s="114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4"/>
      <c r="U708" s="114"/>
      <c r="V708" s="114"/>
      <c r="W708" s="114"/>
      <c r="X708" s="114"/>
      <c r="Y708" s="114"/>
      <c r="Z708" s="114"/>
      <c r="AA708" s="114"/>
      <c r="AB708" s="114"/>
      <c r="AC708" s="114"/>
      <c r="AD708" s="114"/>
      <c r="AE708" s="114"/>
    </row>
    <row r="709" ht="12.75" customHeight="1">
      <c r="A709" s="114"/>
      <c r="B709" s="114"/>
      <c r="C709" s="114"/>
      <c r="D709" s="114"/>
      <c r="E709" s="114"/>
      <c r="F709" s="114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4"/>
      <c r="U709" s="114"/>
      <c r="V709" s="114"/>
      <c r="W709" s="114"/>
      <c r="X709" s="114"/>
      <c r="Y709" s="114"/>
      <c r="Z709" s="114"/>
      <c r="AA709" s="114"/>
      <c r="AB709" s="114"/>
      <c r="AC709" s="114"/>
      <c r="AD709" s="114"/>
      <c r="AE709" s="114"/>
    </row>
    <row r="710" ht="12.75" customHeight="1">
      <c r="A710" s="114"/>
      <c r="B710" s="114"/>
      <c r="C710" s="114"/>
      <c r="D710" s="114"/>
      <c r="E710" s="114"/>
      <c r="F710" s="114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4"/>
      <c r="U710" s="114"/>
      <c r="V710" s="114"/>
      <c r="W710" s="114"/>
      <c r="X710" s="114"/>
      <c r="Y710" s="114"/>
      <c r="Z710" s="114"/>
      <c r="AA710" s="114"/>
      <c r="AB710" s="114"/>
      <c r="AC710" s="114"/>
      <c r="AD710" s="114"/>
      <c r="AE710" s="114"/>
    </row>
    <row r="711" ht="12.75" customHeight="1">
      <c r="A711" s="114"/>
      <c r="B711" s="114"/>
      <c r="C711" s="114"/>
      <c r="D711" s="114"/>
      <c r="E711" s="114"/>
      <c r="F711" s="114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4"/>
      <c r="U711" s="114"/>
      <c r="V711" s="114"/>
      <c r="W711" s="114"/>
      <c r="X711" s="114"/>
      <c r="Y711" s="114"/>
      <c r="Z711" s="114"/>
      <c r="AA711" s="114"/>
      <c r="AB711" s="114"/>
      <c r="AC711" s="114"/>
      <c r="AD711" s="114"/>
      <c r="AE711" s="114"/>
    </row>
    <row r="712" ht="12.75" customHeight="1">
      <c r="A712" s="114"/>
      <c r="B712" s="114"/>
      <c r="C712" s="114"/>
      <c r="D712" s="114"/>
      <c r="E712" s="114"/>
      <c r="F712" s="114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4"/>
      <c r="U712" s="114"/>
      <c r="V712" s="114"/>
      <c r="W712" s="114"/>
      <c r="X712" s="114"/>
      <c r="Y712" s="114"/>
      <c r="Z712" s="114"/>
      <c r="AA712" s="114"/>
      <c r="AB712" s="114"/>
      <c r="AC712" s="114"/>
      <c r="AD712" s="114"/>
      <c r="AE712" s="114"/>
    </row>
    <row r="713" ht="12.75" customHeight="1">
      <c r="A713" s="114"/>
      <c r="B713" s="114"/>
      <c r="C713" s="114"/>
      <c r="D713" s="114"/>
      <c r="E713" s="114"/>
      <c r="F713" s="114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4"/>
      <c r="U713" s="114"/>
      <c r="V713" s="114"/>
      <c r="W713" s="114"/>
      <c r="X713" s="114"/>
      <c r="Y713" s="114"/>
      <c r="Z713" s="114"/>
      <c r="AA713" s="114"/>
      <c r="AB713" s="114"/>
      <c r="AC713" s="114"/>
      <c r="AD713" s="114"/>
      <c r="AE713" s="114"/>
    </row>
    <row r="714" ht="12.75" customHeight="1">
      <c r="A714" s="114"/>
      <c r="B714" s="114"/>
      <c r="C714" s="114"/>
      <c r="D714" s="114"/>
      <c r="E714" s="114"/>
      <c r="F714" s="114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4"/>
      <c r="U714" s="114"/>
      <c r="V714" s="114"/>
      <c r="W714" s="114"/>
      <c r="X714" s="114"/>
      <c r="Y714" s="114"/>
      <c r="Z714" s="114"/>
      <c r="AA714" s="114"/>
      <c r="AB714" s="114"/>
      <c r="AC714" s="114"/>
      <c r="AD714" s="114"/>
      <c r="AE714" s="114"/>
    </row>
    <row r="715" ht="12.75" customHeight="1">
      <c r="A715" s="114"/>
      <c r="B715" s="114"/>
      <c r="C715" s="114"/>
      <c r="D715" s="114"/>
      <c r="E715" s="114"/>
      <c r="F715" s="114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4"/>
      <c r="U715" s="114"/>
      <c r="V715" s="114"/>
      <c r="W715" s="114"/>
      <c r="X715" s="114"/>
      <c r="Y715" s="114"/>
      <c r="Z715" s="114"/>
      <c r="AA715" s="114"/>
      <c r="AB715" s="114"/>
      <c r="AC715" s="114"/>
      <c r="AD715" s="114"/>
      <c r="AE715" s="114"/>
    </row>
    <row r="716" ht="12.75" customHeight="1">
      <c r="A716" s="114"/>
      <c r="B716" s="114"/>
      <c r="C716" s="114"/>
      <c r="D716" s="114"/>
      <c r="E716" s="114"/>
      <c r="F716" s="114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4"/>
      <c r="U716" s="114"/>
      <c r="V716" s="114"/>
      <c r="W716" s="114"/>
      <c r="X716" s="114"/>
      <c r="Y716" s="114"/>
      <c r="Z716" s="114"/>
      <c r="AA716" s="114"/>
      <c r="AB716" s="114"/>
      <c r="AC716" s="114"/>
      <c r="AD716" s="114"/>
      <c r="AE716" s="114"/>
    </row>
    <row r="717" ht="12.75" customHeight="1">
      <c r="A717" s="114"/>
      <c r="B717" s="114"/>
      <c r="C717" s="114"/>
      <c r="D717" s="114"/>
      <c r="E717" s="114"/>
      <c r="F717" s="114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4"/>
      <c r="U717" s="114"/>
      <c r="V717" s="114"/>
      <c r="W717" s="114"/>
      <c r="X717" s="114"/>
      <c r="Y717" s="114"/>
      <c r="Z717" s="114"/>
      <c r="AA717" s="114"/>
      <c r="AB717" s="114"/>
      <c r="AC717" s="114"/>
      <c r="AD717" s="114"/>
      <c r="AE717" s="114"/>
    </row>
    <row r="718" ht="12.75" customHeight="1">
      <c r="A718" s="114"/>
      <c r="B718" s="114"/>
      <c r="C718" s="114"/>
      <c r="D718" s="114"/>
      <c r="E718" s="114"/>
      <c r="F718" s="114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4"/>
      <c r="U718" s="114"/>
      <c r="V718" s="114"/>
      <c r="W718" s="114"/>
      <c r="X718" s="114"/>
      <c r="Y718" s="114"/>
      <c r="Z718" s="114"/>
      <c r="AA718" s="114"/>
      <c r="AB718" s="114"/>
      <c r="AC718" s="114"/>
      <c r="AD718" s="114"/>
      <c r="AE718" s="114"/>
    </row>
    <row r="719" ht="12.75" customHeight="1">
      <c r="A719" s="114"/>
      <c r="B719" s="114"/>
      <c r="C719" s="114"/>
      <c r="D719" s="114"/>
      <c r="E719" s="114"/>
      <c r="F719" s="114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4"/>
      <c r="U719" s="114"/>
      <c r="V719" s="114"/>
      <c r="W719" s="114"/>
      <c r="X719" s="114"/>
      <c r="Y719" s="114"/>
      <c r="Z719" s="114"/>
      <c r="AA719" s="114"/>
      <c r="AB719" s="114"/>
      <c r="AC719" s="114"/>
      <c r="AD719" s="114"/>
      <c r="AE719" s="114"/>
    </row>
    <row r="720" ht="12.75" customHeight="1">
      <c r="A720" s="114"/>
      <c r="B720" s="114"/>
      <c r="C720" s="114"/>
      <c r="D720" s="114"/>
      <c r="E720" s="114"/>
      <c r="F720" s="114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4"/>
      <c r="U720" s="114"/>
      <c r="V720" s="114"/>
      <c r="W720" s="114"/>
      <c r="X720" s="114"/>
      <c r="Y720" s="114"/>
      <c r="Z720" s="114"/>
      <c r="AA720" s="114"/>
      <c r="AB720" s="114"/>
      <c r="AC720" s="114"/>
      <c r="AD720" s="114"/>
      <c r="AE720" s="114"/>
    </row>
    <row r="721" ht="12.75" customHeight="1">
      <c r="A721" s="114"/>
      <c r="B721" s="114"/>
      <c r="C721" s="114"/>
      <c r="D721" s="114"/>
      <c r="E721" s="114"/>
      <c r="F721" s="114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4"/>
      <c r="U721" s="114"/>
      <c r="V721" s="114"/>
      <c r="W721" s="114"/>
      <c r="X721" s="114"/>
      <c r="Y721" s="114"/>
      <c r="Z721" s="114"/>
      <c r="AA721" s="114"/>
      <c r="AB721" s="114"/>
      <c r="AC721" s="114"/>
      <c r="AD721" s="114"/>
      <c r="AE721" s="114"/>
    </row>
    <row r="722" ht="12.75" customHeight="1">
      <c r="A722" s="114"/>
      <c r="B722" s="114"/>
      <c r="C722" s="114"/>
      <c r="D722" s="114"/>
      <c r="E722" s="114"/>
      <c r="F722" s="114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4"/>
      <c r="U722" s="114"/>
      <c r="V722" s="114"/>
      <c r="W722" s="114"/>
      <c r="X722" s="114"/>
      <c r="Y722" s="114"/>
      <c r="Z722" s="114"/>
      <c r="AA722" s="114"/>
      <c r="AB722" s="114"/>
      <c r="AC722" s="114"/>
      <c r="AD722" s="114"/>
      <c r="AE722" s="114"/>
    </row>
    <row r="723" ht="12.75" customHeight="1">
      <c r="A723" s="114"/>
      <c r="B723" s="114"/>
      <c r="C723" s="114"/>
      <c r="D723" s="114"/>
      <c r="E723" s="114"/>
      <c r="F723" s="114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4"/>
      <c r="U723" s="114"/>
      <c r="V723" s="114"/>
      <c r="W723" s="114"/>
      <c r="X723" s="114"/>
      <c r="Y723" s="114"/>
      <c r="Z723" s="114"/>
      <c r="AA723" s="114"/>
      <c r="AB723" s="114"/>
      <c r="AC723" s="114"/>
      <c r="AD723" s="114"/>
      <c r="AE723" s="114"/>
    </row>
    <row r="724" ht="12.75" customHeight="1">
      <c r="A724" s="114"/>
      <c r="B724" s="114"/>
      <c r="C724" s="114"/>
      <c r="D724" s="114"/>
      <c r="E724" s="114"/>
      <c r="F724" s="114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4"/>
      <c r="U724" s="114"/>
      <c r="V724" s="114"/>
      <c r="W724" s="114"/>
      <c r="X724" s="114"/>
      <c r="Y724" s="114"/>
      <c r="Z724" s="114"/>
      <c r="AA724" s="114"/>
      <c r="AB724" s="114"/>
      <c r="AC724" s="114"/>
      <c r="AD724" s="114"/>
      <c r="AE724" s="114"/>
    </row>
    <row r="725" ht="12.75" customHeight="1">
      <c r="A725" s="114"/>
      <c r="B725" s="114"/>
      <c r="C725" s="114"/>
      <c r="D725" s="114"/>
      <c r="E725" s="114"/>
      <c r="F725" s="114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4"/>
      <c r="U725" s="114"/>
      <c r="V725" s="114"/>
      <c r="W725" s="114"/>
      <c r="X725" s="114"/>
      <c r="Y725" s="114"/>
      <c r="Z725" s="114"/>
      <c r="AA725" s="114"/>
      <c r="AB725" s="114"/>
      <c r="AC725" s="114"/>
      <c r="AD725" s="114"/>
      <c r="AE725" s="114"/>
    </row>
    <row r="726" ht="12.75" customHeight="1">
      <c r="A726" s="114"/>
      <c r="B726" s="114"/>
      <c r="C726" s="114"/>
      <c r="D726" s="114"/>
      <c r="E726" s="114"/>
      <c r="F726" s="114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4"/>
      <c r="U726" s="114"/>
      <c r="V726" s="114"/>
      <c r="W726" s="114"/>
      <c r="X726" s="114"/>
      <c r="Y726" s="114"/>
      <c r="Z726" s="114"/>
      <c r="AA726" s="114"/>
      <c r="AB726" s="114"/>
      <c r="AC726" s="114"/>
      <c r="AD726" s="114"/>
      <c r="AE726" s="114"/>
    </row>
    <row r="727" ht="12.75" customHeight="1">
      <c r="A727" s="114"/>
      <c r="B727" s="114"/>
      <c r="C727" s="114"/>
      <c r="D727" s="114"/>
      <c r="E727" s="114"/>
      <c r="F727" s="114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4"/>
      <c r="U727" s="114"/>
      <c r="V727" s="114"/>
      <c r="W727" s="114"/>
      <c r="X727" s="114"/>
      <c r="Y727" s="114"/>
      <c r="Z727" s="114"/>
      <c r="AA727" s="114"/>
      <c r="AB727" s="114"/>
      <c r="AC727" s="114"/>
      <c r="AD727" s="114"/>
      <c r="AE727" s="114"/>
    </row>
    <row r="728" ht="12.75" customHeight="1">
      <c r="A728" s="114"/>
      <c r="B728" s="114"/>
      <c r="C728" s="114"/>
      <c r="D728" s="114"/>
      <c r="E728" s="114"/>
      <c r="F728" s="114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4"/>
      <c r="U728" s="114"/>
      <c r="V728" s="114"/>
      <c r="W728" s="114"/>
      <c r="X728" s="114"/>
      <c r="Y728" s="114"/>
      <c r="Z728" s="114"/>
      <c r="AA728" s="114"/>
      <c r="AB728" s="114"/>
      <c r="AC728" s="114"/>
      <c r="AD728" s="114"/>
      <c r="AE728" s="114"/>
    </row>
    <row r="729" ht="12.75" customHeight="1">
      <c r="A729" s="114"/>
      <c r="B729" s="114"/>
      <c r="C729" s="114"/>
      <c r="D729" s="114"/>
      <c r="E729" s="114"/>
      <c r="F729" s="114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4"/>
      <c r="U729" s="114"/>
      <c r="V729" s="114"/>
      <c r="W729" s="114"/>
      <c r="X729" s="114"/>
      <c r="Y729" s="114"/>
      <c r="Z729" s="114"/>
      <c r="AA729" s="114"/>
      <c r="AB729" s="114"/>
      <c r="AC729" s="114"/>
      <c r="AD729" s="114"/>
      <c r="AE729" s="114"/>
    </row>
    <row r="730" ht="12.75" customHeight="1">
      <c r="A730" s="114"/>
      <c r="B730" s="114"/>
      <c r="C730" s="114"/>
      <c r="D730" s="114"/>
      <c r="E730" s="114"/>
      <c r="F730" s="114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4"/>
      <c r="U730" s="114"/>
      <c r="V730" s="114"/>
      <c r="W730" s="114"/>
      <c r="X730" s="114"/>
      <c r="Y730" s="114"/>
      <c r="Z730" s="114"/>
      <c r="AA730" s="114"/>
      <c r="AB730" s="114"/>
      <c r="AC730" s="114"/>
      <c r="AD730" s="114"/>
      <c r="AE730" s="114"/>
    </row>
    <row r="731" ht="12.75" customHeight="1">
      <c r="A731" s="114"/>
      <c r="B731" s="114"/>
      <c r="C731" s="114"/>
      <c r="D731" s="114"/>
      <c r="E731" s="114"/>
      <c r="F731" s="114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4"/>
      <c r="U731" s="114"/>
      <c r="V731" s="114"/>
      <c r="W731" s="114"/>
      <c r="X731" s="114"/>
      <c r="Y731" s="114"/>
      <c r="Z731" s="114"/>
      <c r="AA731" s="114"/>
      <c r="AB731" s="114"/>
      <c r="AC731" s="114"/>
      <c r="AD731" s="114"/>
      <c r="AE731" s="114"/>
    </row>
    <row r="732" ht="12.75" customHeight="1">
      <c r="A732" s="114"/>
      <c r="B732" s="114"/>
      <c r="C732" s="114"/>
      <c r="D732" s="114"/>
      <c r="E732" s="114"/>
      <c r="F732" s="114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4"/>
      <c r="U732" s="114"/>
      <c r="V732" s="114"/>
      <c r="W732" s="114"/>
      <c r="X732" s="114"/>
      <c r="Y732" s="114"/>
      <c r="Z732" s="114"/>
      <c r="AA732" s="114"/>
      <c r="AB732" s="114"/>
      <c r="AC732" s="114"/>
      <c r="AD732" s="114"/>
      <c r="AE732" s="114"/>
    </row>
    <row r="733" ht="12.75" customHeight="1">
      <c r="A733" s="114"/>
      <c r="B733" s="114"/>
      <c r="C733" s="114"/>
      <c r="D733" s="114"/>
      <c r="E733" s="114"/>
      <c r="F733" s="114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4"/>
      <c r="U733" s="114"/>
      <c r="V733" s="114"/>
      <c r="W733" s="114"/>
      <c r="X733" s="114"/>
      <c r="Y733" s="114"/>
      <c r="Z733" s="114"/>
      <c r="AA733" s="114"/>
      <c r="AB733" s="114"/>
      <c r="AC733" s="114"/>
      <c r="AD733" s="114"/>
      <c r="AE733" s="114"/>
    </row>
    <row r="734" ht="12.75" customHeight="1">
      <c r="A734" s="114"/>
      <c r="B734" s="114"/>
      <c r="C734" s="114"/>
      <c r="D734" s="114"/>
      <c r="E734" s="114"/>
      <c r="F734" s="114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4"/>
      <c r="U734" s="114"/>
      <c r="V734" s="114"/>
      <c r="W734" s="114"/>
      <c r="X734" s="114"/>
      <c r="Y734" s="114"/>
      <c r="Z734" s="114"/>
      <c r="AA734" s="114"/>
      <c r="AB734" s="114"/>
      <c r="AC734" s="114"/>
      <c r="AD734" s="114"/>
      <c r="AE734" s="114"/>
    </row>
    <row r="735" ht="12.75" customHeight="1">
      <c r="A735" s="114"/>
      <c r="B735" s="114"/>
      <c r="C735" s="114"/>
      <c r="D735" s="114"/>
      <c r="E735" s="114"/>
      <c r="F735" s="114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4"/>
      <c r="U735" s="114"/>
      <c r="V735" s="114"/>
      <c r="W735" s="114"/>
      <c r="X735" s="114"/>
      <c r="Y735" s="114"/>
      <c r="Z735" s="114"/>
      <c r="AA735" s="114"/>
      <c r="AB735" s="114"/>
      <c r="AC735" s="114"/>
      <c r="AD735" s="114"/>
      <c r="AE735" s="114"/>
    </row>
    <row r="736" ht="12.75" customHeight="1">
      <c r="A736" s="114"/>
      <c r="B736" s="114"/>
      <c r="C736" s="114"/>
      <c r="D736" s="114"/>
      <c r="E736" s="114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4"/>
      <c r="U736" s="114"/>
      <c r="V736" s="114"/>
      <c r="W736" s="114"/>
      <c r="X736" s="114"/>
      <c r="Y736" s="114"/>
      <c r="Z736" s="114"/>
      <c r="AA736" s="114"/>
      <c r="AB736" s="114"/>
      <c r="AC736" s="114"/>
      <c r="AD736" s="114"/>
      <c r="AE736" s="114"/>
    </row>
    <row r="737" ht="12.75" customHeight="1">
      <c r="A737" s="114"/>
      <c r="B737" s="114"/>
      <c r="C737" s="114"/>
      <c r="D737" s="114"/>
      <c r="E737" s="114"/>
      <c r="F737" s="114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4"/>
      <c r="U737" s="114"/>
      <c r="V737" s="114"/>
      <c r="W737" s="114"/>
      <c r="X737" s="114"/>
      <c r="Y737" s="114"/>
      <c r="Z737" s="114"/>
      <c r="AA737" s="114"/>
      <c r="AB737" s="114"/>
      <c r="AC737" s="114"/>
      <c r="AD737" s="114"/>
      <c r="AE737" s="114"/>
    </row>
    <row r="738" ht="12.75" customHeight="1">
      <c r="A738" s="114"/>
      <c r="B738" s="114"/>
      <c r="C738" s="114"/>
      <c r="D738" s="114"/>
      <c r="E738" s="114"/>
      <c r="F738" s="114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4"/>
      <c r="U738" s="114"/>
      <c r="V738" s="114"/>
      <c r="W738" s="114"/>
      <c r="X738" s="114"/>
      <c r="Y738" s="114"/>
      <c r="Z738" s="114"/>
      <c r="AA738" s="114"/>
      <c r="AB738" s="114"/>
      <c r="AC738" s="114"/>
      <c r="AD738" s="114"/>
      <c r="AE738" s="114"/>
    </row>
    <row r="739" ht="12.75" customHeight="1">
      <c r="A739" s="114"/>
      <c r="B739" s="114"/>
      <c r="C739" s="114"/>
      <c r="D739" s="114"/>
      <c r="E739" s="114"/>
      <c r="F739" s="114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4"/>
      <c r="U739" s="114"/>
      <c r="V739" s="114"/>
      <c r="W739" s="114"/>
      <c r="X739" s="114"/>
      <c r="Y739" s="114"/>
      <c r="Z739" s="114"/>
      <c r="AA739" s="114"/>
      <c r="AB739" s="114"/>
      <c r="AC739" s="114"/>
      <c r="AD739" s="114"/>
      <c r="AE739" s="114"/>
    </row>
    <row r="740" ht="12.75" customHeight="1">
      <c r="A740" s="114"/>
      <c r="B740" s="114"/>
      <c r="C740" s="114"/>
      <c r="D740" s="114"/>
      <c r="E740" s="114"/>
      <c r="F740" s="114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114"/>
      <c r="AD740" s="114"/>
      <c r="AE740" s="114"/>
    </row>
    <row r="741" ht="12.75" customHeight="1">
      <c r="A741" s="114"/>
      <c r="B741" s="114"/>
      <c r="C741" s="114"/>
      <c r="D741" s="114"/>
      <c r="E741" s="114"/>
      <c r="F741" s="114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4"/>
      <c r="U741" s="114"/>
      <c r="V741" s="114"/>
      <c r="W741" s="114"/>
      <c r="X741" s="114"/>
      <c r="Y741" s="114"/>
      <c r="Z741" s="114"/>
      <c r="AA741" s="114"/>
      <c r="AB741" s="114"/>
      <c r="AC741" s="114"/>
      <c r="AD741" s="114"/>
      <c r="AE741" s="114"/>
    </row>
    <row r="742" ht="12.75" customHeight="1">
      <c r="A742" s="114"/>
      <c r="B742" s="114"/>
      <c r="C742" s="114"/>
      <c r="D742" s="114"/>
      <c r="E742" s="114"/>
      <c r="F742" s="114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4"/>
      <c r="U742" s="114"/>
      <c r="V742" s="114"/>
      <c r="W742" s="114"/>
      <c r="X742" s="114"/>
      <c r="Y742" s="114"/>
      <c r="Z742" s="114"/>
      <c r="AA742" s="114"/>
      <c r="AB742" s="114"/>
      <c r="AC742" s="114"/>
      <c r="AD742" s="114"/>
      <c r="AE742" s="114"/>
    </row>
    <row r="743" ht="12.75" customHeight="1">
      <c r="A743" s="114"/>
      <c r="B743" s="114"/>
      <c r="C743" s="114"/>
      <c r="D743" s="114"/>
      <c r="E743" s="114"/>
      <c r="F743" s="114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4"/>
      <c r="U743" s="114"/>
      <c r="V743" s="114"/>
      <c r="W743" s="114"/>
      <c r="X743" s="114"/>
      <c r="Y743" s="114"/>
      <c r="Z743" s="114"/>
      <c r="AA743" s="114"/>
      <c r="AB743" s="114"/>
      <c r="AC743" s="114"/>
      <c r="AD743" s="114"/>
      <c r="AE743" s="114"/>
    </row>
    <row r="744" ht="12.75" customHeight="1">
      <c r="A744" s="114"/>
      <c r="B744" s="114"/>
      <c r="C744" s="114"/>
      <c r="D744" s="114"/>
      <c r="E744" s="114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4"/>
      <c r="U744" s="114"/>
      <c r="V744" s="114"/>
      <c r="W744" s="114"/>
      <c r="X744" s="114"/>
      <c r="Y744" s="114"/>
      <c r="Z744" s="114"/>
      <c r="AA744" s="114"/>
      <c r="AB744" s="114"/>
      <c r="AC744" s="114"/>
      <c r="AD744" s="114"/>
      <c r="AE744" s="114"/>
    </row>
    <row r="745" ht="12.75" customHeight="1">
      <c r="A745" s="114"/>
      <c r="B745" s="114"/>
      <c r="C745" s="114"/>
      <c r="D745" s="114"/>
      <c r="E745" s="114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4"/>
      <c r="U745" s="114"/>
      <c r="V745" s="114"/>
      <c r="W745" s="114"/>
      <c r="X745" s="114"/>
      <c r="Y745" s="114"/>
      <c r="Z745" s="114"/>
      <c r="AA745" s="114"/>
      <c r="AB745" s="114"/>
      <c r="AC745" s="114"/>
      <c r="AD745" s="114"/>
      <c r="AE745" s="114"/>
    </row>
    <row r="746" ht="12.75" customHeight="1">
      <c r="A746" s="114"/>
      <c r="B746" s="114"/>
      <c r="C746" s="114"/>
      <c r="D746" s="114"/>
      <c r="E746" s="114"/>
      <c r="F746" s="114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4"/>
      <c r="U746" s="114"/>
      <c r="V746" s="114"/>
      <c r="W746" s="114"/>
      <c r="X746" s="114"/>
      <c r="Y746" s="114"/>
      <c r="Z746" s="114"/>
      <c r="AA746" s="114"/>
      <c r="AB746" s="114"/>
      <c r="AC746" s="114"/>
      <c r="AD746" s="114"/>
      <c r="AE746" s="114"/>
    </row>
    <row r="747" ht="12.75" customHeight="1">
      <c r="A747" s="114"/>
      <c r="B747" s="114"/>
      <c r="C747" s="114"/>
      <c r="D747" s="114"/>
      <c r="E747" s="114"/>
      <c r="F747" s="114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4"/>
      <c r="U747" s="114"/>
      <c r="V747" s="114"/>
      <c r="W747" s="114"/>
      <c r="X747" s="114"/>
      <c r="Y747" s="114"/>
      <c r="Z747" s="114"/>
      <c r="AA747" s="114"/>
      <c r="AB747" s="114"/>
      <c r="AC747" s="114"/>
      <c r="AD747" s="114"/>
      <c r="AE747" s="114"/>
    </row>
    <row r="748" ht="12.75" customHeight="1">
      <c r="A748" s="114"/>
      <c r="B748" s="114"/>
      <c r="C748" s="114"/>
      <c r="D748" s="114"/>
      <c r="E748" s="114"/>
      <c r="F748" s="114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4"/>
      <c r="U748" s="114"/>
      <c r="V748" s="114"/>
      <c r="W748" s="114"/>
      <c r="X748" s="114"/>
      <c r="Y748" s="114"/>
      <c r="Z748" s="114"/>
      <c r="AA748" s="114"/>
      <c r="AB748" s="114"/>
      <c r="AC748" s="114"/>
      <c r="AD748" s="114"/>
      <c r="AE748" s="114"/>
    </row>
    <row r="749" ht="12.75" customHeight="1">
      <c r="A749" s="114"/>
      <c r="B749" s="114"/>
      <c r="C749" s="114"/>
      <c r="D749" s="114"/>
      <c r="E749" s="114"/>
      <c r="F749" s="114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4"/>
      <c r="U749" s="114"/>
      <c r="V749" s="114"/>
      <c r="W749" s="114"/>
      <c r="X749" s="114"/>
      <c r="Y749" s="114"/>
      <c r="Z749" s="114"/>
      <c r="AA749" s="114"/>
      <c r="AB749" s="114"/>
      <c r="AC749" s="114"/>
      <c r="AD749" s="114"/>
      <c r="AE749" s="114"/>
    </row>
    <row r="750" ht="12.75" customHeight="1">
      <c r="A750" s="114"/>
      <c r="B750" s="114"/>
      <c r="C750" s="114"/>
      <c r="D750" s="114"/>
      <c r="E750" s="114"/>
      <c r="F750" s="114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4"/>
      <c r="U750" s="114"/>
      <c r="V750" s="114"/>
      <c r="W750" s="114"/>
      <c r="X750" s="114"/>
      <c r="Y750" s="114"/>
      <c r="Z750" s="114"/>
      <c r="AA750" s="114"/>
      <c r="AB750" s="114"/>
      <c r="AC750" s="114"/>
      <c r="AD750" s="114"/>
      <c r="AE750" s="114"/>
    </row>
    <row r="751" ht="12.75" customHeight="1">
      <c r="A751" s="114"/>
      <c r="B751" s="114"/>
      <c r="C751" s="114"/>
      <c r="D751" s="114"/>
      <c r="E751" s="114"/>
      <c r="F751" s="114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4"/>
      <c r="U751" s="114"/>
      <c r="V751" s="114"/>
      <c r="W751" s="114"/>
      <c r="X751" s="114"/>
      <c r="Y751" s="114"/>
      <c r="Z751" s="114"/>
      <c r="AA751" s="114"/>
      <c r="AB751" s="114"/>
      <c r="AC751" s="114"/>
      <c r="AD751" s="114"/>
      <c r="AE751" s="114"/>
    </row>
    <row r="752" ht="12.75" customHeight="1">
      <c r="A752" s="114"/>
      <c r="B752" s="114"/>
      <c r="C752" s="114"/>
      <c r="D752" s="114"/>
      <c r="E752" s="114"/>
      <c r="F752" s="114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4"/>
      <c r="U752" s="114"/>
      <c r="V752" s="114"/>
      <c r="W752" s="114"/>
      <c r="X752" s="114"/>
      <c r="Y752" s="114"/>
      <c r="Z752" s="114"/>
      <c r="AA752" s="114"/>
      <c r="AB752" s="114"/>
      <c r="AC752" s="114"/>
      <c r="AD752" s="114"/>
      <c r="AE752" s="114"/>
    </row>
    <row r="753" ht="12.75" customHeight="1">
      <c r="A753" s="114"/>
      <c r="B753" s="114"/>
      <c r="C753" s="114"/>
      <c r="D753" s="114"/>
      <c r="E753" s="114"/>
      <c r="F753" s="114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4"/>
      <c r="U753" s="114"/>
      <c r="V753" s="114"/>
      <c r="W753" s="114"/>
      <c r="X753" s="114"/>
      <c r="Y753" s="114"/>
      <c r="Z753" s="114"/>
      <c r="AA753" s="114"/>
      <c r="AB753" s="114"/>
      <c r="AC753" s="114"/>
      <c r="AD753" s="114"/>
      <c r="AE753" s="114"/>
    </row>
    <row r="754" ht="12.75" customHeight="1">
      <c r="A754" s="114"/>
      <c r="B754" s="114"/>
      <c r="C754" s="114"/>
      <c r="D754" s="114"/>
      <c r="E754" s="114"/>
      <c r="F754" s="114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4"/>
      <c r="U754" s="114"/>
      <c r="V754" s="114"/>
      <c r="W754" s="114"/>
      <c r="X754" s="114"/>
      <c r="Y754" s="114"/>
      <c r="Z754" s="114"/>
      <c r="AA754" s="114"/>
      <c r="AB754" s="114"/>
      <c r="AC754" s="114"/>
      <c r="AD754" s="114"/>
      <c r="AE754" s="114"/>
    </row>
    <row r="755" ht="12.75" customHeight="1">
      <c r="A755" s="114"/>
      <c r="B755" s="114"/>
      <c r="C755" s="114"/>
      <c r="D755" s="114"/>
      <c r="E755" s="114"/>
      <c r="F755" s="114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4"/>
      <c r="U755" s="114"/>
      <c r="V755" s="114"/>
      <c r="W755" s="114"/>
      <c r="X755" s="114"/>
      <c r="Y755" s="114"/>
      <c r="Z755" s="114"/>
      <c r="AA755" s="114"/>
      <c r="AB755" s="114"/>
      <c r="AC755" s="114"/>
      <c r="AD755" s="114"/>
      <c r="AE755" s="114"/>
    </row>
    <row r="756" ht="12.75" customHeight="1">
      <c r="A756" s="114"/>
      <c r="B756" s="114"/>
      <c r="C756" s="114"/>
      <c r="D756" s="114"/>
      <c r="E756" s="114"/>
      <c r="F756" s="114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4"/>
      <c r="U756" s="114"/>
      <c r="V756" s="114"/>
      <c r="W756" s="114"/>
      <c r="X756" s="114"/>
      <c r="Y756" s="114"/>
      <c r="Z756" s="114"/>
      <c r="AA756" s="114"/>
      <c r="AB756" s="114"/>
      <c r="AC756" s="114"/>
      <c r="AD756" s="114"/>
      <c r="AE756" s="114"/>
    </row>
    <row r="757" ht="12.75" customHeight="1">
      <c r="A757" s="114"/>
      <c r="B757" s="114"/>
      <c r="C757" s="114"/>
      <c r="D757" s="114"/>
      <c r="E757" s="114"/>
      <c r="F757" s="114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4"/>
      <c r="U757" s="114"/>
      <c r="V757" s="114"/>
      <c r="W757" s="114"/>
      <c r="X757" s="114"/>
      <c r="Y757" s="114"/>
      <c r="Z757" s="114"/>
      <c r="AA757" s="114"/>
      <c r="AB757" s="114"/>
      <c r="AC757" s="114"/>
      <c r="AD757" s="114"/>
      <c r="AE757" s="114"/>
    </row>
    <row r="758" ht="12.75" customHeight="1">
      <c r="A758" s="114"/>
      <c r="B758" s="114"/>
      <c r="C758" s="114"/>
      <c r="D758" s="114"/>
      <c r="E758" s="114"/>
      <c r="F758" s="114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4"/>
      <c r="U758" s="114"/>
      <c r="V758" s="114"/>
      <c r="W758" s="114"/>
      <c r="X758" s="114"/>
      <c r="Y758" s="114"/>
      <c r="Z758" s="114"/>
      <c r="AA758" s="114"/>
      <c r="AB758" s="114"/>
      <c r="AC758" s="114"/>
      <c r="AD758" s="114"/>
      <c r="AE758" s="114"/>
    </row>
    <row r="759" ht="12.75" customHeight="1">
      <c r="A759" s="114"/>
      <c r="B759" s="114"/>
      <c r="C759" s="114"/>
      <c r="D759" s="114"/>
      <c r="E759" s="114"/>
      <c r="F759" s="114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4"/>
      <c r="U759" s="114"/>
      <c r="V759" s="114"/>
      <c r="W759" s="114"/>
      <c r="X759" s="114"/>
      <c r="Y759" s="114"/>
      <c r="Z759" s="114"/>
      <c r="AA759" s="114"/>
      <c r="AB759" s="114"/>
      <c r="AC759" s="114"/>
      <c r="AD759" s="114"/>
      <c r="AE759" s="114"/>
    </row>
    <row r="760" ht="12.75" customHeight="1">
      <c r="A760" s="114"/>
      <c r="B760" s="114"/>
      <c r="C760" s="114"/>
      <c r="D760" s="114"/>
      <c r="E760" s="114"/>
      <c r="F760" s="114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114"/>
      <c r="AD760" s="114"/>
      <c r="AE760" s="114"/>
    </row>
    <row r="761" ht="12.75" customHeight="1">
      <c r="A761" s="114"/>
      <c r="B761" s="114"/>
      <c r="C761" s="114"/>
      <c r="D761" s="114"/>
      <c r="E761" s="114"/>
      <c r="F761" s="114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4"/>
      <c r="U761" s="114"/>
      <c r="V761" s="114"/>
      <c r="W761" s="114"/>
      <c r="X761" s="114"/>
      <c r="Y761" s="114"/>
      <c r="Z761" s="114"/>
      <c r="AA761" s="114"/>
      <c r="AB761" s="114"/>
      <c r="AC761" s="114"/>
      <c r="AD761" s="114"/>
      <c r="AE761" s="114"/>
    </row>
    <row r="762" ht="12.75" customHeight="1">
      <c r="A762" s="114"/>
      <c r="B762" s="114"/>
      <c r="C762" s="114"/>
      <c r="D762" s="114"/>
      <c r="E762" s="114"/>
      <c r="F762" s="114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4"/>
      <c r="U762" s="114"/>
      <c r="V762" s="114"/>
      <c r="W762" s="114"/>
      <c r="X762" s="114"/>
      <c r="Y762" s="114"/>
      <c r="Z762" s="114"/>
      <c r="AA762" s="114"/>
      <c r="AB762" s="114"/>
      <c r="AC762" s="114"/>
      <c r="AD762" s="114"/>
      <c r="AE762" s="114"/>
    </row>
    <row r="763" ht="12.75" customHeight="1">
      <c r="A763" s="114"/>
      <c r="B763" s="114"/>
      <c r="C763" s="114"/>
      <c r="D763" s="114"/>
      <c r="E763" s="114"/>
      <c r="F763" s="114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4"/>
      <c r="U763" s="114"/>
      <c r="V763" s="114"/>
      <c r="W763" s="114"/>
      <c r="X763" s="114"/>
      <c r="Y763" s="114"/>
      <c r="Z763" s="114"/>
      <c r="AA763" s="114"/>
      <c r="AB763" s="114"/>
      <c r="AC763" s="114"/>
      <c r="AD763" s="114"/>
      <c r="AE763" s="114"/>
    </row>
    <row r="764" ht="12.75" customHeight="1">
      <c r="A764" s="114"/>
      <c r="B764" s="114"/>
      <c r="C764" s="114"/>
      <c r="D764" s="114"/>
      <c r="E764" s="114"/>
      <c r="F764" s="114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4"/>
      <c r="U764" s="114"/>
      <c r="V764" s="114"/>
      <c r="W764" s="114"/>
      <c r="X764" s="114"/>
      <c r="Y764" s="114"/>
      <c r="Z764" s="114"/>
      <c r="AA764" s="114"/>
      <c r="AB764" s="114"/>
      <c r="AC764" s="114"/>
      <c r="AD764" s="114"/>
      <c r="AE764" s="114"/>
    </row>
    <row r="765" ht="12.75" customHeight="1">
      <c r="A765" s="114"/>
      <c r="B765" s="114"/>
      <c r="C765" s="114"/>
      <c r="D765" s="114"/>
      <c r="E765" s="114"/>
      <c r="F765" s="114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4"/>
      <c r="U765" s="114"/>
      <c r="V765" s="114"/>
      <c r="W765" s="114"/>
      <c r="X765" s="114"/>
      <c r="Y765" s="114"/>
      <c r="Z765" s="114"/>
      <c r="AA765" s="114"/>
      <c r="AB765" s="114"/>
      <c r="AC765" s="114"/>
      <c r="AD765" s="114"/>
      <c r="AE765" s="114"/>
    </row>
    <row r="766" ht="12.75" customHeight="1">
      <c r="A766" s="114"/>
      <c r="B766" s="114"/>
      <c r="C766" s="114"/>
      <c r="D766" s="114"/>
      <c r="E766" s="114"/>
      <c r="F766" s="114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4"/>
      <c r="U766" s="114"/>
      <c r="V766" s="114"/>
      <c r="W766" s="114"/>
      <c r="X766" s="114"/>
      <c r="Y766" s="114"/>
      <c r="Z766" s="114"/>
      <c r="AA766" s="114"/>
      <c r="AB766" s="114"/>
      <c r="AC766" s="114"/>
      <c r="AD766" s="114"/>
      <c r="AE766" s="114"/>
    </row>
    <row r="767" ht="12.75" customHeight="1">
      <c r="A767" s="114"/>
      <c r="B767" s="114"/>
      <c r="C767" s="114"/>
      <c r="D767" s="114"/>
      <c r="E767" s="114"/>
      <c r="F767" s="114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4"/>
      <c r="U767" s="114"/>
      <c r="V767" s="114"/>
      <c r="W767" s="114"/>
      <c r="X767" s="114"/>
      <c r="Y767" s="114"/>
      <c r="Z767" s="114"/>
      <c r="AA767" s="114"/>
      <c r="AB767" s="114"/>
      <c r="AC767" s="114"/>
      <c r="AD767" s="114"/>
      <c r="AE767" s="114"/>
    </row>
    <row r="768" ht="12.75" customHeight="1">
      <c r="A768" s="114"/>
      <c r="B768" s="114"/>
      <c r="C768" s="114"/>
      <c r="D768" s="114"/>
      <c r="E768" s="114"/>
      <c r="F768" s="114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4"/>
      <c r="U768" s="114"/>
      <c r="V768" s="114"/>
      <c r="W768" s="114"/>
      <c r="X768" s="114"/>
      <c r="Y768" s="114"/>
      <c r="Z768" s="114"/>
      <c r="AA768" s="114"/>
      <c r="AB768" s="114"/>
      <c r="AC768" s="114"/>
      <c r="AD768" s="114"/>
      <c r="AE768" s="114"/>
    </row>
    <row r="769" ht="12.75" customHeight="1">
      <c r="A769" s="114"/>
      <c r="B769" s="114"/>
      <c r="C769" s="114"/>
      <c r="D769" s="114"/>
      <c r="E769" s="114"/>
      <c r="F769" s="114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4"/>
      <c r="U769" s="114"/>
      <c r="V769" s="114"/>
      <c r="W769" s="114"/>
      <c r="X769" s="114"/>
      <c r="Y769" s="114"/>
      <c r="Z769" s="114"/>
      <c r="AA769" s="114"/>
      <c r="AB769" s="114"/>
      <c r="AC769" s="114"/>
      <c r="AD769" s="114"/>
      <c r="AE769" s="114"/>
    </row>
    <row r="770" ht="12.75" customHeight="1">
      <c r="A770" s="114"/>
      <c r="B770" s="114"/>
      <c r="C770" s="114"/>
      <c r="D770" s="114"/>
      <c r="E770" s="114"/>
      <c r="F770" s="114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4"/>
      <c r="U770" s="114"/>
      <c r="V770" s="114"/>
      <c r="W770" s="114"/>
      <c r="X770" s="114"/>
      <c r="Y770" s="114"/>
      <c r="Z770" s="114"/>
      <c r="AA770" s="114"/>
      <c r="AB770" s="114"/>
      <c r="AC770" s="114"/>
      <c r="AD770" s="114"/>
      <c r="AE770" s="114"/>
    </row>
    <row r="771" ht="12.75" customHeight="1">
      <c r="A771" s="114"/>
      <c r="B771" s="114"/>
      <c r="C771" s="114"/>
      <c r="D771" s="114"/>
      <c r="E771" s="114"/>
      <c r="F771" s="114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4"/>
      <c r="U771" s="114"/>
      <c r="V771" s="114"/>
      <c r="W771" s="114"/>
      <c r="X771" s="114"/>
      <c r="Y771" s="114"/>
      <c r="Z771" s="114"/>
      <c r="AA771" s="114"/>
      <c r="AB771" s="114"/>
      <c r="AC771" s="114"/>
      <c r="AD771" s="114"/>
      <c r="AE771" s="114"/>
    </row>
    <row r="772" ht="12.75" customHeight="1">
      <c r="A772" s="114"/>
      <c r="B772" s="114"/>
      <c r="C772" s="114"/>
      <c r="D772" s="114"/>
      <c r="E772" s="114"/>
      <c r="F772" s="114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4"/>
      <c r="U772" s="114"/>
      <c r="V772" s="114"/>
      <c r="W772" s="114"/>
      <c r="X772" s="114"/>
      <c r="Y772" s="114"/>
      <c r="Z772" s="114"/>
      <c r="AA772" s="114"/>
      <c r="AB772" s="114"/>
      <c r="AC772" s="114"/>
      <c r="AD772" s="114"/>
      <c r="AE772" s="114"/>
    </row>
    <row r="773" ht="12.75" customHeight="1">
      <c r="A773" s="114"/>
      <c r="B773" s="114"/>
      <c r="C773" s="114"/>
      <c r="D773" s="114"/>
      <c r="E773" s="114"/>
      <c r="F773" s="114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4"/>
      <c r="U773" s="114"/>
      <c r="V773" s="114"/>
      <c r="W773" s="114"/>
      <c r="X773" s="114"/>
      <c r="Y773" s="114"/>
      <c r="Z773" s="114"/>
      <c r="AA773" s="114"/>
      <c r="AB773" s="114"/>
      <c r="AC773" s="114"/>
      <c r="AD773" s="114"/>
      <c r="AE773" s="114"/>
    </row>
    <row r="774" ht="12.75" customHeight="1">
      <c r="A774" s="114"/>
      <c r="B774" s="114"/>
      <c r="C774" s="114"/>
      <c r="D774" s="114"/>
      <c r="E774" s="114"/>
      <c r="F774" s="114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4"/>
      <c r="U774" s="114"/>
      <c r="V774" s="114"/>
      <c r="W774" s="114"/>
      <c r="X774" s="114"/>
      <c r="Y774" s="114"/>
      <c r="Z774" s="114"/>
      <c r="AA774" s="114"/>
      <c r="AB774" s="114"/>
      <c r="AC774" s="114"/>
      <c r="AD774" s="114"/>
      <c r="AE774" s="114"/>
    </row>
    <row r="775" ht="12.75" customHeight="1">
      <c r="A775" s="114"/>
      <c r="B775" s="114"/>
      <c r="C775" s="114"/>
      <c r="D775" s="114"/>
      <c r="E775" s="114"/>
      <c r="F775" s="114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4"/>
      <c r="U775" s="114"/>
      <c r="V775" s="114"/>
      <c r="W775" s="114"/>
      <c r="X775" s="114"/>
      <c r="Y775" s="114"/>
      <c r="Z775" s="114"/>
      <c r="AA775" s="114"/>
      <c r="AB775" s="114"/>
      <c r="AC775" s="114"/>
      <c r="AD775" s="114"/>
      <c r="AE775" s="114"/>
    </row>
    <row r="776" ht="12.75" customHeight="1">
      <c r="A776" s="114"/>
      <c r="B776" s="114"/>
      <c r="C776" s="114"/>
      <c r="D776" s="114"/>
      <c r="E776" s="114"/>
      <c r="F776" s="114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4"/>
      <c r="U776" s="114"/>
      <c r="V776" s="114"/>
      <c r="W776" s="114"/>
      <c r="X776" s="114"/>
      <c r="Y776" s="114"/>
      <c r="Z776" s="114"/>
      <c r="AA776" s="114"/>
      <c r="AB776" s="114"/>
      <c r="AC776" s="114"/>
      <c r="AD776" s="114"/>
      <c r="AE776" s="114"/>
    </row>
    <row r="777" ht="12.75" customHeight="1">
      <c r="A777" s="114"/>
      <c r="B777" s="114"/>
      <c r="C777" s="114"/>
      <c r="D777" s="114"/>
      <c r="E777" s="114"/>
      <c r="F777" s="114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4"/>
      <c r="U777" s="114"/>
      <c r="V777" s="114"/>
      <c r="W777" s="114"/>
      <c r="X777" s="114"/>
      <c r="Y777" s="114"/>
      <c r="Z777" s="114"/>
      <c r="AA777" s="114"/>
      <c r="AB777" s="114"/>
      <c r="AC777" s="114"/>
      <c r="AD777" s="114"/>
      <c r="AE777" s="114"/>
    </row>
    <row r="778" ht="12.75" customHeight="1">
      <c r="A778" s="114"/>
      <c r="B778" s="114"/>
      <c r="C778" s="114"/>
      <c r="D778" s="114"/>
      <c r="E778" s="114"/>
      <c r="F778" s="114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4"/>
      <c r="U778" s="114"/>
      <c r="V778" s="114"/>
      <c r="W778" s="114"/>
      <c r="X778" s="114"/>
      <c r="Y778" s="114"/>
      <c r="Z778" s="114"/>
      <c r="AA778" s="114"/>
      <c r="AB778" s="114"/>
      <c r="AC778" s="114"/>
      <c r="AD778" s="114"/>
      <c r="AE778" s="114"/>
    </row>
    <row r="779" ht="12.75" customHeight="1">
      <c r="A779" s="114"/>
      <c r="B779" s="114"/>
      <c r="C779" s="114"/>
      <c r="D779" s="114"/>
      <c r="E779" s="114"/>
      <c r="F779" s="114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4"/>
      <c r="U779" s="114"/>
      <c r="V779" s="114"/>
      <c r="W779" s="114"/>
      <c r="X779" s="114"/>
      <c r="Y779" s="114"/>
      <c r="Z779" s="114"/>
      <c r="AA779" s="114"/>
      <c r="AB779" s="114"/>
      <c r="AC779" s="114"/>
      <c r="AD779" s="114"/>
      <c r="AE779" s="114"/>
    </row>
    <row r="780" ht="12.75" customHeight="1">
      <c r="A780" s="114"/>
      <c r="B780" s="114"/>
      <c r="C780" s="114"/>
      <c r="D780" s="114"/>
      <c r="E780" s="114"/>
      <c r="F780" s="114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4"/>
      <c r="U780" s="114"/>
      <c r="V780" s="114"/>
      <c r="W780" s="114"/>
      <c r="X780" s="114"/>
      <c r="Y780" s="114"/>
      <c r="Z780" s="114"/>
      <c r="AA780" s="114"/>
      <c r="AB780" s="114"/>
      <c r="AC780" s="114"/>
      <c r="AD780" s="114"/>
      <c r="AE780" s="114"/>
    </row>
    <row r="781" ht="12.75" customHeight="1">
      <c r="A781" s="114"/>
      <c r="B781" s="114"/>
      <c r="C781" s="114"/>
      <c r="D781" s="114"/>
      <c r="E781" s="114"/>
      <c r="F781" s="114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4"/>
      <c r="U781" s="114"/>
      <c r="V781" s="114"/>
      <c r="W781" s="114"/>
      <c r="X781" s="114"/>
      <c r="Y781" s="114"/>
      <c r="Z781" s="114"/>
      <c r="AA781" s="114"/>
      <c r="AB781" s="114"/>
      <c r="AC781" s="114"/>
      <c r="AD781" s="114"/>
      <c r="AE781" s="114"/>
    </row>
    <row r="782" ht="12.75" customHeight="1">
      <c r="A782" s="114"/>
      <c r="B782" s="114"/>
      <c r="C782" s="114"/>
      <c r="D782" s="114"/>
      <c r="E782" s="114"/>
      <c r="F782" s="114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4"/>
      <c r="X782" s="114"/>
      <c r="Y782" s="114"/>
      <c r="Z782" s="114"/>
      <c r="AA782" s="114"/>
      <c r="AB782" s="114"/>
      <c r="AC782" s="114"/>
      <c r="AD782" s="114"/>
      <c r="AE782" s="114"/>
    </row>
    <row r="783" ht="12.75" customHeight="1">
      <c r="A783" s="114"/>
      <c r="B783" s="114"/>
      <c r="C783" s="114"/>
      <c r="D783" s="114"/>
      <c r="E783" s="114"/>
      <c r="F783" s="114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4"/>
      <c r="U783" s="114"/>
      <c r="V783" s="114"/>
      <c r="W783" s="114"/>
      <c r="X783" s="114"/>
      <c r="Y783" s="114"/>
      <c r="Z783" s="114"/>
      <c r="AA783" s="114"/>
      <c r="AB783" s="114"/>
      <c r="AC783" s="114"/>
      <c r="AD783" s="114"/>
      <c r="AE783" s="114"/>
    </row>
    <row r="784" ht="12.75" customHeight="1">
      <c r="A784" s="114"/>
      <c r="B784" s="114"/>
      <c r="C784" s="114"/>
      <c r="D784" s="114"/>
      <c r="E784" s="114"/>
      <c r="F784" s="114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4"/>
      <c r="U784" s="114"/>
      <c r="V784" s="114"/>
      <c r="W784" s="114"/>
      <c r="X784" s="114"/>
      <c r="Y784" s="114"/>
      <c r="Z784" s="114"/>
      <c r="AA784" s="114"/>
      <c r="AB784" s="114"/>
      <c r="AC784" s="114"/>
      <c r="AD784" s="114"/>
      <c r="AE784" s="114"/>
    </row>
    <row r="785" ht="12.75" customHeight="1">
      <c r="A785" s="114"/>
      <c r="B785" s="114"/>
      <c r="C785" s="114"/>
      <c r="D785" s="114"/>
      <c r="E785" s="114"/>
      <c r="F785" s="114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4"/>
      <c r="U785" s="114"/>
      <c r="V785" s="114"/>
      <c r="W785" s="114"/>
      <c r="X785" s="114"/>
      <c r="Y785" s="114"/>
      <c r="Z785" s="114"/>
      <c r="AA785" s="114"/>
      <c r="AB785" s="114"/>
      <c r="AC785" s="114"/>
      <c r="AD785" s="114"/>
      <c r="AE785" s="114"/>
    </row>
    <row r="786" ht="12.75" customHeight="1">
      <c r="A786" s="114"/>
      <c r="B786" s="114"/>
      <c r="C786" s="114"/>
      <c r="D786" s="114"/>
      <c r="E786" s="114"/>
      <c r="F786" s="114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4"/>
      <c r="U786" s="114"/>
      <c r="V786" s="114"/>
      <c r="W786" s="114"/>
      <c r="X786" s="114"/>
      <c r="Y786" s="114"/>
      <c r="Z786" s="114"/>
      <c r="AA786" s="114"/>
      <c r="AB786" s="114"/>
      <c r="AC786" s="114"/>
      <c r="AD786" s="114"/>
      <c r="AE786" s="114"/>
    </row>
    <row r="787" ht="12.75" customHeight="1">
      <c r="A787" s="114"/>
      <c r="B787" s="114"/>
      <c r="C787" s="114"/>
      <c r="D787" s="114"/>
      <c r="E787" s="114"/>
      <c r="F787" s="114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4"/>
      <c r="U787" s="114"/>
      <c r="V787" s="114"/>
      <c r="W787" s="114"/>
      <c r="X787" s="114"/>
      <c r="Y787" s="114"/>
      <c r="Z787" s="114"/>
      <c r="AA787" s="114"/>
      <c r="AB787" s="114"/>
      <c r="AC787" s="114"/>
      <c r="AD787" s="114"/>
      <c r="AE787" s="114"/>
    </row>
    <row r="788" ht="12.75" customHeight="1">
      <c r="A788" s="114"/>
      <c r="B788" s="114"/>
      <c r="C788" s="114"/>
      <c r="D788" s="114"/>
      <c r="E788" s="114"/>
      <c r="F788" s="114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4"/>
      <c r="U788" s="114"/>
      <c r="V788" s="114"/>
      <c r="W788" s="114"/>
      <c r="X788" s="114"/>
      <c r="Y788" s="114"/>
      <c r="Z788" s="114"/>
      <c r="AA788" s="114"/>
      <c r="AB788" s="114"/>
      <c r="AC788" s="114"/>
      <c r="AD788" s="114"/>
      <c r="AE788" s="114"/>
    </row>
    <row r="789" ht="12.75" customHeight="1">
      <c r="A789" s="114"/>
      <c r="B789" s="114"/>
      <c r="C789" s="114"/>
      <c r="D789" s="114"/>
      <c r="E789" s="114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4"/>
      <c r="U789" s="114"/>
      <c r="V789" s="114"/>
      <c r="W789" s="114"/>
      <c r="X789" s="114"/>
      <c r="Y789" s="114"/>
      <c r="Z789" s="114"/>
      <c r="AA789" s="114"/>
      <c r="AB789" s="114"/>
      <c r="AC789" s="114"/>
      <c r="AD789" s="114"/>
      <c r="AE789" s="114"/>
    </row>
    <row r="790" ht="12.75" customHeight="1">
      <c r="A790" s="114"/>
      <c r="B790" s="114"/>
      <c r="C790" s="114"/>
      <c r="D790" s="114"/>
      <c r="E790" s="114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4"/>
      <c r="U790" s="114"/>
      <c r="V790" s="114"/>
      <c r="W790" s="114"/>
      <c r="X790" s="114"/>
      <c r="Y790" s="114"/>
      <c r="Z790" s="114"/>
      <c r="AA790" s="114"/>
      <c r="AB790" s="114"/>
      <c r="AC790" s="114"/>
      <c r="AD790" s="114"/>
      <c r="AE790" s="114"/>
    </row>
    <row r="791" ht="12.75" customHeight="1">
      <c r="A791" s="114"/>
      <c r="B791" s="114"/>
      <c r="C791" s="114"/>
      <c r="D791" s="114"/>
      <c r="E791" s="114"/>
      <c r="F791" s="114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4"/>
      <c r="X791" s="114"/>
      <c r="Y791" s="114"/>
      <c r="Z791" s="114"/>
      <c r="AA791" s="114"/>
      <c r="AB791" s="114"/>
      <c r="AC791" s="114"/>
      <c r="AD791" s="114"/>
      <c r="AE791" s="114"/>
    </row>
    <row r="792" ht="12.75" customHeight="1">
      <c r="A792" s="114"/>
      <c r="B792" s="114"/>
      <c r="C792" s="114"/>
      <c r="D792" s="114"/>
      <c r="E792" s="114"/>
      <c r="F792" s="114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4"/>
      <c r="U792" s="114"/>
      <c r="V792" s="114"/>
      <c r="W792" s="114"/>
      <c r="X792" s="114"/>
      <c r="Y792" s="114"/>
      <c r="Z792" s="114"/>
      <c r="AA792" s="114"/>
      <c r="AB792" s="114"/>
      <c r="AC792" s="114"/>
      <c r="AD792" s="114"/>
      <c r="AE792" s="114"/>
    </row>
    <row r="793" ht="12.75" customHeight="1">
      <c r="A793" s="114"/>
      <c r="B793" s="114"/>
      <c r="C793" s="114"/>
      <c r="D793" s="114"/>
      <c r="E793" s="114"/>
      <c r="F793" s="114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4"/>
      <c r="U793" s="114"/>
      <c r="V793" s="114"/>
      <c r="W793" s="114"/>
      <c r="X793" s="114"/>
      <c r="Y793" s="114"/>
      <c r="Z793" s="114"/>
      <c r="AA793" s="114"/>
      <c r="AB793" s="114"/>
      <c r="AC793" s="114"/>
      <c r="AD793" s="114"/>
      <c r="AE793" s="114"/>
    </row>
    <row r="794" ht="12.75" customHeight="1">
      <c r="A794" s="114"/>
      <c r="B794" s="114"/>
      <c r="C794" s="114"/>
      <c r="D794" s="114"/>
      <c r="E794" s="114"/>
      <c r="F794" s="114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4"/>
      <c r="U794" s="114"/>
      <c r="V794" s="114"/>
      <c r="W794" s="114"/>
      <c r="X794" s="114"/>
      <c r="Y794" s="114"/>
      <c r="Z794" s="114"/>
      <c r="AA794" s="114"/>
      <c r="AB794" s="114"/>
      <c r="AC794" s="114"/>
      <c r="AD794" s="114"/>
      <c r="AE794" s="114"/>
    </row>
    <row r="795" ht="12.75" customHeight="1">
      <c r="A795" s="114"/>
      <c r="B795" s="114"/>
      <c r="C795" s="114"/>
      <c r="D795" s="114"/>
      <c r="E795" s="114"/>
      <c r="F795" s="114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4"/>
      <c r="U795" s="114"/>
      <c r="V795" s="114"/>
      <c r="W795" s="114"/>
      <c r="X795" s="114"/>
      <c r="Y795" s="114"/>
      <c r="Z795" s="114"/>
      <c r="AA795" s="114"/>
      <c r="AB795" s="114"/>
      <c r="AC795" s="114"/>
      <c r="AD795" s="114"/>
      <c r="AE795" s="114"/>
    </row>
    <row r="796" ht="12.75" customHeight="1">
      <c r="A796" s="114"/>
      <c r="B796" s="114"/>
      <c r="C796" s="114"/>
      <c r="D796" s="114"/>
      <c r="E796" s="114"/>
      <c r="F796" s="114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4"/>
      <c r="U796" s="114"/>
      <c r="V796" s="114"/>
      <c r="W796" s="114"/>
      <c r="X796" s="114"/>
      <c r="Y796" s="114"/>
      <c r="Z796" s="114"/>
      <c r="AA796" s="114"/>
      <c r="AB796" s="114"/>
      <c r="AC796" s="114"/>
      <c r="AD796" s="114"/>
      <c r="AE796" s="114"/>
    </row>
    <row r="797" ht="12.75" customHeight="1">
      <c r="A797" s="114"/>
      <c r="B797" s="114"/>
      <c r="C797" s="114"/>
      <c r="D797" s="114"/>
      <c r="E797" s="114"/>
      <c r="F797" s="114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4"/>
      <c r="U797" s="114"/>
      <c r="V797" s="114"/>
      <c r="W797" s="114"/>
      <c r="X797" s="114"/>
      <c r="Y797" s="114"/>
      <c r="Z797" s="114"/>
      <c r="AA797" s="114"/>
      <c r="AB797" s="114"/>
      <c r="AC797" s="114"/>
      <c r="AD797" s="114"/>
      <c r="AE797" s="114"/>
    </row>
    <row r="798" ht="12.75" customHeight="1">
      <c r="A798" s="114"/>
      <c r="B798" s="114"/>
      <c r="C798" s="114"/>
      <c r="D798" s="114"/>
      <c r="E798" s="114"/>
      <c r="F798" s="114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4"/>
      <c r="U798" s="114"/>
      <c r="V798" s="114"/>
      <c r="W798" s="114"/>
      <c r="X798" s="114"/>
      <c r="Y798" s="114"/>
      <c r="Z798" s="114"/>
      <c r="AA798" s="114"/>
      <c r="AB798" s="114"/>
      <c r="AC798" s="114"/>
      <c r="AD798" s="114"/>
      <c r="AE798" s="114"/>
    </row>
    <row r="799" ht="12.75" customHeight="1">
      <c r="A799" s="114"/>
      <c r="B799" s="114"/>
      <c r="C799" s="114"/>
      <c r="D799" s="114"/>
      <c r="E799" s="114"/>
      <c r="F799" s="114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4"/>
      <c r="U799" s="114"/>
      <c r="V799" s="114"/>
      <c r="W799" s="114"/>
      <c r="X799" s="114"/>
      <c r="Y799" s="114"/>
      <c r="Z799" s="114"/>
      <c r="AA799" s="114"/>
      <c r="AB799" s="114"/>
      <c r="AC799" s="114"/>
      <c r="AD799" s="114"/>
      <c r="AE799" s="114"/>
    </row>
    <row r="800" ht="12.75" customHeight="1">
      <c r="A800" s="114"/>
      <c r="B800" s="114"/>
      <c r="C800" s="114"/>
      <c r="D800" s="114"/>
      <c r="E800" s="114"/>
      <c r="F800" s="114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4"/>
      <c r="U800" s="114"/>
      <c r="V800" s="114"/>
      <c r="W800" s="114"/>
      <c r="X800" s="114"/>
      <c r="Y800" s="114"/>
      <c r="Z800" s="114"/>
      <c r="AA800" s="114"/>
      <c r="AB800" s="114"/>
      <c r="AC800" s="114"/>
      <c r="AD800" s="114"/>
      <c r="AE800" s="114"/>
    </row>
    <row r="801" ht="12.75" customHeight="1">
      <c r="A801" s="114"/>
      <c r="B801" s="114"/>
      <c r="C801" s="114"/>
      <c r="D801" s="114"/>
      <c r="E801" s="114"/>
      <c r="F801" s="114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4"/>
      <c r="U801" s="114"/>
      <c r="V801" s="114"/>
      <c r="W801" s="114"/>
      <c r="X801" s="114"/>
      <c r="Y801" s="114"/>
      <c r="Z801" s="114"/>
      <c r="AA801" s="114"/>
      <c r="AB801" s="114"/>
      <c r="AC801" s="114"/>
      <c r="AD801" s="114"/>
      <c r="AE801" s="114"/>
    </row>
    <row r="802" ht="12.75" customHeight="1">
      <c r="A802" s="114"/>
      <c r="B802" s="114"/>
      <c r="C802" s="114"/>
      <c r="D802" s="114"/>
      <c r="E802" s="114"/>
      <c r="F802" s="114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4"/>
      <c r="U802" s="114"/>
      <c r="V802" s="114"/>
      <c r="W802" s="114"/>
      <c r="X802" s="114"/>
      <c r="Y802" s="114"/>
      <c r="Z802" s="114"/>
      <c r="AA802" s="114"/>
      <c r="AB802" s="114"/>
      <c r="AC802" s="114"/>
      <c r="AD802" s="114"/>
      <c r="AE802" s="114"/>
    </row>
    <row r="803" ht="12.75" customHeight="1">
      <c r="A803" s="114"/>
      <c r="B803" s="114"/>
      <c r="C803" s="114"/>
      <c r="D803" s="114"/>
      <c r="E803" s="114"/>
      <c r="F803" s="114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4"/>
      <c r="U803" s="114"/>
      <c r="V803" s="114"/>
      <c r="W803" s="114"/>
      <c r="X803" s="114"/>
      <c r="Y803" s="114"/>
      <c r="Z803" s="114"/>
      <c r="AA803" s="114"/>
      <c r="AB803" s="114"/>
      <c r="AC803" s="114"/>
      <c r="AD803" s="114"/>
      <c r="AE803" s="114"/>
    </row>
    <row r="804" ht="12.75" customHeight="1">
      <c r="A804" s="114"/>
      <c r="B804" s="114"/>
      <c r="C804" s="114"/>
      <c r="D804" s="114"/>
      <c r="E804" s="114"/>
      <c r="F804" s="114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4"/>
      <c r="U804" s="114"/>
      <c r="V804" s="114"/>
      <c r="W804" s="114"/>
      <c r="X804" s="114"/>
      <c r="Y804" s="114"/>
      <c r="Z804" s="114"/>
      <c r="AA804" s="114"/>
      <c r="AB804" s="114"/>
      <c r="AC804" s="114"/>
      <c r="AD804" s="114"/>
      <c r="AE804" s="114"/>
    </row>
    <row r="805" ht="12.75" customHeight="1">
      <c r="A805" s="114"/>
      <c r="B805" s="114"/>
      <c r="C805" s="114"/>
      <c r="D805" s="114"/>
      <c r="E805" s="114"/>
      <c r="F805" s="114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4"/>
      <c r="U805" s="114"/>
      <c r="V805" s="114"/>
      <c r="W805" s="114"/>
      <c r="X805" s="114"/>
      <c r="Y805" s="114"/>
      <c r="Z805" s="114"/>
      <c r="AA805" s="114"/>
      <c r="AB805" s="114"/>
      <c r="AC805" s="114"/>
      <c r="AD805" s="114"/>
      <c r="AE805" s="114"/>
    </row>
    <row r="806" ht="12.75" customHeight="1">
      <c r="A806" s="114"/>
      <c r="B806" s="114"/>
      <c r="C806" s="114"/>
      <c r="D806" s="114"/>
      <c r="E806" s="114"/>
      <c r="F806" s="114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4"/>
      <c r="U806" s="114"/>
      <c r="V806" s="114"/>
      <c r="W806" s="114"/>
      <c r="X806" s="114"/>
      <c r="Y806" s="114"/>
      <c r="Z806" s="114"/>
      <c r="AA806" s="114"/>
      <c r="AB806" s="114"/>
      <c r="AC806" s="114"/>
      <c r="AD806" s="114"/>
      <c r="AE806" s="114"/>
    </row>
    <row r="807" ht="12.75" customHeight="1">
      <c r="A807" s="114"/>
      <c r="B807" s="114"/>
      <c r="C807" s="114"/>
      <c r="D807" s="114"/>
      <c r="E807" s="114"/>
      <c r="F807" s="114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4"/>
      <c r="U807" s="114"/>
      <c r="V807" s="114"/>
      <c r="W807" s="114"/>
      <c r="X807" s="114"/>
      <c r="Y807" s="114"/>
      <c r="Z807" s="114"/>
      <c r="AA807" s="114"/>
      <c r="AB807" s="114"/>
      <c r="AC807" s="114"/>
      <c r="AD807" s="114"/>
      <c r="AE807" s="114"/>
    </row>
    <row r="808" ht="12.75" customHeight="1">
      <c r="A808" s="114"/>
      <c r="B808" s="114"/>
      <c r="C808" s="114"/>
      <c r="D808" s="114"/>
      <c r="E808" s="114"/>
      <c r="F808" s="114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4"/>
      <c r="U808" s="114"/>
      <c r="V808" s="114"/>
      <c r="W808" s="114"/>
      <c r="X808" s="114"/>
      <c r="Y808" s="114"/>
      <c r="Z808" s="114"/>
      <c r="AA808" s="114"/>
      <c r="AB808" s="114"/>
      <c r="AC808" s="114"/>
      <c r="AD808" s="114"/>
      <c r="AE808" s="114"/>
    </row>
    <row r="809" ht="12.75" customHeight="1">
      <c r="A809" s="114"/>
      <c r="B809" s="114"/>
      <c r="C809" s="114"/>
      <c r="D809" s="114"/>
      <c r="E809" s="114"/>
      <c r="F809" s="114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4"/>
      <c r="U809" s="114"/>
      <c r="V809" s="114"/>
      <c r="W809" s="114"/>
      <c r="X809" s="114"/>
      <c r="Y809" s="114"/>
      <c r="Z809" s="114"/>
      <c r="AA809" s="114"/>
      <c r="AB809" s="114"/>
      <c r="AC809" s="114"/>
      <c r="AD809" s="114"/>
      <c r="AE809" s="114"/>
    </row>
    <row r="810" ht="12.75" customHeight="1">
      <c r="A810" s="114"/>
      <c r="B810" s="114"/>
      <c r="C810" s="114"/>
      <c r="D810" s="114"/>
      <c r="E810" s="114"/>
      <c r="F810" s="114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4"/>
      <c r="U810" s="114"/>
      <c r="V810" s="114"/>
      <c r="W810" s="114"/>
      <c r="X810" s="114"/>
      <c r="Y810" s="114"/>
      <c r="Z810" s="114"/>
      <c r="AA810" s="114"/>
      <c r="AB810" s="114"/>
      <c r="AC810" s="114"/>
      <c r="AD810" s="114"/>
      <c r="AE810" s="114"/>
    </row>
    <row r="811" ht="12.75" customHeight="1">
      <c r="A811" s="114"/>
      <c r="B811" s="114"/>
      <c r="C811" s="114"/>
      <c r="D811" s="114"/>
      <c r="E811" s="114"/>
      <c r="F811" s="114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4"/>
      <c r="U811" s="114"/>
      <c r="V811" s="114"/>
      <c r="W811" s="114"/>
      <c r="X811" s="114"/>
      <c r="Y811" s="114"/>
      <c r="Z811" s="114"/>
      <c r="AA811" s="114"/>
      <c r="AB811" s="114"/>
      <c r="AC811" s="114"/>
      <c r="AD811" s="114"/>
      <c r="AE811" s="114"/>
    </row>
    <row r="812" ht="12.75" customHeight="1">
      <c r="A812" s="114"/>
      <c r="B812" s="114"/>
      <c r="C812" s="114"/>
      <c r="D812" s="114"/>
      <c r="E812" s="114"/>
      <c r="F812" s="114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4"/>
      <c r="U812" s="114"/>
      <c r="V812" s="114"/>
      <c r="W812" s="114"/>
      <c r="X812" s="114"/>
      <c r="Y812" s="114"/>
      <c r="Z812" s="114"/>
      <c r="AA812" s="114"/>
      <c r="AB812" s="114"/>
      <c r="AC812" s="114"/>
      <c r="AD812" s="114"/>
      <c r="AE812" s="114"/>
    </row>
    <row r="813" ht="12.75" customHeight="1">
      <c r="A813" s="114"/>
      <c r="B813" s="114"/>
      <c r="C813" s="114"/>
      <c r="D813" s="114"/>
      <c r="E813" s="114"/>
      <c r="F813" s="114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4"/>
      <c r="U813" s="114"/>
      <c r="V813" s="114"/>
      <c r="W813" s="114"/>
      <c r="X813" s="114"/>
      <c r="Y813" s="114"/>
      <c r="Z813" s="114"/>
      <c r="AA813" s="114"/>
      <c r="AB813" s="114"/>
      <c r="AC813" s="114"/>
      <c r="AD813" s="114"/>
      <c r="AE813" s="114"/>
    </row>
    <row r="814" ht="12.75" customHeight="1">
      <c r="A814" s="114"/>
      <c r="B814" s="114"/>
      <c r="C814" s="114"/>
      <c r="D814" s="114"/>
      <c r="E814" s="114"/>
      <c r="F814" s="114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4"/>
      <c r="U814" s="114"/>
      <c r="V814" s="114"/>
      <c r="W814" s="114"/>
      <c r="X814" s="114"/>
      <c r="Y814" s="114"/>
      <c r="Z814" s="114"/>
      <c r="AA814" s="114"/>
      <c r="AB814" s="114"/>
      <c r="AC814" s="114"/>
      <c r="AD814" s="114"/>
      <c r="AE814" s="114"/>
    </row>
    <row r="815" ht="12.75" customHeight="1">
      <c r="A815" s="114"/>
      <c r="B815" s="114"/>
      <c r="C815" s="114"/>
      <c r="D815" s="114"/>
      <c r="E815" s="114"/>
      <c r="F815" s="114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4"/>
      <c r="U815" s="114"/>
      <c r="V815" s="114"/>
      <c r="W815" s="114"/>
      <c r="X815" s="114"/>
      <c r="Y815" s="114"/>
      <c r="Z815" s="114"/>
      <c r="AA815" s="114"/>
      <c r="AB815" s="114"/>
      <c r="AC815" s="114"/>
      <c r="AD815" s="114"/>
      <c r="AE815" s="114"/>
    </row>
    <row r="816" ht="12.75" customHeight="1">
      <c r="A816" s="114"/>
      <c r="B816" s="114"/>
      <c r="C816" s="114"/>
      <c r="D816" s="114"/>
      <c r="E816" s="114"/>
      <c r="F816" s="114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4"/>
      <c r="U816" s="114"/>
      <c r="V816" s="114"/>
      <c r="W816" s="114"/>
      <c r="X816" s="114"/>
      <c r="Y816" s="114"/>
      <c r="Z816" s="114"/>
      <c r="AA816" s="114"/>
      <c r="AB816" s="114"/>
      <c r="AC816" s="114"/>
      <c r="AD816" s="114"/>
      <c r="AE816" s="114"/>
    </row>
    <row r="817" ht="12.75" customHeight="1">
      <c r="A817" s="114"/>
      <c r="B817" s="114"/>
      <c r="C817" s="114"/>
      <c r="D817" s="114"/>
      <c r="E817" s="114"/>
      <c r="F817" s="114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4"/>
      <c r="U817" s="114"/>
      <c r="V817" s="114"/>
      <c r="W817" s="114"/>
      <c r="X817" s="114"/>
      <c r="Y817" s="114"/>
      <c r="Z817" s="114"/>
      <c r="AA817" s="114"/>
      <c r="AB817" s="114"/>
      <c r="AC817" s="114"/>
      <c r="AD817" s="114"/>
      <c r="AE817" s="114"/>
    </row>
    <row r="818" ht="12.75" customHeight="1">
      <c r="A818" s="114"/>
      <c r="B818" s="114"/>
      <c r="C818" s="114"/>
      <c r="D818" s="114"/>
      <c r="E818" s="114"/>
      <c r="F818" s="114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4"/>
      <c r="U818" s="114"/>
      <c r="V818" s="114"/>
      <c r="W818" s="114"/>
      <c r="X818" s="114"/>
      <c r="Y818" s="114"/>
      <c r="Z818" s="114"/>
      <c r="AA818" s="114"/>
      <c r="AB818" s="114"/>
      <c r="AC818" s="114"/>
      <c r="AD818" s="114"/>
      <c r="AE818" s="114"/>
    </row>
    <row r="819" ht="12.75" customHeight="1">
      <c r="A819" s="114"/>
      <c r="B819" s="114"/>
      <c r="C819" s="114"/>
      <c r="D819" s="114"/>
      <c r="E819" s="114"/>
      <c r="F819" s="114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4"/>
      <c r="U819" s="114"/>
      <c r="V819" s="114"/>
      <c r="W819" s="114"/>
      <c r="X819" s="114"/>
      <c r="Y819" s="114"/>
      <c r="Z819" s="114"/>
      <c r="AA819" s="114"/>
      <c r="AB819" s="114"/>
      <c r="AC819" s="114"/>
      <c r="AD819" s="114"/>
      <c r="AE819" s="114"/>
    </row>
    <row r="820" ht="12.75" customHeight="1">
      <c r="A820" s="114"/>
      <c r="B820" s="114"/>
      <c r="C820" s="114"/>
      <c r="D820" s="114"/>
      <c r="E820" s="114"/>
      <c r="F820" s="114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4"/>
      <c r="U820" s="114"/>
      <c r="V820" s="114"/>
      <c r="W820" s="114"/>
      <c r="X820" s="114"/>
      <c r="Y820" s="114"/>
      <c r="Z820" s="114"/>
      <c r="AA820" s="114"/>
      <c r="AB820" s="114"/>
      <c r="AC820" s="114"/>
      <c r="AD820" s="114"/>
      <c r="AE820" s="114"/>
    </row>
    <row r="821" ht="12.75" customHeight="1">
      <c r="A821" s="114"/>
      <c r="B821" s="114"/>
      <c r="C821" s="114"/>
      <c r="D821" s="114"/>
      <c r="E821" s="114"/>
      <c r="F821" s="114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4"/>
      <c r="X821" s="114"/>
      <c r="Y821" s="114"/>
      <c r="Z821" s="114"/>
      <c r="AA821" s="114"/>
      <c r="AB821" s="114"/>
      <c r="AC821" s="114"/>
      <c r="AD821" s="114"/>
      <c r="AE821" s="114"/>
    </row>
    <row r="822" ht="12.75" customHeight="1">
      <c r="A822" s="114"/>
      <c r="B822" s="114"/>
      <c r="C822" s="114"/>
      <c r="D822" s="114"/>
      <c r="E822" s="114"/>
      <c r="F822" s="114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4"/>
      <c r="U822" s="114"/>
      <c r="V822" s="114"/>
      <c r="W822" s="114"/>
      <c r="X822" s="114"/>
      <c r="Y822" s="114"/>
      <c r="Z822" s="114"/>
      <c r="AA822" s="114"/>
      <c r="AB822" s="114"/>
      <c r="AC822" s="114"/>
      <c r="AD822" s="114"/>
      <c r="AE822" s="114"/>
    </row>
    <row r="823" ht="12.75" customHeight="1">
      <c r="A823" s="114"/>
      <c r="B823" s="114"/>
      <c r="C823" s="114"/>
      <c r="D823" s="114"/>
      <c r="E823" s="114"/>
      <c r="F823" s="114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4"/>
      <c r="U823" s="114"/>
      <c r="V823" s="114"/>
      <c r="W823" s="114"/>
      <c r="X823" s="114"/>
      <c r="Y823" s="114"/>
      <c r="Z823" s="114"/>
      <c r="AA823" s="114"/>
      <c r="AB823" s="114"/>
      <c r="AC823" s="114"/>
      <c r="AD823" s="114"/>
      <c r="AE823" s="114"/>
    </row>
    <row r="824" ht="12.75" customHeight="1">
      <c r="A824" s="114"/>
      <c r="B824" s="114"/>
      <c r="C824" s="114"/>
      <c r="D824" s="114"/>
      <c r="E824" s="114"/>
      <c r="F824" s="114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4"/>
      <c r="U824" s="114"/>
      <c r="V824" s="114"/>
      <c r="W824" s="114"/>
      <c r="X824" s="114"/>
      <c r="Y824" s="114"/>
      <c r="Z824" s="114"/>
      <c r="AA824" s="114"/>
      <c r="AB824" s="114"/>
      <c r="AC824" s="114"/>
      <c r="AD824" s="114"/>
      <c r="AE824" s="114"/>
    </row>
    <row r="825" ht="12.75" customHeight="1">
      <c r="A825" s="114"/>
      <c r="B825" s="114"/>
      <c r="C825" s="114"/>
      <c r="D825" s="114"/>
      <c r="E825" s="114"/>
      <c r="F825" s="114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4"/>
      <c r="U825" s="114"/>
      <c r="V825" s="114"/>
      <c r="W825" s="114"/>
      <c r="X825" s="114"/>
      <c r="Y825" s="114"/>
      <c r="Z825" s="114"/>
      <c r="AA825" s="114"/>
      <c r="AB825" s="114"/>
      <c r="AC825" s="114"/>
      <c r="AD825" s="114"/>
      <c r="AE825" s="114"/>
    </row>
    <row r="826" ht="12.75" customHeight="1">
      <c r="A826" s="114"/>
      <c r="B826" s="114"/>
      <c r="C826" s="114"/>
      <c r="D826" s="114"/>
      <c r="E826" s="114"/>
      <c r="F826" s="114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4"/>
      <c r="U826" s="114"/>
      <c r="V826" s="114"/>
      <c r="W826" s="114"/>
      <c r="X826" s="114"/>
      <c r="Y826" s="114"/>
      <c r="Z826" s="114"/>
      <c r="AA826" s="114"/>
      <c r="AB826" s="114"/>
      <c r="AC826" s="114"/>
      <c r="AD826" s="114"/>
      <c r="AE826" s="114"/>
    </row>
    <row r="827" ht="12.75" customHeight="1">
      <c r="A827" s="114"/>
      <c r="B827" s="114"/>
      <c r="C827" s="114"/>
      <c r="D827" s="114"/>
      <c r="E827" s="114"/>
      <c r="F827" s="114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4"/>
      <c r="U827" s="114"/>
      <c r="V827" s="114"/>
      <c r="W827" s="114"/>
      <c r="X827" s="114"/>
      <c r="Y827" s="114"/>
      <c r="Z827" s="114"/>
      <c r="AA827" s="114"/>
      <c r="AB827" s="114"/>
      <c r="AC827" s="114"/>
      <c r="AD827" s="114"/>
      <c r="AE827" s="114"/>
    </row>
    <row r="828" ht="12.75" customHeight="1">
      <c r="A828" s="114"/>
      <c r="B828" s="114"/>
      <c r="C828" s="114"/>
      <c r="D828" s="114"/>
      <c r="E828" s="114"/>
      <c r="F828" s="114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4"/>
      <c r="U828" s="114"/>
      <c r="V828" s="114"/>
      <c r="W828" s="114"/>
      <c r="X828" s="114"/>
      <c r="Y828" s="114"/>
      <c r="Z828" s="114"/>
      <c r="AA828" s="114"/>
      <c r="AB828" s="114"/>
      <c r="AC828" s="114"/>
      <c r="AD828" s="114"/>
      <c r="AE828" s="114"/>
    </row>
    <row r="829" ht="12.75" customHeight="1">
      <c r="A829" s="114"/>
      <c r="B829" s="114"/>
      <c r="C829" s="114"/>
      <c r="D829" s="114"/>
      <c r="E829" s="114"/>
      <c r="F829" s="114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4"/>
      <c r="U829" s="114"/>
      <c r="V829" s="114"/>
      <c r="W829" s="114"/>
      <c r="X829" s="114"/>
      <c r="Y829" s="114"/>
      <c r="Z829" s="114"/>
      <c r="AA829" s="114"/>
      <c r="AB829" s="114"/>
      <c r="AC829" s="114"/>
      <c r="AD829" s="114"/>
      <c r="AE829" s="114"/>
    </row>
    <row r="830" ht="12.75" customHeight="1">
      <c r="A830" s="114"/>
      <c r="B830" s="114"/>
      <c r="C830" s="114"/>
      <c r="D830" s="114"/>
      <c r="E830" s="114"/>
      <c r="F830" s="114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4"/>
      <c r="U830" s="114"/>
      <c r="V830" s="114"/>
      <c r="W830" s="114"/>
      <c r="X830" s="114"/>
      <c r="Y830" s="114"/>
      <c r="Z830" s="114"/>
      <c r="AA830" s="114"/>
      <c r="AB830" s="114"/>
      <c r="AC830" s="114"/>
      <c r="AD830" s="114"/>
      <c r="AE830" s="114"/>
    </row>
    <row r="831" ht="12.75" customHeight="1">
      <c r="A831" s="114"/>
      <c r="B831" s="114"/>
      <c r="C831" s="114"/>
      <c r="D831" s="114"/>
      <c r="E831" s="114"/>
      <c r="F831" s="114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4"/>
      <c r="U831" s="114"/>
      <c r="V831" s="114"/>
      <c r="W831" s="114"/>
      <c r="X831" s="114"/>
      <c r="Y831" s="114"/>
      <c r="Z831" s="114"/>
      <c r="AA831" s="114"/>
      <c r="AB831" s="114"/>
      <c r="AC831" s="114"/>
      <c r="AD831" s="114"/>
      <c r="AE831" s="114"/>
    </row>
    <row r="832" ht="12.75" customHeight="1">
      <c r="A832" s="114"/>
      <c r="B832" s="114"/>
      <c r="C832" s="114"/>
      <c r="D832" s="114"/>
      <c r="E832" s="114"/>
      <c r="F832" s="114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4"/>
      <c r="X832" s="114"/>
      <c r="Y832" s="114"/>
      <c r="Z832" s="114"/>
      <c r="AA832" s="114"/>
      <c r="AB832" s="114"/>
      <c r="AC832" s="114"/>
      <c r="AD832" s="114"/>
      <c r="AE832" s="114"/>
    </row>
    <row r="833" ht="12.75" customHeight="1">
      <c r="A833" s="114"/>
      <c r="B833" s="114"/>
      <c r="C833" s="114"/>
      <c r="D833" s="114"/>
      <c r="E833" s="114"/>
      <c r="F833" s="114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4"/>
      <c r="U833" s="114"/>
      <c r="V833" s="114"/>
      <c r="W833" s="114"/>
      <c r="X833" s="114"/>
      <c r="Y833" s="114"/>
      <c r="Z833" s="114"/>
      <c r="AA833" s="114"/>
      <c r="AB833" s="114"/>
      <c r="AC833" s="114"/>
      <c r="AD833" s="114"/>
      <c r="AE833" s="114"/>
    </row>
    <row r="834" ht="12.75" customHeight="1">
      <c r="A834" s="114"/>
      <c r="B834" s="114"/>
      <c r="C834" s="114"/>
      <c r="D834" s="114"/>
      <c r="E834" s="114"/>
      <c r="F834" s="114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4"/>
      <c r="U834" s="114"/>
      <c r="V834" s="114"/>
      <c r="W834" s="114"/>
      <c r="X834" s="114"/>
      <c r="Y834" s="114"/>
      <c r="Z834" s="114"/>
      <c r="AA834" s="114"/>
      <c r="AB834" s="114"/>
      <c r="AC834" s="114"/>
      <c r="AD834" s="114"/>
      <c r="AE834" s="114"/>
    </row>
    <row r="835" ht="12.75" customHeight="1">
      <c r="A835" s="114"/>
      <c r="B835" s="114"/>
      <c r="C835" s="114"/>
      <c r="D835" s="114"/>
      <c r="E835" s="114"/>
      <c r="F835" s="114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4"/>
      <c r="U835" s="114"/>
      <c r="V835" s="114"/>
      <c r="W835" s="114"/>
      <c r="X835" s="114"/>
      <c r="Y835" s="114"/>
      <c r="Z835" s="114"/>
      <c r="AA835" s="114"/>
      <c r="AB835" s="114"/>
      <c r="AC835" s="114"/>
      <c r="AD835" s="114"/>
      <c r="AE835" s="114"/>
    </row>
    <row r="836" ht="12.75" customHeight="1">
      <c r="A836" s="114"/>
      <c r="B836" s="114"/>
      <c r="C836" s="114"/>
      <c r="D836" s="114"/>
      <c r="E836" s="114"/>
      <c r="F836" s="114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4"/>
      <c r="X836" s="114"/>
      <c r="Y836" s="114"/>
      <c r="Z836" s="114"/>
      <c r="AA836" s="114"/>
      <c r="AB836" s="114"/>
      <c r="AC836" s="114"/>
      <c r="AD836" s="114"/>
      <c r="AE836" s="114"/>
    </row>
    <row r="837" ht="12.75" customHeight="1">
      <c r="A837" s="114"/>
      <c r="B837" s="114"/>
      <c r="C837" s="114"/>
      <c r="D837" s="114"/>
      <c r="E837" s="114"/>
      <c r="F837" s="114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4"/>
      <c r="U837" s="114"/>
      <c r="V837" s="114"/>
      <c r="W837" s="114"/>
      <c r="X837" s="114"/>
      <c r="Y837" s="114"/>
      <c r="Z837" s="114"/>
      <c r="AA837" s="114"/>
      <c r="AB837" s="114"/>
      <c r="AC837" s="114"/>
      <c r="AD837" s="114"/>
      <c r="AE837" s="114"/>
    </row>
    <row r="838" ht="12.75" customHeight="1">
      <c r="A838" s="114"/>
      <c r="B838" s="114"/>
      <c r="C838" s="114"/>
      <c r="D838" s="114"/>
      <c r="E838" s="114"/>
      <c r="F838" s="114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4"/>
      <c r="U838" s="114"/>
      <c r="V838" s="114"/>
      <c r="W838" s="114"/>
      <c r="X838" s="114"/>
      <c r="Y838" s="114"/>
      <c r="Z838" s="114"/>
      <c r="AA838" s="114"/>
      <c r="AB838" s="114"/>
      <c r="AC838" s="114"/>
      <c r="AD838" s="114"/>
      <c r="AE838" s="114"/>
    </row>
    <row r="839" ht="12.75" customHeight="1">
      <c r="A839" s="114"/>
      <c r="B839" s="114"/>
      <c r="C839" s="114"/>
      <c r="D839" s="114"/>
      <c r="E839" s="114"/>
      <c r="F839" s="114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4"/>
      <c r="U839" s="114"/>
      <c r="V839" s="114"/>
      <c r="W839" s="114"/>
      <c r="X839" s="114"/>
      <c r="Y839" s="114"/>
      <c r="Z839" s="114"/>
      <c r="AA839" s="114"/>
      <c r="AB839" s="114"/>
      <c r="AC839" s="114"/>
      <c r="AD839" s="114"/>
      <c r="AE839" s="114"/>
    </row>
    <row r="840" ht="12.75" customHeight="1">
      <c r="A840" s="114"/>
      <c r="B840" s="114"/>
      <c r="C840" s="114"/>
      <c r="D840" s="114"/>
      <c r="E840" s="114"/>
      <c r="F840" s="114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4"/>
      <c r="U840" s="114"/>
      <c r="V840" s="114"/>
      <c r="W840" s="114"/>
      <c r="X840" s="114"/>
      <c r="Y840" s="114"/>
      <c r="Z840" s="114"/>
      <c r="AA840" s="114"/>
      <c r="AB840" s="114"/>
      <c r="AC840" s="114"/>
      <c r="AD840" s="114"/>
      <c r="AE840" s="114"/>
    </row>
    <row r="841" ht="12.75" customHeight="1">
      <c r="A841" s="114"/>
      <c r="B841" s="114"/>
      <c r="C841" s="114"/>
      <c r="D841" s="114"/>
      <c r="E841" s="114"/>
      <c r="F841" s="114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4"/>
      <c r="U841" s="114"/>
      <c r="V841" s="114"/>
      <c r="W841" s="114"/>
      <c r="X841" s="114"/>
      <c r="Y841" s="114"/>
      <c r="Z841" s="114"/>
      <c r="AA841" s="114"/>
      <c r="AB841" s="114"/>
      <c r="AC841" s="114"/>
      <c r="AD841" s="114"/>
      <c r="AE841" s="114"/>
    </row>
    <row r="842" ht="12.75" customHeight="1">
      <c r="A842" s="114"/>
      <c r="B842" s="114"/>
      <c r="C842" s="114"/>
      <c r="D842" s="114"/>
      <c r="E842" s="114"/>
      <c r="F842" s="114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4"/>
      <c r="U842" s="114"/>
      <c r="V842" s="114"/>
      <c r="W842" s="114"/>
      <c r="X842" s="114"/>
      <c r="Y842" s="114"/>
      <c r="Z842" s="114"/>
      <c r="AA842" s="114"/>
      <c r="AB842" s="114"/>
      <c r="AC842" s="114"/>
      <c r="AD842" s="114"/>
      <c r="AE842" s="114"/>
    </row>
    <row r="843" ht="12.75" customHeight="1">
      <c r="A843" s="114"/>
      <c r="B843" s="114"/>
      <c r="C843" s="114"/>
      <c r="D843" s="114"/>
      <c r="E843" s="114"/>
      <c r="F843" s="114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4"/>
      <c r="U843" s="114"/>
      <c r="V843" s="114"/>
      <c r="W843" s="114"/>
      <c r="X843" s="114"/>
      <c r="Y843" s="114"/>
      <c r="Z843" s="114"/>
      <c r="AA843" s="114"/>
      <c r="AB843" s="114"/>
      <c r="AC843" s="114"/>
      <c r="AD843" s="114"/>
      <c r="AE843" s="114"/>
    </row>
    <row r="844" ht="12.75" customHeight="1">
      <c r="A844" s="114"/>
      <c r="B844" s="114"/>
      <c r="C844" s="114"/>
      <c r="D844" s="114"/>
      <c r="E844" s="114"/>
      <c r="F844" s="114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4"/>
      <c r="U844" s="114"/>
      <c r="V844" s="114"/>
      <c r="W844" s="114"/>
      <c r="X844" s="114"/>
      <c r="Y844" s="114"/>
      <c r="Z844" s="114"/>
      <c r="AA844" s="114"/>
      <c r="AB844" s="114"/>
      <c r="AC844" s="114"/>
      <c r="AD844" s="114"/>
      <c r="AE844" s="114"/>
    </row>
    <row r="845" ht="12.75" customHeight="1">
      <c r="A845" s="114"/>
      <c r="B845" s="114"/>
      <c r="C845" s="114"/>
      <c r="D845" s="114"/>
      <c r="E845" s="114"/>
      <c r="F845" s="114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4"/>
      <c r="U845" s="114"/>
      <c r="V845" s="114"/>
      <c r="W845" s="114"/>
      <c r="X845" s="114"/>
      <c r="Y845" s="114"/>
      <c r="Z845" s="114"/>
      <c r="AA845" s="114"/>
      <c r="AB845" s="114"/>
      <c r="AC845" s="114"/>
      <c r="AD845" s="114"/>
      <c r="AE845" s="114"/>
    </row>
    <row r="846" ht="12.75" customHeight="1">
      <c r="A846" s="114"/>
      <c r="B846" s="114"/>
      <c r="C846" s="114"/>
      <c r="D846" s="114"/>
      <c r="E846" s="114"/>
      <c r="F846" s="114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4"/>
      <c r="U846" s="114"/>
      <c r="V846" s="114"/>
      <c r="W846" s="114"/>
      <c r="X846" s="114"/>
      <c r="Y846" s="114"/>
      <c r="Z846" s="114"/>
      <c r="AA846" s="114"/>
      <c r="AB846" s="114"/>
      <c r="AC846" s="114"/>
      <c r="AD846" s="114"/>
      <c r="AE846" s="114"/>
    </row>
    <row r="847" ht="12.75" customHeight="1">
      <c r="A847" s="114"/>
      <c r="B847" s="114"/>
      <c r="C847" s="114"/>
      <c r="D847" s="114"/>
      <c r="E847" s="114"/>
      <c r="F847" s="114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4"/>
      <c r="U847" s="114"/>
      <c r="V847" s="114"/>
      <c r="W847" s="114"/>
      <c r="X847" s="114"/>
      <c r="Y847" s="114"/>
      <c r="Z847" s="114"/>
      <c r="AA847" s="114"/>
      <c r="AB847" s="114"/>
      <c r="AC847" s="114"/>
      <c r="AD847" s="114"/>
      <c r="AE847" s="114"/>
    </row>
    <row r="848" ht="12.75" customHeight="1">
      <c r="A848" s="114"/>
      <c r="B848" s="114"/>
      <c r="C848" s="114"/>
      <c r="D848" s="114"/>
      <c r="E848" s="114"/>
      <c r="F848" s="114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4"/>
      <c r="U848" s="114"/>
      <c r="V848" s="114"/>
      <c r="W848" s="114"/>
      <c r="X848" s="114"/>
      <c r="Y848" s="114"/>
      <c r="Z848" s="114"/>
      <c r="AA848" s="114"/>
      <c r="AB848" s="114"/>
      <c r="AC848" s="114"/>
      <c r="AD848" s="114"/>
      <c r="AE848" s="114"/>
    </row>
    <row r="849" ht="12.75" customHeight="1">
      <c r="A849" s="114"/>
      <c r="B849" s="114"/>
      <c r="C849" s="114"/>
      <c r="D849" s="114"/>
      <c r="E849" s="114"/>
      <c r="F849" s="114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4"/>
      <c r="U849" s="114"/>
      <c r="V849" s="114"/>
      <c r="W849" s="114"/>
      <c r="X849" s="114"/>
      <c r="Y849" s="114"/>
      <c r="Z849" s="114"/>
      <c r="AA849" s="114"/>
      <c r="AB849" s="114"/>
      <c r="AC849" s="114"/>
      <c r="AD849" s="114"/>
      <c r="AE849" s="114"/>
    </row>
    <row r="850" ht="12.75" customHeight="1">
      <c r="A850" s="114"/>
      <c r="B850" s="114"/>
      <c r="C850" s="114"/>
      <c r="D850" s="114"/>
      <c r="E850" s="114"/>
      <c r="F850" s="114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4"/>
      <c r="U850" s="114"/>
      <c r="V850" s="114"/>
      <c r="W850" s="114"/>
      <c r="X850" s="114"/>
      <c r="Y850" s="114"/>
      <c r="Z850" s="114"/>
      <c r="AA850" s="114"/>
      <c r="AB850" s="114"/>
      <c r="AC850" s="114"/>
      <c r="AD850" s="114"/>
      <c r="AE850" s="114"/>
    </row>
    <row r="851" ht="12.75" customHeight="1">
      <c r="A851" s="114"/>
      <c r="B851" s="114"/>
      <c r="C851" s="114"/>
      <c r="D851" s="114"/>
      <c r="E851" s="114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4"/>
      <c r="U851" s="114"/>
      <c r="V851" s="114"/>
      <c r="W851" s="114"/>
      <c r="X851" s="114"/>
      <c r="Y851" s="114"/>
      <c r="Z851" s="114"/>
      <c r="AA851" s="114"/>
      <c r="AB851" s="114"/>
      <c r="AC851" s="114"/>
      <c r="AD851" s="114"/>
      <c r="AE851" s="114"/>
    </row>
    <row r="852" ht="12.75" customHeight="1">
      <c r="A852" s="114"/>
      <c r="B852" s="114"/>
      <c r="C852" s="114"/>
      <c r="D852" s="114"/>
      <c r="E852" s="114"/>
      <c r="F852" s="114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4"/>
      <c r="U852" s="114"/>
      <c r="V852" s="114"/>
      <c r="W852" s="114"/>
      <c r="X852" s="114"/>
      <c r="Y852" s="114"/>
      <c r="Z852" s="114"/>
      <c r="AA852" s="114"/>
      <c r="AB852" s="114"/>
      <c r="AC852" s="114"/>
      <c r="AD852" s="114"/>
      <c r="AE852" s="114"/>
    </row>
    <row r="853" ht="12.75" customHeight="1">
      <c r="A853" s="114"/>
      <c r="B853" s="114"/>
      <c r="C853" s="114"/>
      <c r="D853" s="114"/>
      <c r="E853" s="114"/>
      <c r="F853" s="114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4"/>
      <c r="U853" s="114"/>
      <c r="V853" s="114"/>
      <c r="W853" s="114"/>
      <c r="X853" s="114"/>
      <c r="Y853" s="114"/>
      <c r="Z853" s="114"/>
      <c r="AA853" s="114"/>
      <c r="AB853" s="114"/>
      <c r="AC853" s="114"/>
      <c r="AD853" s="114"/>
      <c r="AE853" s="114"/>
    </row>
    <row r="854" ht="12.75" customHeight="1">
      <c r="A854" s="114"/>
      <c r="B854" s="114"/>
      <c r="C854" s="114"/>
      <c r="D854" s="114"/>
      <c r="E854" s="114"/>
      <c r="F854" s="114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4"/>
      <c r="U854" s="114"/>
      <c r="V854" s="114"/>
      <c r="W854" s="114"/>
      <c r="X854" s="114"/>
      <c r="Y854" s="114"/>
      <c r="Z854" s="114"/>
      <c r="AA854" s="114"/>
      <c r="AB854" s="114"/>
      <c r="AC854" s="114"/>
      <c r="AD854" s="114"/>
      <c r="AE854" s="114"/>
    </row>
    <row r="855" ht="12.75" customHeight="1">
      <c r="A855" s="114"/>
      <c r="B855" s="114"/>
      <c r="C855" s="114"/>
      <c r="D855" s="114"/>
      <c r="E855" s="114"/>
      <c r="F855" s="114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4"/>
      <c r="U855" s="114"/>
      <c r="V855" s="114"/>
      <c r="W855" s="114"/>
      <c r="X855" s="114"/>
      <c r="Y855" s="114"/>
      <c r="Z855" s="114"/>
      <c r="AA855" s="114"/>
      <c r="AB855" s="114"/>
      <c r="AC855" s="114"/>
      <c r="AD855" s="114"/>
      <c r="AE855" s="114"/>
    </row>
    <row r="856" ht="12.75" customHeight="1">
      <c r="A856" s="114"/>
      <c r="B856" s="114"/>
      <c r="C856" s="114"/>
      <c r="D856" s="114"/>
      <c r="E856" s="114"/>
      <c r="F856" s="114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4"/>
      <c r="U856" s="114"/>
      <c r="V856" s="114"/>
      <c r="W856" s="114"/>
      <c r="X856" s="114"/>
      <c r="Y856" s="114"/>
      <c r="Z856" s="114"/>
      <c r="AA856" s="114"/>
      <c r="AB856" s="114"/>
      <c r="AC856" s="114"/>
      <c r="AD856" s="114"/>
      <c r="AE856" s="114"/>
    </row>
    <row r="857" ht="12.75" customHeight="1">
      <c r="A857" s="114"/>
      <c r="B857" s="114"/>
      <c r="C857" s="114"/>
      <c r="D857" s="114"/>
      <c r="E857" s="114"/>
      <c r="F857" s="114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4"/>
      <c r="U857" s="114"/>
      <c r="V857" s="114"/>
      <c r="W857" s="114"/>
      <c r="X857" s="114"/>
      <c r="Y857" s="114"/>
      <c r="Z857" s="114"/>
      <c r="AA857" s="114"/>
      <c r="AB857" s="114"/>
      <c r="AC857" s="114"/>
      <c r="AD857" s="114"/>
      <c r="AE857" s="114"/>
    </row>
    <row r="858" ht="12.75" customHeight="1">
      <c r="A858" s="114"/>
      <c r="B858" s="114"/>
      <c r="C858" s="114"/>
      <c r="D858" s="114"/>
      <c r="E858" s="114"/>
      <c r="F858" s="114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4"/>
      <c r="U858" s="114"/>
      <c r="V858" s="114"/>
      <c r="W858" s="114"/>
      <c r="X858" s="114"/>
      <c r="Y858" s="114"/>
      <c r="Z858" s="114"/>
      <c r="AA858" s="114"/>
      <c r="AB858" s="114"/>
      <c r="AC858" s="114"/>
      <c r="AD858" s="114"/>
      <c r="AE858" s="114"/>
    </row>
    <row r="859" ht="12.75" customHeight="1">
      <c r="A859" s="114"/>
      <c r="B859" s="114"/>
      <c r="C859" s="114"/>
      <c r="D859" s="114"/>
      <c r="E859" s="114"/>
      <c r="F859" s="114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4"/>
      <c r="U859" s="114"/>
      <c r="V859" s="114"/>
      <c r="W859" s="114"/>
      <c r="X859" s="114"/>
      <c r="Y859" s="114"/>
      <c r="Z859" s="114"/>
      <c r="AA859" s="114"/>
      <c r="AB859" s="114"/>
      <c r="AC859" s="114"/>
      <c r="AD859" s="114"/>
      <c r="AE859" s="114"/>
    </row>
    <row r="860" ht="12.75" customHeight="1">
      <c r="A860" s="114"/>
      <c r="B860" s="114"/>
      <c r="C860" s="114"/>
      <c r="D860" s="114"/>
      <c r="E860" s="114"/>
      <c r="F860" s="114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4"/>
      <c r="U860" s="114"/>
      <c r="V860" s="114"/>
      <c r="W860" s="114"/>
      <c r="X860" s="114"/>
      <c r="Y860" s="114"/>
      <c r="Z860" s="114"/>
      <c r="AA860" s="114"/>
      <c r="AB860" s="114"/>
      <c r="AC860" s="114"/>
      <c r="AD860" s="114"/>
      <c r="AE860" s="114"/>
    </row>
    <row r="861" ht="12.75" customHeight="1">
      <c r="A861" s="114"/>
      <c r="B861" s="114"/>
      <c r="C861" s="114"/>
      <c r="D861" s="114"/>
      <c r="E861" s="114"/>
      <c r="F861" s="114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4"/>
      <c r="U861" s="114"/>
      <c r="V861" s="114"/>
      <c r="W861" s="114"/>
      <c r="X861" s="114"/>
      <c r="Y861" s="114"/>
      <c r="Z861" s="114"/>
      <c r="AA861" s="114"/>
      <c r="AB861" s="114"/>
      <c r="AC861" s="114"/>
      <c r="AD861" s="114"/>
      <c r="AE861" s="114"/>
    </row>
    <row r="862" ht="12.75" customHeight="1">
      <c r="A862" s="114"/>
      <c r="B862" s="114"/>
      <c r="C862" s="114"/>
      <c r="D862" s="114"/>
      <c r="E862" s="114"/>
      <c r="F862" s="114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4"/>
      <c r="U862" s="114"/>
      <c r="V862" s="114"/>
      <c r="W862" s="114"/>
      <c r="X862" s="114"/>
      <c r="Y862" s="114"/>
      <c r="Z862" s="114"/>
      <c r="AA862" s="114"/>
      <c r="AB862" s="114"/>
      <c r="AC862" s="114"/>
      <c r="AD862" s="114"/>
      <c r="AE862" s="114"/>
    </row>
    <row r="863" ht="12.75" customHeight="1">
      <c r="A863" s="114"/>
      <c r="B863" s="114"/>
      <c r="C863" s="114"/>
      <c r="D863" s="114"/>
      <c r="E863" s="114"/>
      <c r="F863" s="114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4"/>
      <c r="U863" s="114"/>
      <c r="V863" s="114"/>
      <c r="W863" s="114"/>
      <c r="X863" s="114"/>
      <c r="Y863" s="114"/>
      <c r="Z863" s="114"/>
      <c r="AA863" s="114"/>
      <c r="AB863" s="114"/>
      <c r="AC863" s="114"/>
      <c r="AD863" s="114"/>
      <c r="AE863" s="114"/>
    </row>
    <row r="864" ht="12.75" customHeight="1">
      <c r="A864" s="114"/>
      <c r="B864" s="114"/>
      <c r="C864" s="114"/>
      <c r="D864" s="114"/>
      <c r="E864" s="114"/>
      <c r="F864" s="114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4"/>
      <c r="U864" s="114"/>
      <c r="V864" s="114"/>
      <c r="W864" s="114"/>
      <c r="X864" s="114"/>
      <c r="Y864" s="114"/>
      <c r="Z864" s="114"/>
      <c r="AA864" s="114"/>
      <c r="AB864" s="114"/>
      <c r="AC864" s="114"/>
      <c r="AD864" s="114"/>
      <c r="AE864" s="114"/>
    </row>
    <row r="865" ht="12.75" customHeight="1">
      <c r="A865" s="114"/>
      <c r="B865" s="114"/>
      <c r="C865" s="114"/>
      <c r="D865" s="114"/>
      <c r="E865" s="114"/>
      <c r="F865" s="114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4"/>
      <c r="U865" s="114"/>
      <c r="V865" s="114"/>
      <c r="W865" s="114"/>
      <c r="X865" s="114"/>
      <c r="Y865" s="114"/>
      <c r="Z865" s="114"/>
      <c r="AA865" s="114"/>
      <c r="AB865" s="114"/>
      <c r="AC865" s="114"/>
      <c r="AD865" s="114"/>
      <c r="AE865" s="114"/>
    </row>
    <row r="866" ht="12.75" customHeight="1">
      <c r="A866" s="114"/>
      <c r="B866" s="114"/>
      <c r="C866" s="114"/>
      <c r="D866" s="114"/>
      <c r="E866" s="114"/>
      <c r="F866" s="114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4"/>
      <c r="U866" s="114"/>
      <c r="V866" s="114"/>
      <c r="W866" s="114"/>
      <c r="X866" s="114"/>
      <c r="Y866" s="114"/>
      <c r="Z866" s="114"/>
      <c r="AA866" s="114"/>
      <c r="AB866" s="114"/>
      <c r="AC866" s="114"/>
      <c r="AD866" s="114"/>
      <c r="AE866" s="114"/>
    </row>
    <row r="867" ht="12.75" customHeight="1">
      <c r="A867" s="114"/>
      <c r="B867" s="114"/>
      <c r="C867" s="114"/>
      <c r="D867" s="114"/>
      <c r="E867" s="114"/>
      <c r="F867" s="114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4"/>
      <c r="U867" s="114"/>
      <c r="V867" s="114"/>
      <c r="W867" s="114"/>
      <c r="X867" s="114"/>
      <c r="Y867" s="114"/>
      <c r="Z867" s="114"/>
      <c r="AA867" s="114"/>
      <c r="AB867" s="114"/>
      <c r="AC867" s="114"/>
      <c r="AD867" s="114"/>
      <c r="AE867" s="114"/>
    </row>
    <row r="868" ht="12.75" customHeight="1">
      <c r="A868" s="114"/>
      <c r="B868" s="114"/>
      <c r="C868" s="114"/>
      <c r="D868" s="114"/>
      <c r="E868" s="114"/>
      <c r="F868" s="114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4"/>
      <c r="U868" s="114"/>
      <c r="V868" s="114"/>
      <c r="W868" s="114"/>
      <c r="X868" s="114"/>
      <c r="Y868" s="114"/>
      <c r="Z868" s="114"/>
      <c r="AA868" s="114"/>
      <c r="AB868" s="114"/>
      <c r="AC868" s="114"/>
      <c r="AD868" s="114"/>
      <c r="AE868" s="114"/>
    </row>
    <row r="869" ht="12.75" customHeight="1">
      <c r="A869" s="114"/>
      <c r="B869" s="114"/>
      <c r="C869" s="114"/>
      <c r="D869" s="114"/>
      <c r="E869" s="114"/>
      <c r="F869" s="114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4"/>
      <c r="U869" s="114"/>
      <c r="V869" s="114"/>
      <c r="W869" s="114"/>
      <c r="X869" s="114"/>
      <c r="Y869" s="114"/>
      <c r="Z869" s="114"/>
      <c r="AA869" s="114"/>
      <c r="AB869" s="114"/>
      <c r="AC869" s="114"/>
      <c r="AD869" s="114"/>
      <c r="AE869" s="114"/>
    </row>
    <row r="870" ht="12.75" customHeight="1">
      <c r="A870" s="114"/>
      <c r="B870" s="114"/>
      <c r="C870" s="114"/>
      <c r="D870" s="114"/>
      <c r="E870" s="114"/>
      <c r="F870" s="114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4"/>
      <c r="U870" s="114"/>
      <c r="V870" s="114"/>
      <c r="W870" s="114"/>
      <c r="X870" s="114"/>
      <c r="Y870" s="114"/>
      <c r="Z870" s="114"/>
      <c r="AA870" s="114"/>
      <c r="AB870" s="114"/>
      <c r="AC870" s="114"/>
      <c r="AD870" s="114"/>
      <c r="AE870" s="114"/>
    </row>
    <row r="871" ht="12.75" customHeight="1">
      <c r="A871" s="114"/>
      <c r="B871" s="114"/>
      <c r="C871" s="114"/>
      <c r="D871" s="114"/>
      <c r="E871" s="114"/>
      <c r="F871" s="114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4"/>
      <c r="U871" s="114"/>
      <c r="V871" s="114"/>
      <c r="W871" s="114"/>
      <c r="X871" s="114"/>
      <c r="Y871" s="114"/>
      <c r="Z871" s="114"/>
      <c r="AA871" s="114"/>
      <c r="AB871" s="114"/>
      <c r="AC871" s="114"/>
      <c r="AD871" s="114"/>
      <c r="AE871" s="114"/>
    </row>
    <row r="872" ht="12.75" customHeight="1">
      <c r="A872" s="114"/>
      <c r="B872" s="114"/>
      <c r="C872" s="114"/>
      <c r="D872" s="114"/>
      <c r="E872" s="114"/>
      <c r="F872" s="114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4"/>
      <c r="U872" s="114"/>
      <c r="V872" s="114"/>
      <c r="W872" s="114"/>
      <c r="X872" s="114"/>
      <c r="Y872" s="114"/>
      <c r="Z872" s="114"/>
      <c r="AA872" s="114"/>
      <c r="AB872" s="114"/>
      <c r="AC872" s="114"/>
      <c r="AD872" s="114"/>
      <c r="AE872" s="114"/>
    </row>
    <row r="873" ht="12.75" customHeight="1">
      <c r="A873" s="114"/>
      <c r="B873" s="114"/>
      <c r="C873" s="114"/>
      <c r="D873" s="114"/>
      <c r="E873" s="114"/>
      <c r="F873" s="114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4"/>
      <c r="U873" s="114"/>
      <c r="V873" s="114"/>
      <c r="W873" s="114"/>
      <c r="X873" s="114"/>
      <c r="Y873" s="114"/>
      <c r="Z873" s="114"/>
      <c r="AA873" s="114"/>
      <c r="AB873" s="114"/>
      <c r="AC873" s="114"/>
      <c r="AD873" s="114"/>
      <c r="AE873" s="114"/>
    </row>
    <row r="874" ht="12.75" customHeight="1">
      <c r="A874" s="114"/>
      <c r="B874" s="114"/>
      <c r="C874" s="114"/>
      <c r="D874" s="114"/>
      <c r="E874" s="114"/>
      <c r="F874" s="114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4"/>
      <c r="U874" s="114"/>
      <c r="V874" s="114"/>
      <c r="W874" s="114"/>
      <c r="X874" s="114"/>
      <c r="Y874" s="114"/>
      <c r="Z874" s="114"/>
      <c r="AA874" s="114"/>
      <c r="AB874" s="114"/>
      <c r="AC874" s="114"/>
      <c r="AD874" s="114"/>
      <c r="AE874" s="114"/>
    </row>
    <row r="875" ht="12.75" customHeight="1">
      <c r="A875" s="114"/>
      <c r="B875" s="114"/>
      <c r="C875" s="114"/>
      <c r="D875" s="114"/>
      <c r="E875" s="114"/>
      <c r="F875" s="114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4"/>
      <c r="U875" s="114"/>
      <c r="V875" s="114"/>
      <c r="W875" s="114"/>
      <c r="X875" s="114"/>
      <c r="Y875" s="114"/>
      <c r="Z875" s="114"/>
      <c r="AA875" s="114"/>
      <c r="AB875" s="114"/>
      <c r="AC875" s="114"/>
      <c r="AD875" s="114"/>
      <c r="AE875" s="114"/>
    </row>
    <row r="876" ht="12.75" customHeight="1">
      <c r="A876" s="114"/>
      <c r="B876" s="114"/>
      <c r="C876" s="114"/>
      <c r="D876" s="114"/>
      <c r="E876" s="114"/>
      <c r="F876" s="114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4"/>
      <c r="U876" s="114"/>
      <c r="V876" s="114"/>
      <c r="W876" s="114"/>
      <c r="X876" s="114"/>
      <c r="Y876" s="114"/>
      <c r="Z876" s="114"/>
      <c r="AA876" s="114"/>
      <c r="AB876" s="114"/>
      <c r="AC876" s="114"/>
      <c r="AD876" s="114"/>
      <c r="AE876" s="114"/>
    </row>
    <row r="877" ht="12.75" customHeight="1">
      <c r="A877" s="114"/>
      <c r="B877" s="114"/>
      <c r="C877" s="114"/>
      <c r="D877" s="114"/>
      <c r="E877" s="114"/>
      <c r="F877" s="114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4"/>
      <c r="U877" s="114"/>
      <c r="V877" s="114"/>
      <c r="W877" s="114"/>
      <c r="X877" s="114"/>
      <c r="Y877" s="114"/>
      <c r="Z877" s="114"/>
      <c r="AA877" s="114"/>
      <c r="AB877" s="114"/>
      <c r="AC877" s="114"/>
      <c r="AD877" s="114"/>
      <c r="AE877" s="114"/>
    </row>
    <row r="878" ht="12.75" customHeight="1">
      <c r="A878" s="114"/>
      <c r="B878" s="114"/>
      <c r="C878" s="114"/>
      <c r="D878" s="114"/>
      <c r="E878" s="114"/>
      <c r="F878" s="114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4"/>
      <c r="U878" s="114"/>
      <c r="V878" s="114"/>
      <c r="W878" s="114"/>
      <c r="X878" s="114"/>
      <c r="Y878" s="114"/>
      <c r="Z878" s="114"/>
      <c r="AA878" s="114"/>
      <c r="AB878" s="114"/>
      <c r="AC878" s="114"/>
      <c r="AD878" s="114"/>
      <c r="AE878" s="114"/>
    </row>
    <row r="879" ht="12.75" customHeight="1">
      <c r="A879" s="114"/>
      <c r="B879" s="114"/>
      <c r="C879" s="114"/>
      <c r="D879" s="114"/>
      <c r="E879" s="114"/>
      <c r="F879" s="114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4"/>
      <c r="U879" s="114"/>
      <c r="V879" s="114"/>
      <c r="W879" s="114"/>
      <c r="X879" s="114"/>
      <c r="Y879" s="114"/>
      <c r="Z879" s="114"/>
      <c r="AA879" s="114"/>
      <c r="AB879" s="114"/>
      <c r="AC879" s="114"/>
      <c r="AD879" s="114"/>
      <c r="AE879" s="114"/>
    </row>
    <row r="880" ht="12.75" customHeight="1">
      <c r="A880" s="114"/>
      <c r="B880" s="114"/>
      <c r="C880" s="114"/>
      <c r="D880" s="114"/>
      <c r="E880" s="114"/>
      <c r="F880" s="114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4"/>
      <c r="U880" s="114"/>
      <c r="V880" s="114"/>
      <c r="W880" s="114"/>
      <c r="X880" s="114"/>
      <c r="Y880" s="114"/>
      <c r="Z880" s="114"/>
      <c r="AA880" s="114"/>
      <c r="AB880" s="114"/>
      <c r="AC880" s="114"/>
      <c r="AD880" s="114"/>
      <c r="AE880" s="114"/>
    </row>
    <row r="881" ht="12.75" customHeight="1">
      <c r="A881" s="114"/>
      <c r="B881" s="114"/>
      <c r="C881" s="114"/>
      <c r="D881" s="114"/>
      <c r="E881" s="114"/>
      <c r="F881" s="114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4"/>
      <c r="U881" s="114"/>
      <c r="V881" s="114"/>
      <c r="W881" s="114"/>
      <c r="X881" s="114"/>
      <c r="Y881" s="114"/>
      <c r="Z881" s="114"/>
      <c r="AA881" s="114"/>
      <c r="AB881" s="114"/>
      <c r="AC881" s="114"/>
      <c r="AD881" s="114"/>
      <c r="AE881" s="114"/>
    </row>
    <row r="882" ht="12.75" customHeight="1">
      <c r="A882" s="114"/>
      <c r="B882" s="114"/>
      <c r="C882" s="114"/>
      <c r="D882" s="114"/>
      <c r="E882" s="114"/>
      <c r="F882" s="114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4"/>
      <c r="U882" s="114"/>
      <c r="V882" s="114"/>
      <c r="W882" s="114"/>
      <c r="X882" s="114"/>
      <c r="Y882" s="114"/>
      <c r="Z882" s="114"/>
      <c r="AA882" s="114"/>
      <c r="AB882" s="114"/>
      <c r="AC882" s="114"/>
      <c r="AD882" s="114"/>
      <c r="AE882" s="114"/>
    </row>
    <row r="883" ht="12.75" customHeight="1">
      <c r="A883" s="114"/>
      <c r="B883" s="114"/>
      <c r="C883" s="114"/>
      <c r="D883" s="114"/>
      <c r="E883" s="114"/>
      <c r="F883" s="114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4"/>
      <c r="U883" s="114"/>
      <c r="V883" s="114"/>
      <c r="W883" s="114"/>
      <c r="X883" s="114"/>
      <c r="Y883" s="114"/>
      <c r="Z883" s="114"/>
      <c r="AA883" s="114"/>
      <c r="AB883" s="114"/>
      <c r="AC883" s="114"/>
      <c r="AD883" s="114"/>
      <c r="AE883" s="114"/>
    </row>
    <row r="884" ht="12.75" customHeight="1">
      <c r="A884" s="114"/>
      <c r="B884" s="114"/>
      <c r="C884" s="114"/>
      <c r="D884" s="114"/>
      <c r="E884" s="114"/>
      <c r="F884" s="114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4"/>
      <c r="U884" s="114"/>
      <c r="V884" s="114"/>
      <c r="W884" s="114"/>
      <c r="X884" s="114"/>
      <c r="Y884" s="114"/>
      <c r="Z884" s="114"/>
      <c r="AA884" s="114"/>
      <c r="AB884" s="114"/>
      <c r="AC884" s="114"/>
      <c r="AD884" s="114"/>
      <c r="AE884" s="114"/>
    </row>
    <row r="885" ht="12.75" customHeight="1">
      <c r="A885" s="114"/>
      <c r="B885" s="114"/>
      <c r="C885" s="114"/>
      <c r="D885" s="114"/>
      <c r="E885" s="114"/>
      <c r="F885" s="114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4"/>
      <c r="U885" s="114"/>
      <c r="V885" s="114"/>
      <c r="W885" s="114"/>
      <c r="X885" s="114"/>
      <c r="Y885" s="114"/>
      <c r="Z885" s="114"/>
      <c r="AA885" s="114"/>
      <c r="AB885" s="114"/>
      <c r="AC885" s="114"/>
      <c r="AD885" s="114"/>
      <c r="AE885" s="114"/>
    </row>
    <row r="886" ht="12.75" customHeight="1">
      <c r="A886" s="114"/>
      <c r="B886" s="114"/>
      <c r="C886" s="114"/>
      <c r="D886" s="114"/>
      <c r="E886" s="114"/>
      <c r="F886" s="114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4"/>
      <c r="U886" s="114"/>
      <c r="V886" s="114"/>
      <c r="W886" s="114"/>
      <c r="X886" s="114"/>
      <c r="Y886" s="114"/>
      <c r="Z886" s="114"/>
      <c r="AA886" s="114"/>
      <c r="AB886" s="114"/>
      <c r="AC886" s="114"/>
      <c r="AD886" s="114"/>
      <c r="AE886" s="114"/>
    </row>
    <row r="887" ht="12.75" customHeight="1">
      <c r="A887" s="114"/>
      <c r="B887" s="114"/>
      <c r="C887" s="114"/>
      <c r="D887" s="114"/>
      <c r="E887" s="114"/>
      <c r="F887" s="114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4"/>
      <c r="U887" s="114"/>
      <c r="V887" s="114"/>
      <c r="W887" s="114"/>
      <c r="X887" s="114"/>
      <c r="Y887" s="114"/>
      <c r="Z887" s="114"/>
      <c r="AA887" s="114"/>
      <c r="AB887" s="114"/>
      <c r="AC887" s="114"/>
      <c r="AD887" s="114"/>
      <c r="AE887" s="114"/>
    </row>
    <row r="888" ht="12.75" customHeight="1">
      <c r="A888" s="114"/>
      <c r="B888" s="114"/>
      <c r="C888" s="114"/>
      <c r="D888" s="114"/>
      <c r="E888" s="114"/>
      <c r="F888" s="114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4"/>
      <c r="U888" s="114"/>
      <c r="V888" s="114"/>
      <c r="W888" s="114"/>
      <c r="X888" s="114"/>
      <c r="Y888" s="114"/>
      <c r="Z888" s="114"/>
      <c r="AA888" s="114"/>
      <c r="AB888" s="114"/>
      <c r="AC888" s="114"/>
      <c r="AD888" s="114"/>
      <c r="AE888" s="114"/>
    </row>
    <row r="889" ht="12.75" customHeight="1">
      <c r="A889" s="114"/>
      <c r="B889" s="114"/>
      <c r="C889" s="114"/>
      <c r="D889" s="114"/>
      <c r="E889" s="114"/>
      <c r="F889" s="114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4"/>
      <c r="U889" s="114"/>
      <c r="V889" s="114"/>
      <c r="W889" s="114"/>
      <c r="X889" s="114"/>
      <c r="Y889" s="114"/>
      <c r="Z889" s="114"/>
      <c r="AA889" s="114"/>
      <c r="AB889" s="114"/>
      <c r="AC889" s="114"/>
      <c r="AD889" s="114"/>
      <c r="AE889" s="114"/>
    </row>
    <row r="890" ht="12.75" customHeight="1">
      <c r="A890" s="114"/>
      <c r="B890" s="114"/>
      <c r="C890" s="114"/>
      <c r="D890" s="114"/>
      <c r="E890" s="114"/>
      <c r="F890" s="114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4"/>
      <c r="U890" s="114"/>
      <c r="V890" s="114"/>
      <c r="W890" s="114"/>
      <c r="X890" s="114"/>
      <c r="Y890" s="114"/>
      <c r="Z890" s="114"/>
      <c r="AA890" s="114"/>
      <c r="AB890" s="114"/>
      <c r="AC890" s="114"/>
      <c r="AD890" s="114"/>
      <c r="AE890" s="114"/>
    </row>
    <row r="891" ht="12.75" customHeight="1">
      <c r="A891" s="114"/>
      <c r="B891" s="114"/>
      <c r="C891" s="114"/>
      <c r="D891" s="114"/>
      <c r="E891" s="114"/>
      <c r="F891" s="114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4"/>
      <c r="U891" s="114"/>
      <c r="V891" s="114"/>
      <c r="W891" s="114"/>
      <c r="X891" s="114"/>
      <c r="Y891" s="114"/>
      <c r="Z891" s="114"/>
      <c r="AA891" s="114"/>
      <c r="AB891" s="114"/>
      <c r="AC891" s="114"/>
      <c r="AD891" s="114"/>
      <c r="AE891" s="114"/>
    </row>
    <row r="892" ht="12.75" customHeight="1">
      <c r="A892" s="114"/>
      <c r="B892" s="114"/>
      <c r="C892" s="114"/>
      <c r="D892" s="114"/>
      <c r="E892" s="114"/>
      <c r="F892" s="114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4"/>
      <c r="U892" s="114"/>
      <c r="V892" s="114"/>
      <c r="W892" s="114"/>
      <c r="X892" s="114"/>
      <c r="Y892" s="114"/>
      <c r="Z892" s="114"/>
      <c r="AA892" s="114"/>
      <c r="AB892" s="114"/>
      <c r="AC892" s="114"/>
      <c r="AD892" s="114"/>
      <c r="AE892" s="114"/>
    </row>
    <row r="893" ht="12.75" customHeight="1">
      <c r="A893" s="114"/>
      <c r="B893" s="114"/>
      <c r="C893" s="114"/>
      <c r="D893" s="114"/>
      <c r="E893" s="114"/>
      <c r="F893" s="114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4"/>
      <c r="U893" s="114"/>
      <c r="V893" s="114"/>
      <c r="W893" s="114"/>
      <c r="X893" s="114"/>
      <c r="Y893" s="114"/>
      <c r="Z893" s="114"/>
      <c r="AA893" s="114"/>
      <c r="AB893" s="114"/>
      <c r="AC893" s="114"/>
      <c r="AD893" s="114"/>
      <c r="AE893" s="114"/>
    </row>
    <row r="894" ht="12.75" customHeight="1">
      <c r="A894" s="114"/>
      <c r="B894" s="114"/>
      <c r="C894" s="114"/>
      <c r="D894" s="114"/>
      <c r="E894" s="114"/>
      <c r="F894" s="114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4"/>
      <c r="U894" s="114"/>
      <c r="V894" s="114"/>
      <c r="W894" s="114"/>
      <c r="X894" s="114"/>
      <c r="Y894" s="114"/>
      <c r="Z894" s="114"/>
      <c r="AA894" s="114"/>
      <c r="AB894" s="114"/>
      <c r="AC894" s="114"/>
      <c r="AD894" s="114"/>
      <c r="AE894" s="114"/>
    </row>
    <row r="895" ht="12.75" customHeight="1">
      <c r="A895" s="114"/>
      <c r="B895" s="114"/>
      <c r="C895" s="114"/>
      <c r="D895" s="114"/>
      <c r="E895" s="114"/>
      <c r="F895" s="114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4"/>
      <c r="U895" s="114"/>
      <c r="V895" s="114"/>
      <c r="W895" s="114"/>
      <c r="X895" s="114"/>
      <c r="Y895" s="114"/>
      <c r="Z895" s="114"/>
      <c r="AA895" s="114"/>
      <c r="AB895" s="114"/>
      <c r="AC895" s="114"/>
      <c r="AD895" s="114"/>
      <c r="AE895" s="114"/>
    </row>
    <row r="896" ht="12.75" customHeight="1">
      <c r="A896" s="114"/>
      <c r="B896" s="114"/>
      <c r="C896" s="114"/>
      <c r="D896" s="114"/>
      <c r="E896" s="114"/>
      <c r="F896" s="114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4"/>
      <c r="U896" s="114"/>
      <c r="V896" s="114"/>
      <c r="W896" s="114"/>
      <c r="X896" s="114"/>
      <c r="Y896" s="114"/>
      <c r="Z896" s="114"/>
      <c r="AA896" s="114"/>
      <c r="AB896" s="114"/>
      <c r="AC896" s="114"/>
      <c r="AD896" s="114"/>
      <c r="AE896" s="114"/>
    </row>
    <row r="897" ht="12.75" customHeight="1">
      <c r="A897" s="114"/>
      <c r="B897" s="114"/>
      <c r="C897" s="114"/>
      <c r="D897" s="114"/>
      <c r="E897" s="114"/>
      <c r="F897" s="114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4"/>
      <c r="U897" s="114"/>
      <c r="V897" s="114"/>
      <c r="W897" s="114"/>
      <c r="X897" s="114"/>
      <c r="Y897" s="114"/>
      <c r="Z897" s="114"/>
      <c r="AA897" s="114"/>
      <c r="AB897" s="114"/>
      <c r="AC897" s="114"/>
      <c r="AD897" s="114"/>
      <c r="AE897" s="114"/>
    </row>
    <row r="898" ht="12.75" customHeight="1">
      <c r="A898" s="114"/>
      <c r="B898" s="114"/>
      <c r="C898" s="114"/>
      <c r="D898" s="114"/>
      <c r="E898" s="114"/>
      <c r="F898" s="114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4"/>
      <c r="U898" s="114"/>
      <c r="V898" s="114"/>
      <c r="W898" s="114"/>
      <c r="X898" s="114"/>
      <c r="Y898" s="114"/>
      <c r="Z898" s="114"/>
      <c r="AA898" s="114"/>
      <c r="AB898" s="114"/>
      <c r="AC898" s="114"/>
      <c r="AD898" s="114"/>
      <c r="AE898" s="114"/>
    </row>
    <row r="899" ht="12.75" customHeight="1">
      <c r="A899" s="114"/>
      <c r="B899" s="114"/>
      <c r="C899" s="114"/>
      <c r="D899" s="114"/>
      <c r="E899" s="114"/>
      <c r="F899" s="114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4"/>
      <c r="U899" s="114"/>
      <c r="V899" s="114"/>
      <c r="W899" s="114"/>
      <c r="X899" s="114"/>
      <c r="Y899" s="114"/>
      <c r="Z899" s="114"/>
      <c r="AA899" s="114"/>
      <c r="AB899" s="114"/>
      <c r="AC899" s="114"/>
      <c r="AD899" s="114"/>
      <c r="AE899" s="114"/>
    </row>
    <row r="900" ht="12.75" customHeight="1">
      <c r="A900" s="114"/>
      <c r="B900" s="114"/>
      <c r="C900" s="114"/>
      <c r="D900" s="114"/>
      <c r="E900" s="114"/>
      <c r="F900" s="114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4"/>
      <c r="U900" s="114"/>
      <c r="V900" s="114"/>
      <c r="W900" s="114"/>
      <c r="X900" s="114"/>
      <c r="Y900" s="114"/>
      <c r="Z900" s="114"/>
      <c r="AA900" s="114"/>
      <c r="AB900" s="114"/>
      <c r="AC900" s="114"/>
      <c r="AD900" s="114"/>
      <c r="AE900" s="114"/>
    </row>
    <row r="901" ht="12.75" customHeight="1">
      <c r="A901" s="114"/>
      <c r="B901" s="114"/>
      <c r="C901" s="114"/>
      <c r="D901" s="114"/>
      <c r="E901" s="114"/>
      <c r="F901" s="114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4"/>
      <c r="U901" s="114"/>
      <c r="V901" s="114"/>
      <c r="W901" s="114"/>
      <c r="X901" s="114"/>
      <c r="Y901" s="114"/>
      <c r="Z901" s="114"/>
      <c r="AA901" s="114"/>
      <c r="AB901" s="114"/>
      <c r="AC901" s="114"/>
      <c r="AD901" s="114"/>
      <c r="AE901" s="114"/>
    </row>
    <row r="902" ht="12.75" customHeight="1">
      <c r="A902" s="114"/>
      <c r="B902" s="114"/>
      <c r="C902" s="114"/>
      <c r="D902" s="114"/>
      <c r="E902" s="114"/>
      <c r="F902" s="114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4"/>
      <c r="U902" s="114"/>
      <c r="V902" s="114"/>
      <c r="W902" s="114"/>
      <c r="X902" s="114"/>
      <c r="Y902" s="114"/>
      <c r="Z902" s="114"/>
      <c r="AA902" s="114"/>
      <c r="AB902" s="114"/>
      <c r="AC902" s="114"/>
      <c r="AD902" s="114"/>
      <c r="AE902" s="114"/>
    </row>
    <row r="903" ht="12.75" customHeight="1">
      <c r="A903" s="114"/>
      <c r="B903" s="114"/>
      <c r="C903" s="114"/>
      <c r="D903" s="114"/>
      <c r="E903" s="114"/>
      <c r="F903" s="114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4"/>
      <c r="U903" s="114"/>
      <c r="V903" s="114"/>
      <c r="W903" s="114"/>
      <c r="X903" s="114"/>
      <c r="Y903" s="114"/>
      <c r="Z903" s="114"/>
      <c r="AA903" s="114"/>
      <c r="AB903" s="114"/>
      <c r="AC903" s="114"/>
      <c r="AD903" s="114"/>
      <c r="AE903" s="114"/>
    </row>
    <row r="904" ht="12.75" customHeight="1">
      <c r="A904" s="114"/>
      <c r="B904" s="114"/>
      <c r="C904" s="114"/>
      <c r="D904" s="114"/>
      <c r="E904" s="114"/>
      <c r="F904" s="114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4"/>
      <c r="U904" s="114"/>
      <c r="V904" s="114"/>
      <c r="W904" s="114"/>
      <c r="X904" s="114"/>
      <c r="Y904" s="114"/>
      <c r="Z904" s="114"/>
      <c r="AA904" s="114"/>
      <c r="AB904" s="114"/>
      <c r="AC904" s="114"/>
      <c r="AD904" s="114"/>
      <c r="AE904" s="114"/>
    </row>
    <row r="905" ht="12.75" customHeight="1">
      <c r="A905" s="114"/>
      <c r="B905" s="114"/>
      <c r="C905" s="114"/>
      <c r="D905" s="114"/>
      <c r="E905" s="114"/>
      <c r="F905" s="114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4"/>
      <c r="U905" s="114"/>
      <c r="V905" s="114"/>
      <c r="W905" s="114"/>
      <c r="X905" s="114"/>
      <c r="Y905" s="114"/>
      <c r="Z905" s="114"/>
      <c r="AA905" s="114"/>
      <c r="AB905" s="114"/>
      <c r="AC905" s="114"/>
      <c r="AD905" s="114"/>
      <c r="AE905" s="114"/>
    </row>
    <row r="906" ht="12.75" customHeight="1">
      <c r="A906" s="114"/>
      <c r="B906" s="114"/>
      <c r="C906" s="114"/>
      <c r="D906" s="114"/>
      <c r="E906" s="114"/>
      <c r="F906" s="114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4"/>
      <c r="U906" s="114"/>
      <c r="V906" s="114"/>
      <c r="W906" s="114"/>
      <c r="X906" s="114"/>
      <c r="Y906" s="114"/>
      <c r="Z906" s="114"/>
      <c r="AA906" s="114"/>
      <c r="AB906" s="114"/>
      <c r="AC906" s="114"/>
      <c r="AD906" s="114"/>
      <c r="AE906" s="114"/>
    </row>
    <row r="907" ht="12.75" customHeight="1">
      <c r="A907" s="114"/>
      <c r="B907" s="114"/>
      <c r="C907" s="114"/>
      <c r="D907" s="114"/>
      <c r="E907" s="114"/>
      <c r="F907" s="114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4"/>
      <c r="U907" s="114"/>
      <c r="V907" s="114"/>
      <c r="W907" s="114"/>
      <c r="X907" s="114"/>
      <c r="Y907" s="114"/>
      <c r="Z907" s="114"/>
      <c r="AA907" s="114"/>
      <c r="AB907" s="114"/>
      <c r="AC907" s="114"/>
      <c r="AD907" s="114"/>
      <c r="AE907" s="114"/>
    </row>
    <row r="908" ht="12.75" customHeight="1">
      <c r="A908" s="114"/>
      <c r="B908" s="114"/>
      <c r="C908" s="114"/>
      <c r="D908" s="114"/>
      <c r="E908" s="114"/>
      <c r="F908" s="114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4"/>
      <c r="U908" s="114"/>
      <c r="V908" s="114"/>
      <c r="W908" s="114"/>
      <c r="X908" s="114"/>
      <c r="Y908" s="114"/>
      <c r="Z908" s="114"/>
      <c r="AA908" s="114"/>
      <c r="AB908" s="114"/>
      <c r="AC908" s="114"/>
      <c r="AD908" s="114"/>
      <c r="AE908" s="114"/>
    </row>
    <row r="909" ht="12.75" customHeight="1">
      <c r="A909" s="114"/>
      <c r="B909" s="114"/>
      <c r="C909" s="114"/>
      <c r="D909" s="114"/>
      <c r="E909" s="114"/>
      <c r="F909" s="114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4"/>
      <c r="U909" s="114"/>
      <c r="V909" s="114"/>
      <c r="W909" s="114"/>
      <c r="X909" s="114"/>
      <c r="Y909" s="114"/>
      <c r="Z909" s="114"/>
      <c r="AA909" s="114"/>
      <c r="AB909" s="114"/>
      <c r="AC909" s="114"/>
      <c r="AD909" s="114"/>
      <c r="AE909" s="114"/>
    </row>
    <row r="910" ht="12.75" customHeight="1">
      <c r="A910" s="114"/>
      <c r="B910" s="114"/>
      <c r="C910" s="114"/>
      <c r="D910" s="114"/>
      <c r="E910" s="114"/>
      <c r="F910" s="114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4"/>
      <c r="U910" s="114"/>
      <c r="V910" s="114"/>
      <c r="W910" s="114"/>
      <c r="X910" s="114"/>
      <c r="Y910" s="114"/>
      <c r="Z910" s="114"/>
      <c r="AA910" s="114"/>
      <c r="AB910" s="114"/>
      <c r="AC910" s="114"/>
      <c r="AD910" s="114"/>
      <c r="AE910" s="114"/>
    </row>
    <row r="911" ht="12.75" customHeight="1">
      <c r="A911" s="114"/>
      <c r="B911" s="114"/>
      <c r="C911" s="114"/>
      <c r="D911" s="114"/>
      <c r="E911" s="114"/>
      <c r="F911" s="114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4"/>
      <c r="U911" s="114"/>
      <c r="V911" s="114"/>
      <c r="W911" s="114"/>
      <c r="X911" s="114"/>
      <c r="Y911" s="114"/>
      <c r="Z911" s="114"/>
      <c r="AA911" s="114"/>
      <c r="AB911" s="114"/>
      <c r="AC911" s="114"/>
      <c r="AD911" s="114"/>
      <c r="AE911" s="114"/>
    </row>
    <row r="912" ht="12.75" customHeight="1">
      <c r="A912" s="114"/>
      <c r="B912" s="114"/>
      <c r="C912" s="114"/>
      <c r="D912" s="114"/>
      <c r="E912" s="114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4"/>
      <c r="U912" s="114"/>
      <c r="V912" s="114"/>
      <c r="W912" s="114"/>
      <c r="X912" s="114"/>
      <c r="Y912" s="114"/>
      <c r="Z912" s="114"/>
      <c r="AA912" s="114"/>
      <c r="AB912" s="114"/>
      <c r="AC912" s="114"/>
      <c r="AD912" s="114"/>
      <c r="AE912" s="114"/>
    </row>
    <row r="913" ht="12.75" customHeight="1">
      <c r="A913" s="114"/>
      <c r="B913" s="114"/>
      <c r="C913" s="114"/>
      <c r="D913" s="114"/>
      <c r="E913" s="114"/>
      <c r="F913" s="114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4"/>
      <c r="U913" s="114"/>
      <c r="V913" s="114"/>
      <c r="W913" s="114"/>
      <c r="X913" s="114"/>
      <c r="Y913" s="114"/>
      <c r="Z913" s="114"/>
      <c r="AA913" s="114"/>
      <c r="AB913" s="114"/>
      <c r="AC913" s="114"/>
      <c r="AD913" s="114"/>
      <c r="AE913" s="114"/>
    </row>
    <row r="914" ht="12.75" customHeight="1">
      <c r="A914" s="114"/>
      <c r="B914" s="114"/>
      <c r="C914" s="114"/>
      <c r="D914" s="114"/>
      <c r="E914" s="114"/>
      <c r="F914" s="114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4"/>
      <c r="U914" s="114"/>
      <c r="V914" s="114"/>
      <c r="W914" s="114"/>
      <c r="X914" s="114"/>
      <c r="Y914" s="114"/>
      <c r="Z914" s="114"/>
      <c r="AA914" s="114"/>
      <c r="AB914" s="114"/>
      <c r="AC914" s="114"/>
      <c r="AD914" s="114"/>
      <c r="AE914" s="114"/>
    </row>
    <row r="915" ht="12.75" customHeight="1">
      <c r="A915" s="114"/>
      <c r="B915" s="114"/>
      <c r="C915" s="114"/>
      <c r="D915" s="114"/>
      <c r="E915" s="114"/>
      <c r="F915" s="114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4"/>
      <c r="U915" s="114"/>
      <c r="V915" s="114"/>
      <c r="W915" s="114"/>
      <c r="X915" s="114"/>
      <c r="Y915" s="114"/>
      <c r="Z915" s="114"/>
      <c r="AA915" s="114"/>
      <c r="AB915" s="114"/>
      <c r="AC915" s="114"/>
      <c r="AD915" s="114"/>
      <c r="AE915" s="114"/>
    </row>
    <row r="916" ht="12.75" customHeight="1">
      <c r="A916" s="114"/>
      <c r="B916" s="114"/>
      <c r="C916" s="114"/>
      <c r="D916" s="114"/>
      <c r="E916" s="114"/>
      <c r="F916" s="114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4"/>
      <c r="U916" s="114"/>
      <c r="V916" s="114"/>
      <c r="W916" s="114"/>
      <c r="X916" s="114"/>
      <c r="Y916" s="114"/>
      <c r="Z916" s="114"/>
      <c r="AA916" s="114"/>
      <c r="AB916" s="114"/>
      <c r="AC916" s="114"/>
      <c r="AD916" s="114"/>
      <c r="AE916" s="114"/>
    </row>
    <row r="917" ht="12.75" customHeight="1">
      <c r="A917" s="114"/>
      <c r="B917" s="114"/>
      <c r="C917" s="114"/>
      <c r="D917" s="114"/>
      <c r="E917" s="114"/>
      <c r="F917" s="114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4"/>
      <c r="U917" s="114"/>
      <c r="V917" s="114"/>
      <c r="W917" s="114"/>
      <c r="X917" s="114"/>
      <c r="Y917" s="114"/>
      <c r="Z917" s="114"/>
      <c r="AA917" s="114"/>
      <c r="AB917" s="114"/>
      <c r="AC917" s="114"/>
      <c r="AD917" s="114"/>
      <c r="AE917" s="114"/>
    </row>
    <row r="918" ht="12.75" customHeight="1">
      <c r="A918" s="114"/>
      <c r="B918" s="114"/>
      <c r="C918" s="114"/>
      <c r="D918" s="114"/>
      <c r="E918" s="114"/>
      <c r="F918" s="114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4"/>
      <c r="U918" s="114"/>
      <c r="V918" s="114"/>
      <c r="W918" s="114"/>
      <c r="X918" s="114"/>
      <c r="Y918" s="114"/>
      <c r="Z918" s="114"/>
      <c r="AA918" s="114"/>
      <c r="AB918" s="114"/>
      <c r="AC918" s="114"/>
      <c r="AD918" s="114"/>
      <c r="AE918" s="114"/>
    </row>
    <row r="919" ht="12.75" customHeight="1">
      <c r="A919" s="114"/>
      <c r="B919" s="114"/>
      <c r="C919" s="114"/>
      <c r="D919" s="114"/>
      <c r="E919" s="114"/>
      <c r="F919" s="114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4"/>
      <c r="U919" s="114"/>
      <c r="V919" s="114"/>
      <c r="W919" s="114"/>
      <c r="X919" s="114"/>
      <c r="Y919" s="114"/>
      <c r="Z919" s="114"/>
      <c r="AA919" s="114"/>
      <c r="AB919" s="114"/>
      <c r="AC919" s="114"/>
      <c r="AD919" s="114"/>
      <c r="AE919" s="114"/>
    </row>
    <row r="920" ht="12.75" customHeight="1">
      <c r="A920" s="114"/>
      <c r="B920" s="114"/>
      <c r="C920" s="114"/>
      <c r="D920" s="114"/>
      <c r="E920" s="114"/>
      <c r="F920" s="114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4"/>
      <c r="U920" s="114"/>
      <c r="V920" s="114"/>
      <c r="W920" s="114"/>
      <c r="X920" s="114"/>
      <c r="Y920" s="114"/>
      <c r="Z920" s="114"/>
      <c r="AA920" s="114"/>
      <c r="AB920" s="114"/>
      <c r="AC920" s="114"/>
      <c r="AD920" s="114"/>
      <c r="AE920" s="114"/>
    </row>
    <row r="921" ht="12.75" customHeight="1">
      <c r="A921" s="114"/>
      <c r="B921" s="114"/>
      <c r="C921" s="114"/>
      <c r="D921" s="114"/>
      <c r="E921" s="114"/>
      <c r="F921" s="114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4"/>
      <c r="U921" s="114"/>
      <c r="V921" s="114"/>
      <c r="W921" s="114"/>
      <c r="X921" s="114"/>
      <c r="Y921" s="114"/>
      <c r="Z921" s="114"/>
      <c r="AA921" s="114"/>
      <c r="AB921" s="114"/>
      <c r="AC921" s="114"/>
      <c r="AD921" s="114"/>
      <c r="AE921" s="114"/>
    </row>
    <row r="922" ht="12.75" customHeight="1">
      <c r="A922" s="114"/>
      <c r="B922" s="114"/>
      <c r="C922" s="114"/>
      <c r="D922" s="114"/>
      <c r="E922" s="114"/>
      <c r="F922" s="114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4"/>
      <c r="U922" s="114"/>
      <c r="V922" s="114"/>
      <c r="W922" s="114"/>
      <c r="X922" s="114"/>
      <c r="Y922" s="114"/>
      <c r="Z922" s="114"/>
      <c r="AA922" s="114"/>
      <c r="AB922" s="114"/>
      <c r="AC922" s="114"/>
      <c r="AD922" s="114"/>
      <c r="AE922" s="114"/>
    </row>
    <row r="923" ht="12.75" customHeight="1">
      <c r="A923" s="114"/>
      <c r="B923" s="114"/>
      <c r="C923" s="114"/>
      <c r="D923" s="114"/>
      <c r="E923" s="114"/>
      <c r="F923" s="114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4"/>
      <c r="U923" s="114"/>
      <c r="V923" s="114"/>
      <c r="W923" s="114"/>
      <c r="X923" s="114"/>
      <c r="Y923" s="114"/>
      <c r="Z923" s="114"/>
      <c r="AA923" s="114"/>
      <c r="AB923" s="114"/>
      <c r="AC923" s="114"/>
      <c r="AD923" s="114"/>
      <c r="AE923" s="114"/>
    </row>
    <row r="924" ht="12.75" customHeight="1">
      <c r="A924" s="114"/>
      <c r="B924" s="114"/>
      <c r="C924" s="114"/>
      <c r="D924" s="114"/>
      <c r="E924" s="114"/>
      <c r="F924" s="114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4"/>
      <c r="U924" s="114"/>
      <c r="V924" s="114"/>
      <c r="W924" s="114"/>
      <c r="X924" s="114"/>
      <c r="Y924" s="114"/>
      <c r="Z924" s="114"/>
      <c r="AA924" s="114"/>
      <c r="AB924" s="114"/>
      <c r="AC924" s="114"/>
      <c r="AD924" s="114"/>
      <c r="AE924" s="114"/>
    </row>
    <row r="925" ht="12.75" customHeight="1">
      <c r="A925" s="114"/>
      <c r="B925" s="114"/>
      <c r="C925" s="114"/>
      <c r="D925" s="114"/>
      <c r="E925" s="114"/>
      <c r="F925" s="114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4"/>
      <c r="U925" s="114"/>
      <c r="V925" s="114"/>
      <c r="W925" s="114"/>
      <c r="X925" s="114"/>
      <c r="Y925" s="114"/>
      <c r="Z925" s="114"/>
      <c r="AA925" s="114"/>
      <c r="AB925" s="114"/>
      <c r="AC925" s="114"/>
      <c r="AD925" s="114"/>
      <c r="AE925" s="114"/>
    </row>
    <row r="926" ht="12.75" customHeight="1">
      <c r="A926" s="114"/>
      <c r="B926" s="114"/>
      <c r="C926" s="114"/>
      <c r="D926" s="114"/>
      <c r="E926" s="114"/>
      <c r="F926" s="114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4"/>
      <c r="U926" s="114"/>
      <c r="V926" s="114"/>
      <c r="W926" s="114"/>
      <c r="X926" s="114"/>
      <c r="Y926" s="114"/>
      <c r="Z926" s="114"/>
      <c r="AA926" s="114"/>
      <c r="AB926" s="114"/>
      <c r="AC926" s="114"/>
      <c r="AD926" s="114"/>
      <c r="AE926" s="114"/>
    </row>
    <row r="927" ht="12.75" customHeight="1">
      <c r="A927" s="114"/>
      <c r="B927" s="114"/>
      <c r="C927" s="114"/>
      <c r="D927" s="114"/>
      <c r="E927" s="114"/>
      <c r="F927" s="114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4"/>
      <c r="U927" s="114"/>
      <c r="V927" s="114"/>
      <c r="W927" s="114"/>
      <c r="X927" s="114"/>
      <c r="Y927" s="114"/>
      <c r="Z927" s="114"/>
      <c r="AA927" s="114"/>
      <c r="AB927" s="114"/>
      <c r="AC927" s="114"/>
      <c r="AD927" s="114"/>
      <c r="AE927" s="114"/>
    </row>
    <row r="928" ht="12.75" customHeight="1">
      <c r="A928" s="114"/>
      <c r="B928" s="114"/>
      <c r="C928" s="114"/>
      <c r="D928" s="114"/>
      <c r="E928" s="114"/>
      <c r="F928" s="114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4"/>
      <c r="U928" s="114"/>
      <c r="V928" s="114"/>
      <c r="W928" s="114"/>
      <c r="X928" s="114"/>
      <c r="Y928" s="114"/>
      <c r="Z928" s="114"/>
      <c r="AA928" s="114"/>
      <c r="AB928" s="114"/>
      <c r="AC928" s="114"/>
      <c r="AD928" s="114"/>
      <c r="AE928" s="114"/>
    </row>
    <row r="929" ht="12.75" customHeight="1">
      <c r="A929" s="114"/>
      <c r="B929" s="114"/>
      <c r="C929" s="114"/>
      <c r="D929" s="114"/>
      <c r="E929" s="114"/>
      <c r="F929" s="114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4"/>
      <c r="U929" s="114"/>
      <c r="V929" s="114"/>
      <c r="W929" s="114"/>
      <c r="X929" s="114"/>
      <c r="Y929" s="114"/>
      <c r="Z929" s="114"/>
      <c r="AA929" s="114"/>
      <c r="AB929" s="114"/>
      <c r="AC929" s="114"/>
      <c r="AD929" s="114"/>
      <c r="AE929" s="114"/>
    </row>
    <row r="930" ht="12.75" customHeight="1">
      <c r="A930" s="114"/>
      <c r="B930" s="114"/>
      <c r="C930" s="114"/>
      <c r="D930" s="114"/>
      <c r="E930" s="114"/>
      <c r="F930" s="114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4"/>
      <c r="U930" s="114"/>
      <c r="V930" s="114"/>
      <c r="W930" s="114"/>
      <c r="X930" s="114"/>
      <c r="Y930" s="114"/>
      <c r="Z930" s="114"/>
      <c r="AA930" s="114"/>
      <c r="AB930" s="114"/>
      <c r="AC930" s="114"/>
      <c r="AD930" s="114"/>
      <c r="AE930" s="114"/>
    </row>
    <row r="931" ht="12.75" customHeight="1">
      <c r="A931" s="114"/>
      <c r="B931" s="114"/>
      <c r="C931" s="114"/>
      <c r="D931" s="114"/>
      <c r="E931" s="114"/>
      <c r="F931" s="114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4"/>
      <c r="U931" s="114"/>
      <c r="V931" s="114"/>
      <c r="W931" s="114"/>
      <c r="X931" s="114"/>
      <c r="Y931" s="114"/>
      <c r="Z931" s="114"/>
      <c r="AA931" s="114"/>
      <c r="AB931" s="114"/>
      <c r="AC931" s="114"/>
      <c r="AD931" s="114"/>
      <c r="AE931" s="114"/>
    </row>
    <row r="932" ht="12.75" customHeight="1">
      <c r="A932" s="114"/>
      <c r="B932" s="114"/>
      <c r="C932" s="114"/>
      <c r="D932" s="114"/>
      <c r="E932" s="114"/>
      <c r="F932" s="114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4"/>
      <c r="U932" s="114"/>
      <c r="V932" s="114"/>
      <c r="W932" s="114"/>
      <c r="X932" s="114"/>
      <c r="Y932" s="114"/>
      <c r="Z932" s="114"/>
      <c r="AA932" s="114"/>
      <c r="AB932" s="114"/>
      <c r="AC932" s="114"/>
      <c r="AD932" s="114"/>
      <c r="AE932" s="114"/>
    </row>
    <row r="933" ht="12.75" customHeight="1">
      <c r="A933" s="114"/>
      <c r="B933" s="114"/>
      <c r="C933" s="114"/>
      <c r="D933" s="114"/>
      <c r="E933" s="114"/>
      <c r="F933" s="114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4"/>
      <c r="U933" s="114"/>
      <c r="V933" s="114"/>
      <c r="W933" s="114"/>
      <c r="X933" s="114"/>
      <c r="Y933" s="114"/>
      <c r="Z933" s="114"/>
      <c r="AA933" s="114"/>
      <c r="AB933" s="114"/>
      <c r="AC933" s="114"/>
      <c r="AD933" s="114"/>
      <c r="AE933" s="114"/>
    </row>
    <row r="934" ht="12.75" customHeight="1">
      <c r="A934" s="114"/>
      <c r="B934" s="114"/>
      <c r="C934" s="114"/>
      <c r="D934" s="114"/>
      <c r="E934" s="114"/>
      <c r="F934" s="114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4"/>
      <c r="U934" s="114"/>
      <c r="V934" s="114"/>
      <c r="W934" s="114"/>
      <c r="X934" s="114"/>
      <c r="Y934" s="114"/>
      <c r="Z934" s="114"/>
      <c r="AA934" s="114"/>
      <c r="AB934" s="114"/>
      <c r="AC934" s="114"/>
      <c r="AD934" s="114"/>
      <c r="AE934" s="114"/>
    </row>
    <row r="935" ht="12.75" customHeight="1">
      <c r="A935" s="114"/>
      <c r="B935" s="114"/>
      <c r="C935" s="114"/>
      <c r="D935" s="114"/>
      <c r="E935" s="114"/>
      <c r="F935" s="114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4"/>
      <c r="U935" s="114"/>
      <c r="V935" s="114"/>
      <c r="W935" s="114"/>
      <c r="X935" s="114"/>
      <c r="Y935" s="114"/>
      <c r="Z935" s="114"/>
      <c r="AA935" s="114"/>
      <c r="AB935" s="114"/>
      <c r="AC935" s="114"/>
      <c r="AD935" s="114"/>
      <c r="AE935" s="114"/>
    </row>
    <row r="936" ht="12.75" customHeight="1">
      <c r="A936" s="114"/>
      <c r="B936" s="114"/>
      <c r="C936" s="114"/>
      <c r="D936" s="114"/>
      <c r="E936" s="114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4"/>
      <c r="U936" s="114"/>
      <c r="V936" s="114"/>
      <c r="W936" s="114"/>
      <c r="X936" s="114"/>
      <c r="Y936" s="114"/>
      <c r="Z936" s="114"/>
      <c r="AA936" s="114"/>
      <c r="AB936" s="114"/>
      <c r="AC936" s="114"/>
      <c r="AD936" s="114"/>
      <c r="AE936" s="114"/>
    </row>
    <row r="937" ht="12.75" customHeight="1">
      <c r="A937" s="114"/>
      <c r="B937" s="114"/>
      <c r="C937" s="114"/>
      <c r="D937" s="114"/>
      <c r="E937" s="114"/>
      <c r="F937" s="114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4"/>
      <c r="U937" s="114"/>
      <c r="V937" s="114"/>
      <c r="W937" s="114"/>
      <c r="X937" s="114"/>
      <c r="Y937" s="114"/>
      <c r="Z937" s="114"/>
      <c r="AA937" s="114"/>
      <c r="AB937" s="114"/>
      <c r="AC937" s="114"/>
      <c r="AD937" s="114"/>
      <c r="AE937" s="114"/>
    </row>
    <row r="938" ht="12.75" customHeight="1">
      <c r="A938" s="114"/>
      <c r="B938" s="114"/>
      <c r="C938" s="114"/>
      <c r="D938" s="114"/>
      <c r="E938" s="114"/>
      <c r="F938" s="114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4"/>
      <c r="U938" s="114"/>
      <c r="V938" s="114"/>
      <c r="W938" s="114"/>
      <c r="X938" s="114"/>
      <c r="Y938" s="114"/>
      <c r="Z938" s="114"/>
      <c r="AA938" s="114"/>
      <c r="AB938" s="114"/>
      <c r="AC938" s="114"/>
      <c r="AD938" s="114"/>
      <c r="AE938" s="114"/>
    </row>
    <row r="939" ht="12.75" customHeight="1">
      <c r="A939" s="114"/>
      <c r="B939" s="114"/>
      <c r="C939" s="114"/>
      <c r="D939" s="114"/>
      <c r="E939" s="114"/>
      <c r="F939" s="114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4"/>
      <c r="U939" s="114"/>
      <c r="V939" s="114"/>
      <c r="W939" s="114"/>
      <c r="X939" s="114"/>
      <c r="Y939" s="114"/>
      <c r="Z939" s="114"/>
      <c r="AA939" s="114"/>
      <c r="AB939" s="114"/>
      <c r="AC939" s="114"/>
      <c r="AD939" s="114"/>
      <c r="AE939" s="114"/>
    </row>
    <row r="940" ht="12.75" customHeight="1">
      <c r="A940" s="114"/>
      <c r="B940" s="114"/>
      <c r="C940" s="114"/>
      <c r="D940" s="114"/>
      <c r="E940" s="114"/>
      <c r="F940" s="114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4"/>
      <c r="U940" s="114"/>
      <c r="V940" s="114"/>
      <c r="W940" s="114"/>
      <c r="X940" s="114"/>
      <c r="Y940" s="114"/>
      <c r="Z940" s="114"/>
      <c r="AA940" s="114"/>
      <c r="AB940" s="114"/>
      <c r="AC940" s="114"/>
      <c r="AD940" s="114"/>
      <c r="AE940" s="114"/>
    </row>
    <row r="941" ht="12.75" customHeight="1">
      <c r="A941" s="114"/>
      <c r="B941" s="114"/>
      <c r="C941" s="114"/>
      <c r="D941" s="114"/>
      <c r="E941" s="114"/>
      <c r="F941" s="114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4"/>
      <c r="U941" s="114"/>
      <c r="V941" s="114"/>
      <c r="W941" s="114"/>
      <c r="X941" s="114"/>
      <c r="Y941" s="114"/>
      <c r="Z941" s="114"/>
      <c r="AA941" s="114"/>
      <c r="AB941" s="114"/>
      <c r="AC941" s="114"/>
      <c r="AD941" s="114"/>
      <c r="AE941" s="114"/>
    </row>
    <row r="942" ht="12.75" customHeight="1">
      <c r="A942" s="114"/>
      <c r="B942" s="114"/>
      <c r="C942" s="114"/>
      <c r="D942" s="114"/>
      <c r="E942" s="114"/>
      <c r="F942" s="114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4"/>
      <c r="U942" s="114"/>
      <c r="V942" s="114"/>
      <c r="W942" s="114"/>
      <c r="X942" s="114"/>
      <c r="Y942" s="114"/>
      <c r="Z942" s="114"/>
      <c r="AA942" s="114"/>
      <c r="AB942" s="114"/>
      <c r="AC942" s="114"/>
      <c r="AD942" s="114"/>
      <c r="AE942" s="114"/>
    </row>
    <row r="943" ht="12.75" customHeight="1">
      <c r="A943" s="114"/>
      <c r="B943" s="114"/>
      <c r="C943" s="114"/>
      <c r="D943" s="114"/>
      <c r="E943" s="114"/>
      <c r="F943" s="114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4"/>
      <c r="U943" s="114"/>
      <c r="V943" s="114"/>
      <c r="W943" s="114"/>
      <c r="X943" s="114"/>
      <c r="Y943" s="114"/>
      <c r="Z943" s="114"/>
      <c r="AA943" s="114"/>
      <c r="AB943" s="114"/>
      <c r="AC943" s="114"/>
      <c r="AD943" s="114"/>
      <c r="AE943" s="114"/>
    </row>
    <row r="944" ht="12.75" customHeight="1">
      <c r="A944" s="114"/>
      <c r="B944" s="114"/>
      <c r="C944" s="114"/>
      <c r="D944" s="114"/>
      <c r="E944" s="114"/>
      <c r="F944" s="114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4"/>
      <c r="U944" s="114"/>
      <c r="V944" s="114"/>
      <c r="W944" s="114"/>
      <c r="X944" s="114"/>
      <c r="Y944" s="114"/>
      <c r="Z944" s="114"/>
      <c r="AA944" s="114"/>
      <c r="AB944" s="114"/>
      <c r="AC944" s="114"/>
      <c r="AD944" s="114"/>
      <c r="AE944" s="114"/>
    </row>
    <row r="945" ht="12.75" customHeight="1">
      <c r="A945" s="114"/>
      <c r="B945" s="114"/>
      <c r="C945" s="114"/>
      <c r="D945" s="114"/>
      <c r="E945" s="114"/>
      <c r="F945" s="114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4"/>
      <c r="U945" s="114"/>
      <c r="V945" s="114"/>
      <c r="W945" s="114"/>
      <c r="X945" s="114"/>
      <c r="Y945" s="114"/>
      <c r="Z945" s="114"/>
      <c r="AA945" s="114"/>
      <c r="AB945" s="114"/>
      <c r="AC945" s="114"/>
      <c r="AD945" s="114"/>
      <c r="AE945" s="114"/>
    </row>
    <row r="946" ht="12.75" customHeight="1">
      <c r="A946" s="114"/>
      <c r="B946" s="114"/>
      <c r="C946" s="114"/>
      <c r="D946" s="114"/>
      <c r="E946" s="114"/>
      <c r="F946" s="114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4"/>
      <c r="U946" s="114"/>
      <c r="V946" s="114"/>
      <c r="W946" s="114"/>
      <c r="X946" s="114"/>
      <c r="Y946" s="114"/>
      <c r="Z946" s="114"/>
      <c r="AA946" s="114"/>
      <c r="AB946" s="114"/>
      <c r="AC946" s="114"/>
      <c r="AD946" s="114"/>
      <c r="AE946" s="114"/>
    </row>
    <row r="947" ht="12.75" customHeight="1">
      <c r="A947" s="114"/>
      <c r="B947" s="114"/>
      <c r="C947" s="114"/>
      <c r="D947" s="114"/>
      <c r="E947" s="114"/>
      <c r="F947" s="114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4"/>
      <c r="U947" s="114"/>
      <c r="V947" s="114"/>
      <c r="W947" s="114"/>
      <c r="X947" s="114"/>
      <c r="Y947" s="114"/>
      <c r="Z947" s="114"/>
      <c r="AA947" s="114"/>
      <c r="AB947" s="114"/>
      <c r="AC947" s="114"/>
      <c r="AD947" s="114"/>
      <c r="AE947" s="114"/>
    </row>
    <row r="948" ht="12.75" customHeight="1">
      <c r="A948" s="114"/>
      <c r="B948" s="114"/>
      <c r="C948" s="114"/>
      <c r="D948" s="114"/>
      <c r="E948" s="114"/>
      <c r="F948" s="114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4"/>
      <c r="U948" s="114"/>
      <c r="V948" s="114"/>
      <c r="W948" s="114"/>
      <c r="X948" s="114"/>
      <c r="Y948" s="114"/>
      <c r="Z948" s="114"/>
      <c r="AA948" s="114"/>
      <c r="AB948" s="114"/>
      <c r="AC948" s="114"/>
      <c r="AD948" s="114"/>
      <c r="AE948" s="114"/>
    </row>
    <row r="949" ht="12.75" customHeight="1">
      <c r="A949" s="114"/>
      <c r="B949" s="114"/>
      <c r="C949" s="114"/>
      <c r="D949" s="114"/>
      <c r="E949" s="114"/>
      <c r="F949" s="114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4"/>
      <c r="U949" s="114"/>
      <c r="V949" s="114"/>
      <c r="W949" s="114"/>
      <c r="X949" s="114"/>
      <c r="Y949" s="114"/>
      <c r="Z949" s="114"/>
      <c r="AA949" s="114"/>
      <c r="AB949" s="114"/>
      <c r="AC949" s="114"/>
      <c r="AD949" s="114"/>
      <c r="AE949" s="114"/>
    </row>
    <row r="950" ht="12.75" customHeight="1">
      <c r="A950" s="114"/>
      <c r="B950" s="114"/>
      <c r="C950" s="114"/>
      <c r="D950" s="114"/>
      <c r="E950" s="114"/>
      <c r="F950" s="114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4"/>
      <c r="U950" s="114"/>
      <c r="V950" s="114"/>
      <c r="W950" s="114"/>
      <c r="X950" s="114"/>
      <c r="Y950" s="114"/>
      <c r="Z950" s="114"/>
      <c r="AA950" s="114"/>
      <c r="AB950" s="114"/>
      <c r="AC950" s="114"/>
      <c r="AD950" s="114"/>
      <c r="AE950" s="114"/>
    </row>
    <row r="951" ht="12.75" customHeight="1">
      <c r="A951" s="114"/>
      <c r="B951" s="114"/>
      <c r="C951" s="114"/>
      <c r="D951" s="114"/>
      <c r="E951" s="114"/>
      <c r="F951" s="114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4"/>
      <c r="U951" s="114"/>
      <c r="V951" s="114"/>
      <c r="W951" s="114"/>
      <c r="X951" s="114"/>
      <c r="Y951" s="114"/>
      <c r="Z951" s="114"/>
      <c r="AA951" s="114"/>
      <c r="AB951" s="114"/>
      <c r="AC951" s="114"/>
      <c r="AD951" s="114"/>
      <c r="AE951" s="114"/>
    </row>
    <row r="952" ht="12.75" customHeight="1">
      <c r="A952" s="114"/>
      <c r="B952" s="114"/>
      <c r="C952" s="114"/>
      <c r="D952" s="114"/>
      <c r="E952" s="114"/>
      <c r="F952" s="114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4"/>
      <c r="U952" s="114"/>
      <c r="V952" s="114"/>
      <c r="W952" s="114"/>
      <c r="X952" s="114"/>
      <c r="Y952" s="114"/>
      <c r="Z952" s="114"/>
      <c r="AA952" s="114"/>
      <c r="AB952" s="114"/>
      <c r="AC952" s="114"/>
      <c r="AD952" s="114"/>
      <c r="AE952" s="114"/>
    </row>
    <row r="953" ht="12.75" customHeight="1">
      <c r="A953" s="114"/>
      <c r="B953" s="114"/>
      <c r="C953" s="114"/>
      <c r="D953" s="114"/>
      <c r="E953" s="114"/>
      <c r="F953" s="114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4"/>
      <c r="U953" s="114"/>
      <c r="V953" s="114"/>
      <c r="W953" s="114"/>
      <c r="X953" s="114"/>
      <c r="Y953" s="114"/>
      <c r="Z953" s="114"/>
      <c r="AA953" s="114"/>
      <c r="AB953" s="114"/>
      <c r="AC953" s="114"/>
      <c r="AD953" s="114"/>
      <c r="AE953" s="114"/>
    </row>
    <row r="954" ht="12.75" customHeight="1">
      <c r="A954" s="114"/>
      <c r="B954" s="114"/>
      <c r="C954" s="114"/>
      <c r="D954" s="114"/>
      <c r="E954" s="114"/>
      <c r="F954" s="114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4"/>
      <c r="U954" s="114"/>
      <c r="V954" s="114"/>
      <c r="W954" s="114"/>
      <c r="X954" s="114"/>
      <c r="Y954" s="114"/>
      <c r="Z954" s="114"/>
      <c r="AA954" s="114"/>
      <c r="AB954" s="114"/>
      <c r="AC954" s="114"/>
      <c r="AD954" s="114"/>
      <c r="AE954" s="114"/>
    </row>
    <row r="955" ht="12.75" customHeight="1">
      <c r="A955" s="114"/>
      <c r="B955" s="114"/>
      <c r="C955" s="114"/>
      <c r="D955" s="114"/>
      <c r="E955" s="114"/>
      <c r="F955" s="114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4"/>
      <c r="U955" s="114"/>
      <c r="V955" s="114"/>
      <c r="W955" s="114"/>
      <c r="X955" s="114"/>
      <c r="Y955" s="114"/>
      <c r="Z955" s="114"/>
      <c r="AA955" s="114"/>
      <c r="AB955" s="114"/>
      <c r="AC955" s="114"/>
      <c r="AD955" s="114"/>
      <c r="AE955" s="114"/>
    </row>
    <row r="956" ht="12.75" customHeight="1">
      <c r="A956" s="114"/>
      <c r="B956" s="114"/>
      <c r="C956" s="114"/>
      <c r="D956" s="114"/>
      <c r="E956" s="114"/>
      <c r="F956" s="114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4"/>
      <c r="U956" s="114"/>
      <c r="V956" s="114"/>
      <c r="W956" s="114"/>
      <c r="X956" s="114"/>
      <c r="Y956" s="114"/>
      <c r="Z956" s="114"/>
      <c r="AA956" s="114"/>
      <c r="AB956" s="114"/>
      <c r="AC956" s="114"/>
      <c r="AD956" s="114"/>
      <c r="AE956" s="114"/>
    </row>
    <row r="957" ht="12.75" customHeight="1">
      <c r="A957" s="114"/>
      <c r="B957" s="114"/>
      <c r="C957" s="114"/>
      <c r="D957" s="114"/>
      <c r="E957" s="114"/>
      <c r="F957" s="114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4"/>
      <c r="U957" s="114"/>
      <c r="V957" s="114"/>
      <c r="W957" s="114"/>
      <c r="X957" s="114"/>
      <c r="Y957" s="114"/>
      <c r="Z957" s="114"/>
      <c r="AA957" s="114"/>
      <c r="AB957" s="114"/>
      <c r="AC957" s="114"/>
      <c r="AD957" s="114"/>
      <c r="AE957" s="114"/>
    </row>
    <row r="958" ht="12.75" customHeight="1">
      <c r="A958" s="114"/>
      <c r="B958" s="114"/>
      <c r="C958" s="114"/>
      <c r="D958" s="114"/>
      <c r="E958" s="114"/>
      <c r="F958" s="114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4"/>
      <c r="U958" s="114"/>
      <c r="V958" s="114"/>
      <c r="W958" s="114"/>
      <c r="X958" s="114"/>
      <c r="Y958" s="114"/>
      <c r="Z958" s="114"/>
      <c r="AA958" s="114"/>
      <c r="AB958" s="114"/>
      <c r="AC958" s="114"/>
      <c r="AD958" s="114"/>
      <c r="AE958" s="114"/>
    </row>
    <row r="959" ht="12.75" customHeight="1">
      <c r="A959" s="114"/>
      <c r="B959" s="114"/>
      <c r="C959" s="114"/>
      <c r="D959" s="114"/>
      <c r="E959" s="114"/>
      <c r="F959" s="114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4"/>
      <c r="U959" s="114"/>
      <c r="V959" s="114"/>
      <c r="W959" s="114"/>
      <c r="X959" s="114"/>
      <c r="Y959" s="114"/>
      <c r="Z959" s="114"/>
      <c r="AA959" s="114"/>
      <c r="AB959" s="114"/>
      <c r="AC959" s="114"/>
      <c r="AD959" s="114"/>
      <c r="AE959" s="114"/>
    </row>
    <row r="960" ht="12.75" customHeight="1">
      <c r="A960" s="114"/>
      <c r="B960" s="114"/>
      <c r="C960" s="114"/>
      <c r="D960" s="114"/>
      <c r="E960" s="114"/>
      <c r="F960" s="114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4"/>
      <c r="U960" s="114"/>
      <c r="V960" s="114"/>
      <c r="W960" s="114"/>
      <c r="X960" s="114"/>
      <c r="Y960" s="114"/>
      <c r="Z960" s="114"/>
      <c r="AA960" s="114"/>
      <c r="AB960" s="114"/>
      <c r="AC960" s="114"/>
      <c r="AD960" s="114"/>
      <c r="AE960" s="114"/>
    </row>
    <row r="961" ht="12.75" customHeight="1">
      <c r="A961" s="114"/>
      <c r="B961" s="114"/>
      <c r="C961" s="114"/>
      <c r="D961" s="114"/>
      <c r="E961" s="114"/>
      <c r="F961" s="114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4"/>
      <c r="U961" s="114"/>
      <c r="V961" s="114"/>
      <c r="W961" s="114"/>
      <c r="X961" s="114"/>
      <c r="Y961" s="114"/>
      <c r="Z961" s="114"/>
      <c r="AA961" s="114"/>
      <c r="AB961" s="114"/>
      <c r="AC961" s="114"/>
      <c r="AD961" s="114"/>
      <c r="AE961" s="114"/>
    </row>
    <row r="962" ht="12.75" customHeight="1">
      <c r="A962" s="114"/>
      <c r="B962" s="114"/>
      <c r="C962" s="114"/>
      <c r="D962" s="114"/>
      <c r="E962" s="114"/>
      <c r="F962" s="114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4"/>
      <c r="U962" s="114"/>
      <c r="V962" s="114"/>
      <c r="W962" s="114"/>
      <c r="X962" s="114"/>
      <c r="Y962" s="114"/>
      <c r="Z962" s="114"/>
      <c r="AA962" s="114"/>
      <c r="AB962" s="114"/>
      <c r="AC962" s="114"/>
      <c r="AD962" s="114"/>
      <c r="AE962" s="114"/>
    </row>
    <row r="963" ht="12.75" customHeight="1">
      <c r="A963" s="114"/>
      <c r="B963" s="114"/>
      <c r="C963" s="114"/>
      <c r="D963" s="114"/>
      <c r="E963" s="114"/>
      <c r="F963" s="114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4"/>
      <c r="U963" s="114"/>
      <c r="V963" s="114"/>
      <c r="W963" s="114"/>
      <c r="X963" s="114"/>
      <c r="Y963" s="114"/>
      <c r="Z963" s="114"/>
      <c r="AA963" s="114"/>
      <c r="AB963" s="114"/>
      <c r="AC963" s="114"/>
      <c r="AD963" s="114"/>
      <c r="AE963" s="114"/>
    </row>
    <row r="964" ht="12.75" customHeight="1">
      <c r="A964" s="114"/>
      <c r="B964" s="114"/>
      <c r="C964" s="114"/>
      <c r="D964" s="114"/>
      <c r="E964" s="114"/>
      <c r="F964" s="114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4"/>
      <c r="U964" s="114"/>
      <c r="V964" s="114"/>
      <c r="W964" s="114"/>
      <c r="X964" s="114"/>
      <c r="Y964" s="114"/>
      <c r="Z964" s="114"/>
      <c r="AA964" s="114"/>
      <c r="AB964" s="114"/>
      <c r="AC964" s="114"/>
      <c r="AD964" s="114"/>
      <c r="AE964" s="114"/>
    </row>
    <row r="965" ht="12.75" customHeight="1">
      <c r="A965" s="114"/>
      <c r="B965" s="114"/>
      <c r="C965" s="114"/>
      <c r="D965" s="114"/>
      <c r="E965" s="114"/>
      <c r="F965" s="114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4"/>
      <c r="U965" s="114"/>
      <c r="V965" s="114"/>
      <c r="W965" s="114"/>
      <c r="X965" s="114"/>
      <c r="Y965" s="114"/>
      <c r="Z965" s="114"/>
      <c r="AA965" s="114"/>
      <c r="AB965" s="114"/>
      <c r="AC965" s="114"/>
      <c r="AD965" s="114"/>
      <c r="AE965" s="114"/>
    </row>
    <row r="966" ht="12.75" customHeight="1">
      <c r="A966" s="114"/>
      <c r="B966" s="114"/>
      <c r="C966" s="114"/>
      <c r="D966" s="114"/>
      <c r="E966" s="114"/>
      <c r="F966" s="114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4"/>
      <c r="U966" s="114"/>
      <c r="V966" s="114"/>
      <c r="W966" s="114"/>
      <c r="X966" s="114"/>
      <c r="Y966" s="114"/>
      <c r="Z966" s="114"/>
      <c r="AA966" s="114"/>
      <c r="AB966" s="114"/>
      <c r="AC966" s="114"/>
      <c r="AD966" s="114"/>
      <c r="AE966" s="114"/>
    </row>
    <row r="967" ht="12.75" customHeight="1">
      <c r="A967" s="114"/>
      <c r="B967" s="114"/>
      <c r="C967" s="114"/>
      <c r="D967" s="114"/>
      <c r="E967" s="114"/>
      <c r="F967" s="114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4"/>
      <c r="U967" s="114"/>
      <c r="V967" s="114"/>
      <c r="W967" s="114"/>
      <c r="X967" s="114"/>
      <c r="Y967" s="114"/>
      <c r="Z967" s="114"/>
      <c r="AA967" s="114"/>
      <c r="AB967" s="114"/>
      <c r="AC967" s="114"/>
      <c r="AD967" s="114"/>
      <c r="AE967" s="114"/>
    </row>
    <row r="968" ht="12.75" customHeight="1">
      <c r="A968" s="114"/>
      <c r="B968" s="114"/>
      <c r="C968" s="114"/>
      <c r="D968" s="114"/>
      <c r="E968" s="114"/>
      <c r="F968" s="114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4"/>
      <c r="U968" s="114"/>
      <c r="V968" s="114"/>
      <c r="W968" s="114"/>
      <c r="X968" s="114"/>
      <c r="Y968" s="114"/>
      <c r="Z968" s="114"/>
      <c r="AA968" s="114"/>
      <c r="AB968" s="114"/>
      <c r="AC968" s="114"/>
      <c r="AD968" s="114"/>
      <c r="AE968" s="114"/>
    </row>
    <row r="969" ht="12.75" customHeight="1">
      <c r="A969" s="114"/>
      <c r="B969" s="114"/>
      <c r="C969" s="114"/>
      <c r="D969" s="114"/>
      <c r="E969" s="114"/>
      <c r="F969" s="114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4"/>
      <c r="U969" s="114"/>
      <c r="V969" s="114"/>
      <c r="W969" s="114"/>
      <c r="X969" s="114"/>
      <c r="Y969" s="114"/>
      <c r="Z969" s="114"/>
      <c r="AA969" s="114"/>
      <c r="AB969" s="114"/>
      <c r="AC969" s="114"/>
      <c r="AD969" s="114"/>
      <c r="AE969" s="114"/>
    </row>
    <row r="970" ht="12.75" customHeight="1">
      <c r="A970" s="114"/>
      <c r="B970" s="114"/>
      <c r="C970" s="114"/>
      <c r="D970" s="114"/>
      <c r="E970" s="114"/>
      <c r="F970" s="114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4"/>
      <c r="U970" s="114"/>
      <c r="V970" s="114"/>
      <c r="W970" s="114"/>
      <c r="X970" s="114"/>
      <c r="Y970" s="114"/>
      <c r="Z970" s="114"/>
      <c r="AA970" s="114"/>
      <c r="AB970" s="114"/>
      <c r="AC970" s="114"/>
      <c r="AD970" s="114"/>
      <c r="AE970" s="114"/>
    </row>
    <row r="971" ht="12.75" customHeight="1">
      <c r="A971" s="114"/>
      <c r="B971" s="114"/>
      <c r="C971" s="114"/>
      <c r="D971" s="114"/>
      <c r="E971" s="114"/>
      <c r="F971" s="114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4"/>
      <c r="U971" s="114"/>
      <c r="V971" s="114"/>
      <c r="W971" s="114"/>
      <c r="X971" s="114"/>
      <c r="Y971" s="114"/>
      <c r="Z971" s="114"/>
      <c r="AA971" s="114"/>
      <c r="AB971" s="114"/>
      <c r="AC971" s="114"/>
      <c r="AD971" s="114"/>
      <c r="AE971" s="114"/>
    </row>
    <row r="972" ht="12.75" customHeight="1">
      <c r="A972" s="114"/>
      <c r="B972" s="114"/>
      <c r="C972" s="114"/>
      <c r="D972" s="114"/>
      <c r="E972" s="114"/>
      <c r="F972" s="114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4"/>
      <c r="U972" s="114"/>
      <c r="V972" s="114"/>
      <c r="W972" s="114"/>
      <c r="X972" s="114"/>
      <c r="Y972" s="114"/>
      <c r="Z972" s="114"/>
      <c r="AA972" s="114"/>
      <c r="AB972" s="114"/>
      <c r="AC972" s="114"/>
      <c r="AD972" s="114"/>
      <c r="AE972" s="114"/>
    </row>
    <row r="973" ht="12.75" customHeight="1">
      <c r="A973" s="114"/>
      <c r="B973" s="114"/>
      <c r="C973" s="114"/>
      <c r="D973" s="114"/>
      <c r="E973" s="114"/>
      <c r="F973" s="114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4"/>
      <c r="U973" s="114"/>
      <c r="V973" s="114"/>
      <c r="W973" s="114"/>
      <c r="X973" s="114"/>
      <c r="Y973" s="114"/>
      <c r="Z973" s="114"/>
      <c r="AA973" s="114"/>
      <c r="AB973" s="114"/>
      <c r="AC973" s="114"/>
      <c r="AD973" s="114"/>
      <c r="AE973" s="114"/>
    </row>
    <row r="974" ht="12.75" customHeight="1">
      <c r="A974" s="114"/>
      <c r="B974" s="114"/>
      <c r="C974" s="114"/>
      <c r="D974" s="114"/>
      <c r="E974" s="114"/>
      <c r="F974" s="114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4"/>
      <c r="U974" s="114"/>
      <c r="V974" s="114"/>
      <c r="W974" s="114"/>
      <c r="X974" s="114"/>
      <c r="Y974" s="114"/>
      <c r="Z974" s="114"/>
      <c r="AA974" s="114"/>
      <c r="AB974" s="114"/>
      <c r="AC974" s="114"/>
      <c r="AD974" s="114"/>
      <c r="AE974" s="114"/>
    </row>
    <row r="975" ht="12.75" customHeight="1">
      <c r="A975" s="114"/>
      <c r="B975" s="114"/>
      <c r="C975" s="114"/>
      <c r="D975" s="114"/>
      <c r="E975" s="114"/>
      <c r="F975" s="114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4"/>
      <c r="U975" s="114"/>
      <c r="V975" s="114"/>
      <c r="W975" s="114"/>
      <c r="X975" s="114"/>
      <c r="Y975" s="114"/>
      <c r="Z975" s="114"/>
      <c r="AA975" s="114"/>
      <c r="AB975" s="114"/>
      <c r="AC975" s="114"/>
      <c r="AD975" s="114"/>
      <c r="AE975" s="114"/>
    </row>
    <row r="976" ht="12.75" customHeight="1">
      <c r="A976" s="114"/>
      <c r="B976" s="114"/>
      <c r="C976" s="114"/>
      <c r="D976" s="114"/>
      <c r="E976" s="114"/>
      <c r="F976" s="114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4"/>
      <c r="U976" s="114"/>
      <c r="V976" s="114"/>
      <c r="W976" s="114"/>
      <c r="X976" s="114"/>
      <c r="Y976" s="114"/>
      <c r="Z976" s="114"/>
      <c r="AA976" s="114"/>
      <c r="AB976" s="114"/>
      <c r="AC976" s="114"/>
      <c r="AD976" s="114"/>
      <c r="AE976" s="114"/>
    </row>
    <row r="977" ht="12.75" customHeight="1">
      <c r="A977" s="114"/>
      <c r="B977" s="114"/>
      <c r="C977" s="114"/>
      <c r="D977" s="114"/>
      <c r="E977" s="114"/>
      <c r="F977" s="114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4"/>
      <c r="U977" s="114"/>
      <c r="V977" s="114"/>
      <c r="W977" s="114"/>
      <c r="X977" s="114"/>
      <c r="Y977" s="114"/>
      <c r="Z977" s="114"/>
      <c r="AA977" s="114"/>
      <c r="AB977" s="114"/>
      <c r="AC977" s="114"/>
      <c r="AD977" s="114"/>
      <c r="AE977" s="114"/>
    </row>
    <row r="978" ht="12.75" customHeight="1">
      <c r="A978" s="114"/>
      <c r="B978" s="114"/>
      <c r="C978" s="114"/>
      <c r="D978" s="114"/>
      <c r="E978" s="114"/>
      <c r="F978" s="114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4"/>
      <c r="U978" s="114"/>
      <c r="V978" s="114"/>
      <c r="W978" s="114"/>
      <c r="X978" s="114"/>
      <c r="Y978" s="114"/>
      <c r="Z978" s="114"/>
      <c r="AA978" s="114"/>
      <c r="AB978" s="114"/>
      <c r="AC978" s="114"/>
      <c r="AD978" s="114"/>
      <c r="AE978" s="114"/>
    </row>
    <row r="979" ht="12.75" customHeight="1">
      <c r="A979" s="114"/>
      <c r="B979" s="114"/>
      <c r="C979" s="114"/>
      <c r="D979" s="114"/>
      <c r="E979" s="114"/>
      <c r="F979" s="114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4"/>
      <c r="U979" s="114"/>
      <c r="V979" s="114"/>
      <c r="W979" s="114"/>
      <c r="X979" s="114"/>
      <c r="Y979" s="114"/>
      <c r="Z979" s="114"/>
      <c r="AA979" s="114"/>
      <c r="AB979" s="114"/>
      <c r="AC979" s="114"/>
      <c r="AD979" s="114"/>
      <c r="AE979" s="114"/>
    </row>
    <row r="980" ht="12.75" customHeight="1">
      <c r="A980" s="114"/>
      <c r="B980" s="114"/>
      <c r="C980" s="114"/>
      <c r="D980" s="114"/>
      <c r="E980" s="114"/>
      <c r="F980" s="114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4"/>
      <c r="U980" s="114"/>
      <c r="V980" s="114"/>
      <c r="W980" s="114"/>
      <c r="X980" s="114"/>
      <c r="Y980" s="114"/>
      <c r="Z980" s="114"/>
      <c r="AA980" s="114"/>
      <c r="AB980" s="114"/>
      <c r="AC980" s="114"/>
      <c r="AD980" s="114"/>
      <c r="AE980" s="114"/>
    </row>
    <row r="981" ht="12.75" customHeight="1">
      <c r="A981" s="114"/>
      <c r="B981" s="114"/>
      <c r="C981" s="114"/>
      <c r="D981" s="114"/>
      <c r="E981" s="114"/>
      <c r="F981" s="114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4"/>
      <c r="X981" s="114"/>
      <c r="Y981" s="114"/>
      <c r="Z981" s="114"/>
      <c r="AA981" s="114"/>
      <c r="AB981" s="114"/>
      <c r="AC981" s="114"/>
      <c r="AD981" s="114"/>
      <c r="AE981" s="114"/>
    </row>
    <row r="982" ht="12.75" customHeight="1">
      <c r="A982" s="114"/>
      <c r="B982" s="114"/>
      <c r="C982" s="114"/>
      <c r="D982" s="114"/>
      <c r="E982" s="114"/>
      <c r="F982" s="114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4"/>
      <c r="U982" s="114"/>
      <c r="V982" s="114"/>
      <c r="W982" s="114"/>
      <c r="X982" s="114"/>
      <c r="Y982" s="114"/>
      <c r="Z982" s="114"/>
      <c r="AA982" s="114"/>
      <c r="AB982" s="114"/>
      <c r="AC982" s="114"/>
      <c r="AD982" s="114"/>
      <c r="AE982" s="114"/>
    </row>
    <row r="983" ht="12.75" customHeight="1">
      <c r="A983" s="114"/>
      <c r="B983" s="114"/>
      <c r="C983" s="114"/>
      <c r="D983" s="114"/>
      <c r="E983" s="114"/>
      <c r="F983" s="114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4"/>
      <c r="U983" s="114"/>
      <c r="V983" s="114"/>
      <c r="W983" s="114"/>
      <c r="X983" s="114"/>
      <c r="Y983" s="114"/>
      <c r="Z983" s="114"/>
      <c r="AA983" s="114"/>
      <c r="AB983" s="114"/>
      <c r="AC983" s="114"/>
      <c r="AD983" s="114"/>
      <c r="AE983" s="114"/>
    </row>
    <row r="984" ht="12.75" customHeight="1">
      <c r="A984" s="114"/>
      <c r="B984" s="114"/>
      <c r="C984" s="114"/>
      <c r="D984" s="114"/>
      <c r="E984" s="114"/>
      <c r="F984" s="114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4"/>
      <c r="U984" s="114"/>
      <c r="V984" s="114"/>
      <c r="W984" s="114"/>
      <c r="X984" s="114"/>
      <c r="Y984" s="114"/>
      <c r="Z984" s="114"/>
      <c r="AA984" s="114"/>
      <c r="AB984" s="114"/>
      <c r="AC984" s="114"/>
      <c r="AD984" s="114"/>
      <c r="AE984" s="114"/>
    </row>
    <row r="985" ht="12.75" customHeight="1">
      <c r="A985" s="114"/>
      <c r="B985" s="114"/>
      <c r="C985" s="114"/>
      <c r="D985" s="114"/>
      <c r="E985" s="114"/>
      <c r="F985" s="114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4"/>
      <c r="U985" s="114"/>
      <c r="V985" s="114"/>
      <c r="W985" s="114"/>
      <c r="X985" s="114"/>
      <c r="Y985" s="114"/>
      <c r="Z985" s="114"/>
      <c r="AA985" s="114"/>
      <c r="AB985" s="114"/>
      <c r="AC985" s="114"/>
      <c r="AD985" s="114"/>
      <c r="AE985" s="114"/>
    </row>
    <row r="986" ht="12.75" customHeight="1">
      <c r="A986" s="114"/>
      <c r="B986" s="114"/>
      <c r="C986" s="114"/>
      <c r="D986" s="114"/>
      <c r="E986" s="114"/>
      <c r="F986" s="114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4"/>
      <c r="U986" s="114"/>
      <c r="V986" s="114"/>
      <c r="W986" s="114"/>
      <c r="X986" s="114"/>
      <c r="Y986" s="114"/>
      <c r="Z986" s="114"/>
      <c r="AA986" s="114"/>
      <c r="AB986" s="114"/>
      <c r="AC986" s="114"/>
      <c r="AD986" s="114"/>
      <c r="AE986" s="114"/>
    </row>
    <row r="987" ht="12.75" customHeight="1">
      <c r="A987" s="114"/>
      <c r="B987" s="114"/>
      <c r="C987" s="114"/>
      <c r="D987" s="114"/>
      <c r="E987" s="114"/>
      <c r="F987" s="114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4"/>
      <c r="U987" s="114"/>
      <c r="V987" s="114"/>
      <c r="W987" s="114"/>
      <c r="X987" s="114"/>
      <c r="Y987" s="114"/>
      <c r="Z987" s="114"/>
      <c r="AA987" s="114"/>
      <c r="AB987" s="114"/>
      <c r="AC987" s="114"/>
      <c r="AD987" s="114"/>
      <c r="AE987" s="114"/>
    </row>
    <row r="988" ht="12.75" customHeight="1">
      <c r="A988" s="114"/>
      <c r="B988" s="114"/>
      <c r="C988" s="114"/>
      <c r="D988" s="114"/>
      <c r="E988" s="114"/>
      <c r="F988" s="114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4"/>
      <c r="U988" s="114"/>
      <c r="V988" s="114"/>
      <c r="W988" s="114"/>
      <c r="X988" s="114"/>
      <c r="Y988" s="114"/>
      <c r="Z988" s="114"/>
      <c r="AA988" s="114"/>
      <c r="AB988" s="114"/>
      <c r="AC988" s="114"/>
      <c r="AD988" s="114"/>
      <c r="AE988" s="114"/>
    </row>
    <row r="989" ht="12.75" customHeight="1">
      <c r="A989" s="114"/>
      <c r="B989" s="114"/>
      <c r="C989" s="114"/>
      <c r="D989" s="114"/>
      <c r="E989" s="114"/>
      <c r="F989" s="114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4"/>
      <c r="U989" s="114"/>
      <c r="V989" s="114"/>
      <c r="W989" s="114"/>
      <c r="X989" s="114"/>
      <c r="Y989" s="114"/>
      <c r="Z989" s="114"/>
      <c r="AA989" s="114"/>
      <c r="AB989" s="114"/>
      <c r="AC989" s="114"/>
      <c r="AD989" s="114"/>
      <c r="AE989" s="114"/>
    </row>
    <row r="990" ht="12.75" customHeight="1">
      <c r="A990" s="114"/>
      <c r="B990" s="114"/>
      <c r="C990" s="114"/>
      <c r="D990" s="114"/>
      <c r="E990" s="114"/>
      <c r="F990" s="114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4"/>
      <c r="U990" s="114"/>
      <c r="V990" s="114"/>
      <c r="W990" s="114"/>
      <c r="X990" s="114"/>
      <c r="Y990" s="114"/>
      <c r="Z990" s="114"/>
      <c r="AA990" s="114"/>
      <c r="AB990" s="114"/>
      <c r="AC990" s="114"/>
      <c r="AD990" s="114"/>
      <c r="AE990" s="114"/>
    </row>
    <row r="991" ht="12.75" customHeight="1">
      <c r="A991" s="114"/>
      <c r="B991" s="114"/>
      <c r="C991" s="114"/>
      <c r="D991" s="114"/>
      <c r="E991" s="114"/>
      <c r="F991" s="114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4"/>
      <c r="U991" s="114"/>
      <c r="V991" s="114"/>
      <c r="W991" s="114"/>
      <c r="X991" s="114"/>
      <c r="Y991" s="114"/>
      <c r="Z991" s="114"/>
      <c r="AA991" s="114"/>
      <c r="AB991" s="114"/>
      <c r="AC991" s="114"/>
      <c r="AD991" s="114"/>
      <c r="AE991" s="114"/>
    </row>
    <row r="992" ht="12.75" customHeight="1">
      <c r="A992" s="114"/>
      <c r="B992" s="114"/>
      <c r="C992" s="114"/>
      <c r="D992" s="114"/>
      <c r="E992" s="114"/>
      <c r="F992" s="114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4"/>
      <c r="U992" s="114"/>
      <c r="V992" s="114"/>
      <c r="W992" s="114"/>
      <c r="X992" s="114"/>
      <c r="Y992" s="114"/>
      <c r="Z992" s="114"/>
      <c r="AA992" s="114"/>
      <c r="AB992" s="114"/>
      <c r="AC992" s="114"/>
      <c r="AD992" s="114"/>
      <c r="AE992" s="114"/>
    </row>
    <row r="993" ht="12.75" customHeight="1">
      <c r="A993" s="114"/>
      <c r="B993" s="114"/>
      <c r="C993" s="114"/>
      <c r="D993" s="114"/>
      <c r="E993" s="114"/>
      <c r="F993" s="114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4"/>
      <c r="U993" s="114"/>
      <c r="V993" s="114"/>
      <c r="W993" s="114"/>
      <c r="X993" s="114"/>
      <c r="Y993" s="114"/>
      <c r="Z993" s="114"/>
      <c r="AA993" s="114"/>
      <c r="AB993" s="114"/>
      <c r="AC993" s="114"/>
      <c r="AD993" s="114"/>
      <c r="AE993" s="114"/>
    </row>
    <row r="994" ht="12.75" customHeight="1">
      <c r="A994" s="114"/>
      <c r="B994" s="114"/>
      <c r="C994" s="114"/>
      <c r="D994" s="114"/>
      <c r="E994" s="114"/>
      <c r="F994" s="114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4"/>
      <c r="U994" s="114"/>
      <c r="V994" s="114"/>
      <c r="W994" s="114"/>
      <c r="X994" s="114"/>
      <c r="Y994" s="114"/>
      <c r="Z994" s="114"/>
      <c r="AA994" s="114"/>
      <c r="AB994" s="114"/>
      <c r="AC994" s="114"/>
      <c r="AD994" s="114"/>
      <c r="AE994" s="114"/>
    </row>
    <row r="995" ht="12.75" customHeight="1">
      <c r="A995" s="114"/>
      <c r="B995" s="114"/>
      <c r="C995" s="114"/>
      <c r="D995" s="114"/>
      <c r="E995" s="114"/>
      <c r="F995" s="114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4"/>
      <c r="U995" s="114"/>
      <c r="V995" s="114"/>
      <c r="W995" s="114"/>
      <c r="X995" s="114"/>
      <c r="Y995" s="114"/>
      <c r="Z995" s="114"/>
      <c r="AA995" s="114"/>
      <c r="AB995" s="114"/>
      <c r="AC995" s="114"/>
      <c r="AD995" s="114"/>
      <c r="AE995" s="114"/>
    </row>
    <row r="996" ht="12.75" customHeight="1">
      <c r="A996" s="114"/>
      <c r="B996" s="114"/>
      <c r="C996" s="114"/>
      <c r="D996" s="114"/>
      <c r="E996" s="114"/>
      <c r="F996" s="114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4"/>
      <c r="U996" s="114"/>
      <c r="V996" s="114"/>
      <c r="W996" s="114"/>
      <c r="X996" s="114"/>
      <c r="Y996" s="114"/>
      <c r="Z996" s="114"/>
      <c r="AA996" s="114"/>
      <c r="AB996" s="114"/>
      <c r="AC996" s="114"/>
      <c r="AD996" s="114"/>
      <c r="AE996" s="114"/>
    </row>
    <row r="997" ht="12.75" customHeight="1">
      <c r="A997" s="114"/>
      <c r="B997" s="114"/>
      <c r="C997" s="114"/>
      <c r="D997" s="114"/>
      <c r="E997" s="114"/>
      <c r="F997" s="114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4"/>
      <c r="U997" s="114"/>
      <c r="V997" s="114"/>
      <c r="W997" s="114"/>
      <c r="X997" s="114"/>
      <c r="Y997" s="114"/>
      <c r="Z997" s="114"/>
      <c r="AA997" s="114"/>
      <c r="AB997" s="114"/>
      <c r="AC997" s="114"/>
      <c r="AD997" s="114"/>
      <c r="AE997" s="114"/>
    </row>
    <row r="998" ht="12.75" customHeight="1">
      <c r="A998" s="114"/>
      <c r="B998" s="114"/>
      <c r="C998" s="114"/>
      <c r="D998" s="114"/>
      <c r="E998" s="114"/>
      <c r="F998" s="114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4"/>
      <c r="U998" s="114"/>
      <c r="V998" s="114"/>
      <c r="W998" s="114"/>
      <c r="X998" s="114"/>
      <c r="Y998" s="114"/>
      <c r="Z998" s="114"/>
      <c r="AA998" s="114"/>
      <c r="AB998" s="114"/>
      <c r="AC998" s="114"/>
      <c r="AD998" s="114"/>
      <c r="AE998" s="114"/>
    </row>
    <row r="999" ht="12.75" customHeight="1">
      <c r="A999" s="114"/>
      <c r="B999" s="114"/>
      <c r="C999" s="114"/>
      <c r="D999" s="114"/>
      <c r="E999" s="114"/>
      <c r="F999" s="114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4"/>
      <c r="U999" s="114"/>
      <c r="V999" s="114"/>
      <c r="W999" s="114"/>
      <c r="X999" s="114"/>
      <c r="Y999" s="114"/>
      <c r="Z999" s="114"/>
      <c r="AA999" s="114"/>
      <c r="AB999" s="114"/>
      <c r="AC999" s="114"/>
      <c r="AD999" s="114"/>
      <c r="AE999" s="114"/>
    </row>
    <row r="1000" ht="12.75" customHeight="1">
      <c r="A1000" s="114"/>
      <c r="B1000" s="114"/>
      <c r="C1000" s="114"/>
      <c r="D1000" s="114"/>
      <c r="E1000" s="114"/>
      <c r="F1000" s="114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4"/>
      <c r="U1000" s="114"/>
      <c r="V1000" s="114"/>
      <c r="W1000" s="114"/>
      <c r="X1000" s="114"/>
      <c r="Y1000" s="114"/>
      <c r="Z1000" s="114"/>
      <c r="AA1000" s="114"/>
      <c r="AB1000" s="114"/>
      <c r="AC1000" s="114"/>
      <c r="AD1000" s="114"/>
      <c r="AE1000" s="114"/>
    </row>
    <row r="1001" ht="12.75" customHeight="1">
      <c r="A1001" s="114"/>
      <c r="B1001" s="114"/>
      <c r="C1001" s="114"/>
      <c r="D1001" s="114"/>
      <c r="E1001" s="114"/>
      <c r="F1001" s="114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4"/>
      <c r="U1001" s="114"/>
      <c r="V1001" s="114"/>
      <c r="W1001" s="114"/>
      <c r="X1001" s="114"/>
      <c r="Y1001" s="114"/>
      <c r="Z1001" s="114"/>
      <c r="AA1001" s="114"/>
      <c r="AB1001" s="114"/>
      <c r="AC1001" s="114"/>
      <c r="AD1001" s="114"/>
      <c r="AE1001" s="114"/>
    </row>
    <row r="1002" ht="12.75" customHeight="1">
      <c r="A1002" s="114"/>
      <c r="B1002" s="114"/>
      <c r="C1002" s="114"/>
      <c r="D1002" s="114"/>
      <c r="E1002" s="114"/>
      <c r="F1002" s="114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4"/>
      <c r="U1002" s="114"/>
      <c r="V1002" s="114"/>
      <c r="W1002" s="114"/>
      <c r="X1002" s="114"/>
      <c r="Y1002" s="114"/>
      <c r="Z1002" s="114"/>
      <c r="AA1002" s="114"/>
      <c r="AB1002" s="114"/>
      <c r="AC1002" s="114"/>
      <c r="AD1002" s="114"/>
      <c r="AE1002" s="114"/>
    </row>
    <row r="1003" ht="12.75" customHeight="1">
      <c r="A1003" s="114"/>
      <c r="B1003" s="114"/>
      <c r="C1003" s="114"/>
      <c r="D1003" s="114"/>
      <c r="E1003" s="114"/>
      <c r="F1003" s="114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4"/>
      <c r="U1003" s="114"/>
      <c r="V1003" s="114"/>
      <c r="W1003" s="114"/>
      <c r="X1003" s="114"/>
      <c r="Y1003" s="114"/>
      <c r="Z1003" s="114"/>
      <c r="AA1003" s="114"/>
      <c r="AB1003" s="114"/>
      <c r="AC1003" s="114"/>
      <c r="AD1003" s="114"/>
      <c r="AE1003" s="114"/>
    </row>
    <row r="1004" ht="12.75" customHeight="1">
      <c r="A1004" s="114"/>
      <c r="B1004" s="114"/>
      <c r="C1004" s="114"/>
      <c r="D1004" s="114"/>
      <c r="E1004" s="114"/>
      <c r="F1004" s="114"/>
      <c r="G1004" s="114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4"/>
      <c r="U1004" s="114"/>
      <c r="V1004" s="114"/>
      <c r="W1004" s="114"/>
      <c r="X1004" s="114"/>
      <c r="Y1004" s="114"/>
      <c r="Z1004" s="114"/>
      <c r="AA1004" s="114"/>
      <c r="AB1004" s="114"/>
      <c r="AC1004" s="114"/>
      <c r="AD1004" s="114"/>
      <c r="AE1004" s="114"/>
    </row>
    <row r="1005" ht="12.75" customHeight="1">
      <c r="A1005" s="114"/>
      <c r="B1005" s="114"/>
      <c r="C1005" s="114"/>
      <c r="D1005" s="114"/>
      <c r="E1005" s="114"/>
      <c r="F1005" s="114"/>
      <c r="G1005" s="114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4"/>
      <c r="U1005" s="114"/>
      <c r="V1005" s="114"/>
      <c r="W1005" s="114"/>
      <c r="X1005" s="114"/>
      <c r="Y1005" s="114"/>
      <c r="Z1005" s="114"/>
      <c r="AA1005" s="114"/>
      <c r="AB1005" s="114"/>
      <c r="AC1005" s="114"/>
      <c r="AD1005" s="114"/>
      <c r="AE1005" s="114"/>
    </row>
    <row r="1006" ht="12.75" customHeight="1">
      <c r="A1006" s="114"/>
      <c r="B1006" s="114"/>
      <c r="C1006" s="114"/>
      <c r="D1006" s="114"/>
      <c r="E1006" s="114"/>
      <c r="F1006" s="114"/>
      <c r="G1006" s="114"/>
      <c r="H1006" s="114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4"/>
      <c r="U1006" s="114"/>
      <c r="V1006" s="114"/>
      <c r="W1006" s="114"/>
      <c r="X1006" s="114"/>
      <c r="Y1006" s="114"/>
      <c r="Z1006" s="114"/>
      <c r="AA1006" s="114"/>
      <c r="AB1006" s="114"/>
      <c r="AC1006" s="114"/>
      <c r="AD1006" s="114"/>
      <c r="AE1006" s="114"/>
    </row>
    <row r="1007" ht="12.75" customHeight="1">
      <c r="A1007" s="114"/>
      <c r="B1007" s="114"/>
      <c r="C1007" s="114"/>
      <c r="D1007" s="114"/>
      <c r="E1007" s="114"/>
      <c r="F1007" s="114"/>
      <c r="G1007" s="114"/>
      <c r="H1007" s="114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4"/>
      <c r="U1007" s="114"/>
      <c r="V1007" s="114"/>
      <c r="W1007" s="114"/>
      <c r="X1007" s="114"/>
      <c r="Y1007" s="114"/>
      <c r="Z1007" s="114"/>
      <c r="AA1007" s="114"/>
      <c r="AB1007" s="114"/>
      <c r="AC1007" s="114"/>
      <c r="AD1007" s="114"/>
      <c r="AE1007" s="114"/>
    </row>
    <row r="1008" ht="12.75" customHeight="1">
      <c r="A1008" s="114"/>
      <c r="B1008" s="114"/>
      <c r="C1008" s="114"/>
      <c r="D1008" s="114"/>
      <c r="E1008" s="114"/>
      <c r="F1008" s="114"/>
      <c r="G1008" s="114"/>
      <c r="H1008" s="114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4"/>
      <c r="U1008" s="114"/>
      <c r="V1008" s="114"/>
      <c r="W1008" s="114"/>
      <c r="X1008" s="114"/>
      <c r="Y1008" s="114"/>
      <c r="Z1008" s="114"/>
      <c r="AA1008" s="114"/>
      <c r="AB1008" s="114"/>
      <c r="AC1008" s="114"/>
      <c r="AD1008" s="114"/>
      <c r="AE1008" s="114"/>
    </row>
    <row r="1009" ht="12.75" customHeight="1">
      <c r="A1009" s="114"/>
      <c r="B1009" s="114"/>
      <c r="C1009" s="114"/>
      <c r="D1009" s="114"/>
      <c r="E1009" s="114"/>
      <c r="F1009" s="114"/>
      <c r="G1009" s="114"/>
      <c r="H1009" s="114"/>
      <c r="I1009" s="114"/>
      <c r="J1009" s="114"/>
      <c r="K1009" s="114"/>
      <c r="L1009" s="114"/>
      <c r="M1009" s="114"/>
      <c r="N1009" s="114"/>
      <c r="O1009" s="114"/>
      <c r="P1009" s="114"/>
      <c r="Q1009" s="114"/>
      <c r="R1009" s="114"/>
      <c r="S1009" s="114"/>
      <c r="T1009" s="114"/>
      <c r="U1009" s="114"/>
      <c r="V1009" s="114"/>
      <c r="W1009" s="114"/>
      <c r="X1009" s="114"/>
      <c r="Y1009" s="114"/>
      <c r="Z1009" s="114"/>
      <c r="AA1009" s="114"/>
      <c r="AB1009" s="114"/>
      <c r="AC1009" s="114"/>
      <c r="AD1009" s="114"/>
      <c r="AE1009" s="114"/>
    </row>
    <row r="1010" ht="12.75" customHeight="1">
      <c r="A1010" s="114"/>
      <c r="B1010" s="114"/>
      <c r="C1010" s="114"/>
      <c r="D1010" s="114"/>
      <c r="E1010" s="114"/>
      <c r="F1010" s="114"/>
      <c r="G1010" s="114"/>
      <c r="H1010" s="114"/>
      <c r="I1010" s="114"/>
      <c r="J1010" s="114"/>
      <c r="K1010" s="114"/>
      <c r="L1010" s="114"/>
      <c r="M1010" s="114"/>
      <c r="N1010" s="114"/>
      <c r="O1010" s="114"/>
      <c r="P1010" s="114"/>
      <c r="Q1010" s="114"/>
      <c r="R1010" s="114"/>
      <c r="S1010" s="114"/>
      <c r="T1010" s="114"/>
      <c r="U1010" s="114"/>
      <c r="V1010" s="114"/>
      <c r="W1010" s="114"/>
      <c r="X1010" s="114"/>
      <c r="Y1010" s="114"/>
      <c r="Z1010" s="114"/>
      <c r="AA1010" s="114"/>
      <c r="AB1010" s="114"/>
      <c r="AC1010" s="114"/>
      <c r="AD1010" s="114"/>
      <c r="AE1010" s="114"/>
    </row>
    <row r="1011" ht="12.75" customHeight="1">
      <c r="A1011" s="114"/>
      <c r="B1011" s="114"/>
      <c r="C1011" s="114"/>
      <c r="D1011" s="114"/>
      <c r="E1011" s="114"/>
      <c r="F1011" s="114"/>
      <c r="G1011" s="114"/>
      <c r="H1011" s="114"/>
      <c r="I1011" s="114"/>
      <c r="J1011" s="114"/>
      <c r="K1011" s="114"/>
      <c r="L1011" s="114"/>
      <c r="M1011" s="114"/>
      <c r="N1011" s="114"/>
      <c r="O1011" s="114"/>
      <c r="P1011" s="114"/>
      <c r="Q1011" s="114"/>
      <c r="R1011" s="114"/>
      <c r="S1011" s="114"/>
      <c r="T1011" s="114"/>
      <c r="U1011" s="114"/>
      <c r="V1011" s="114"/>
      <c r="W1011" s="114"/>
      <c r="X1011" s="114"/>
      <c r="Y1011" s="114"/>
      <c r="Z1011" s="114"/>
      <c r="AA1011" s="114"/>
      <c r="AB1011" s="114"/>
      <c r="AC1011" s="114"/>
      <c r="AD1011" s="114"/>
      <c r="AE1011" s="114"/>
    </row>
    <row r="1012" ht="12.75" customHeight="1">
      <c r="A1012" s="114"/>
      <c r="B1012" s="114"/>
      <c r="C1012" s="114"/>
      <c r="D1012" s="114"/>
      <c r="E1012" s="114"/>
      <c r="F1012" s="114"/>
      <c r="G1012" s="114"/>
      <c r="H1012" s="114"/>
      <c r="I1012" s="114"/>
      <c r="J1012" s="114"/>
      <c r="K1012" s="114"/>
      <c r="L1012" s="114"/>
      <c r="M1012" s="114"/>
      <c r="N1012" s="114"/>
      <c r="O1012" s="114"/>
      <c r="P1012" s="114"/>
      <c r="Q1012" s="114"/>
      <c r="R1012" s="114"/>
      <c r="S1012" s="114"/>
      <c r="T1012" s="114"/>
      <c r="U1012" s="114"/>
      <c r="V1012" s="114"/>
      <c r="W1012" s="114"/>
      <c r="X1012" s="114"/>
      <c r="Y1012" s="114"/>
      <c r="Z1012" s="114"/>
      <c r="AA1012" s="114"/>
      <c r="AB1012" s="114"/>
      <c r="AC1012" s="114"/>
      <c r="AD1012" s="114"/>
      <c r="AE1012" s="114"/>
    </row>
    <row r="1013" ht="12.75" customHeight="1">
      <c r="A1013" s="114"/>
      <c r="B1013" s="114"/>
      <c r="C1013" s="114"/>
      <c r="D1013" s="114"/>
      <c r="E1013" s="114"/>
      <c r="F1013" s="114"/>
      <c r="G1013" s="114"/>
      <c r="H1013" s="114"/>
      <c r="I1013" s="114"/>
      <c r="J1013" s="114"/>
      <c r="K1013" s="114"/>
      <c r="L1013" s="114"/>
      <c r="M1013" s="114"/>
      <c r="N1013" s="114"/>
      <c r="O1013" s="114"/>
      <c r="P1013" s="114"/>
      <c r="Q1013" s="114"/>
      <c r="R1013" s="114"/>
      <c r="S1013" s="114"/>
      <c r="T1013" s="114"/>
      <c r="U1013" s="114"/>
      <c r="V1013" s="114"/>
      <c r="W1013" s="114"/>
      <c r="X1013" s="114"/>
      <c r="Y1013" s="114"/>
      <c r="Z1013" s="114"/>
      <c r="AA1013" s="114"/>
      <c r="AB1013" s="114"/>
      <c r="AC1013" s="114"/>
      <c r="AD1013" s="114"/>
      <c r="AE1013" s="114"/>
    </row>
    <row r="1014" ht="12.75" customHeight="1">
      <c r="A1014" s="114"/>
      <c r="B1014" s="114"/>
      <c r="C1014" s="114"/>
      <c r="D1014" s="114"/>
      <c r="E1014" s="114"/>
      <c r="F1014" s="114"/>
      <c r="G1014" s="114"/>
      <c r="H1014" s="114"/>
      <c r="I1014" s="114"/>
      <c r="J1014" s="114"/>
      <c r="K1014" s="114"/>
      <c r="L1014" s="114"/>
      <c r="M1014" s="114"/>
      <c r="N1014" s="114"/>
      <c r="O1014" s="114"/>
      <c r="P1014" s="114"/>
      <c r="Q1014" s="114"/>
      <c r="R1014" s="114"/>
      <c r="S1014" s="114"/>
      <c r="T1014" s="114"/>
      <c r="U1014" s="114"/>
      <c r="V1014" s="114"/>
      <c r="W1014" s="114"/>
      <c r="X1014" s="114"/>
      <c r="Y1014" s="114"/>
      <c r="Z1014" s="114"/>
      <c r="AA1014" s="114"/>
      <c r="AB1014" s="114"/>
      <c r="AC1014" s="114"/>
      <c r="AD1014" s="114"/>
      <c r="AE1014" s="114"/>
    </row>
    <row r="1015" ht="12.75" customHeight="1">
      <c r="A1015" s="114"/>
      <c r="B1015" s="114"/>
      <c r="C1015" s="114"/>
      <c r="D1015" s="114"/>
      <c r="E1015" s="114"/>
      <c r="F1015" s="114"/>
      <c r="G1015" s="114"/>
      <c r="H1015" s="114"/>
      <c r="I1015" s="114"/>
      <c r="J1015" s="114"/>
      <c r="K1015" s="114"/>
      <c r="L1015" s="114"/>
      <c r="M1015" s="114"/>
      <c r="N1015" s="114"/>
      <c r="O1015" s="114"/>
      <c r="P1015" s="114"/>
      <c r="Q1015" s="114"/>
      <c r="R1015" s="114"/>
      <c r="S1015" s="114"/>
      <c r="T1015" s="114"/>
      <c r="U1015" s="114"/>
      <c r="V1015" s="114"/>
      <c r="W1015" s="114"/>
      <c r="X1015" s="114"/>
      <c r="Y1015" s="114"/>
      <c r="Z1015" s="114"/>
      <c r="AA1015" s="114"/>
      <c r="AB1015" s="114"/>
      <c r="AC1015" s="114"/>
      <c r="AD1015" s="114"/>
      <c r="AE1015" s="114"/>
    </row>
    <row r="1016" ht="12.75" customHeight="1">
      <c r="A1016" s="114"/>
      <c r="B1016" s="114"/>
      <c r="C1016" s="114"/>
      <c r="D1016" s="114"/>
      <c r="E1016" s="114"/>
      <c r="F1016" s="114"/>
      <c r="G1016" s="114"/>
      <c r="H1016" s="114"/>
      <c r="I1016" s="114"/>
      <c r="J1016" s="114"/>
      <c r="K1016" s="114"/>
      <c r="L1016" s="114"/>
      <c r="M1016" s="114"/>
      <c r="N1016" s="114"/>
      <c r="O1016" s="114"/>
      <c r="P1016" s="114"/>
      <c r="Q1016" s="114"/>
      <c r="R1016" s="114"/>
      <c r="S1016" s="114"/>
      <c r="T1016" s="114"/>
      <c r="U1016" s="114"/>
      <c r="V1016" s="114"/>
      <c r="W1016" s="114"/>
      <c r="X1016" s="114"/>
      <c r="Y1016" s="114"/>
      <c r="Z1016" s="114"/>
      <c r="AA1016" s="114"/>
      <c r="AB1016" s="114"/>
      <c r="AC1016" s="114"/>
      <c r="AD1016" s="114"/>
      <c r="AE1016" s="114"/>
    </row>
    <row r="1017" ht="12.75" customHeight="1">
      <c r="A1017" s="114"/>
      <c r="B1017" s="114"/>
      <c r="C1017" s="114"/>
      <c r="D1017" s="114"/>
      <c r="E1017" s="114"/>
      <c r="F1017" s="114"/>
      <c r="G1017" s="114"/>
      <c r="H1017" s="114"/>
      <c r="I1017" s="114"/>
      <c r="J1017" s="114"/>
      <c r="K1017" s="114"/>
      <c r="L1017" s="114"/>
      <c r="M1017" s="114"/>
      <c r="N1017" s="114"/>
      <c r="O1017" s="114"/>
      <c r="P1017" s="114"/>
      <c r="Q1017" s="114"/>
      <c r="R1017" s="114"/>
      <c r="S1017" s="114"/>
      <c r="T1017" s="114"/>
      <c r="U1017" s="114"/>
      <c r="V1017" s="114"/>
      <c r="W1017" s="114"/>
      <c r="X1017" s="114"/>
      <c r="Y1017" s="114"/>
      <c r="Z1017" s="114"/>
      <c r="AA1017" s="114"/>
      <c r="AB1017" s="114"/>
      <c r="AC1017" s="114"/>
      <c r="AD1017" s="114"/>
      <c r="AE1017" s="114"/>
    </row>
    <row r="1018" ht="12.75" customHeight="1">
      <c r="A1018" s="114"/>
      <c r="B1018" s="114"/>
      <c r="C1018" s="114"/>
      <c r="D1018" s="114"/>
      <c r="E1018" s="114"/>
      <c r="F1018" s="114"/>
      <c r="G1018" s="114"/>
      <c r="H1018" s="114"/>
      <c r="I1018" s="114"/>
      <c r="J1018" s="114"/>
      <c r="K1018" s="114"/>
      <c r="L1018" s="114"/>
      <c r="M1018" s="114"/>
      <c r="N1018" s="114"/>
      <c r="O1018" s="114"/>
      <c r="P1018" s="114"/>
      <c r="Q1018" s="114"/>
      <c r="R1018" s="114"/>
      <c r="S1018" s="114"/>
      <c r="T1018" s="114"/>
      <c r="U1018" s="114"/>
      <c r="V1018" s="114"/>
      <c r="W1018" s="114"/>
      <c r="X1018" s="114"/>
      <c r="Y1018" s="114"/>
      <c r="Z1018" s="114"/>
      <c r="AA1018" s="114"/>
      <c r="AB1018" s="114"/>
      <c r="AC1018" s="114"/>
      <c r="AD1018" s="114"/>
      <c r="AE1018" s="114"/>
    </row>
    <row r="1019" ht="12.75" customHeight="1">
      <c r="A1019" s="114"/>
      <c r="B1019" s="114"/>
      <c r="C1019" s="114"/>
      <c r="D1019" s="114"/>
      <c r="E1019" s="114"/>
      <c r="F1019" s="114"/>
      <c r="G1019" s="114"/>
      <c r="H1019" s="114"/>
      <c r="I1019" s="114"/>
      <c r="J1019" s="114"/>
      <c r="K1019" s="114"/>
      <c r="L1019" s="114"/>
      <c r="M1019" s="114"/>
      <c r="N1019" s="114"/>
      <c r="O1019" s="114"/>
      <c r="P1019" s="114"/>
      <c r="Q1019" s="114"/>
      <c r="R1019" s="114"/>
      <c r="S1019" s="114"/>
      <c r="T1019" s="114"/>
      <c r="U1019" s="114"/>
      <c r="V1019" s="114"/>
      <c r="W1019" s="114"/>
      <c r="X1019" s="114"/>
      <c r="Y1019" s="114"/>
      <c r="Z1019" s="114"/>
      <c r="AA1019" s="114"/>
      <c r="AB1019" s="114"/>
      <c r="AC1019" s="114"/>
      <c r="AD1019" s="114"/>
      <c r="AE1019" s="114"/>
    </row>
    <row r="1020" ht="12.75" customHeight="1">
      <c r="A1020" s="114"/>
      <c r="B1020" s="114"/>
      <c r="C1020" s="114"/>
      <c r="D1020" s="114"/>
      <c r="E1020" s="114"/>
      <c r="F1020" s="114"/>
      <c r="G1020" s="114"/>
      <c r="H1020" s="114"/>
      <c r="I1020" s="114"/>
      <c r="J1020" s="114"/>
      <c r="K1020" s="114"/>
      <c r="L1020" s="114"/>
      <c r="M1020" s="114"/>
      <c r="N1020" s="114"/>
      <c r="O1020" s="114"/>
      <c r="P1020" s="114"/>
      <c r="Q1020" s="114"/>
      <c r="R1020" s="114"/>
      <c r="S1020" s="114"/>
      <c r="T1020" s="114"/>
      <c r="U1020" s="114"/>
      <c r="V1020" s="114"/>
      <c r="W1020" s="114"/>
      <c r="X1020" s="114"/>
      <c r="Y1020" s="114"/>
      <c r="Z1020" s="114"/>
      <c r="AA1020" s="114"/>
      <c r="AB1020" s="114"/>
      <c r="AC1020" s="114"/>
      <c r="AD1020" s="114"/>
      <c r="AE1020" s="114"/>
    </row>
    <row r="1021" ht="12.75" customHeight="1">
      <c r="A1021" s="114"/>
      <c r="B1021" s="114"/>
      <c r="C1021" s="114"/>
      <c r="D1021" s="114"/>
      <c r="E1021" s="114"/>
      <c r="F1021" s="114"/>
      <c r="G1021" s="114"/>
      <c r="H1021" s="114"/>
      <c r="I1021" s="114"/>
      <c r="J1021" s="114"/>
      <c r="K1021" s="114"/>
      <c r="L1021" s="114"/>
      <c r="M1021" s="114"/>
      <c r="N1021" s="114"/>
      <c r="O1021" s="114"/>
      <c r="P1021" s="114"/>
      <c r="Q1021" s="114"/>
      <c r="R1021" s="114"/>
      <c r="S1021" s="114"/>
      <c r="T1021" s="114"/>
      <c r="U1021" s="114"/>
      <c r="V1021" s="114"/>
      <c r="W1021" s="114"/>
      <c r="X1021" s="114"/>
      <c r="Y1021" s="114"/>
      <c r="Z1021" s="114"/>
      <c r="AA1021" s="114"/>
      <c r="AB1021" s="114"/>
      <c r="AC1021" s="114"/>
      <c r="AD1021" s="114"/>
      <c r="AE1021" s="114"/>
    </row>
    <row r="1022" ht="12.75" customHeight="1">
      <c r="A1022" s="114"/>
      <c r="B1022" s="114"/>
      <c r="C1022" s="114"/>
      <c r="D1022" s="114"/>
      <c r="E1022" s="114"/>
      <c r="F1022" s="114"/>
      <c r="G1022" s="114"/>
      <c r="H1022" s="114"/>
      <c r="I1022" s="114"/>
      <c r="J1022" s="114"/>
      <c r="K1022" s="114"/>
      <c r="L1022" s="114"/>
      <c r="M1022" s="114"/>
      <c r="N1022" s="114"/>
      <c r="O1022" s="114"/>
      <c r="P1022" s="114"/>
      <c r="Q1022" s="114"/>
      <c r="R1022" s="114"/>
      <c r="S1022" s="114"/>
      <c r="T1022" s="114"/>
      <c r="U1022" s="114"/>
      <c r="V1022" s="114"/>
      <c r="W1022" s="114"/>
      <c r="X1022" s="114"/>
      <c r="Y1022" s="114"/>
      <c r="Z1022" s="114"/>
      <c r="AA1022" s="114"/>
      <c r="AB1022" s="114"/>
      <c r="AC1022" s="114"/>
      <c r="AD1022" s="114"/>
      <c r="AE1022" s="114"/>
    </row>
  </sheetData>
  <mergeCells count="3">
    <mergeCell ref="C3:C4"/>
    <mergeCell ref="U3:U4"/>
    <mergeCell ref="V3:V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2.14"/>
    <col customWidth="1" min="3" max="3" width="2.57"/>
    <col customWidth="1" min="4" max="17" width="15.71"/>
    <col customWidth="1" min="18" max="18" width="2.71"/>
    <col customWidth="1" min="19" max="19" width="2.29"/>
  </cols>
  <sheetData>
    <row r="1" ht="10.5" customHeight="1">
      <c r="A1" s="139"/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</row>
    <row r="2" ht="10.5" customHeight="1">
      <c r="A2" s="139"/>
      <c r="T2" s="139"/>
      <c r="U2" s="139"/>
      <c r="V2" s="139"/>
      <c r="W2" s="139"/>
      <c r="X2" s="139"/>
    </row>
    <row r="3">
      <c r="A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T3" s="139"/>
      <c r="U3" s="139"/>
      <c r="V3" s="139"/>
      <c r="W3" s="139"/>
      <c r="X3" s="139"/>
    </row>
    <row r="4">
      <c r="A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T4" s="139"/>
      <c r="U4" s="139"/>
      <c r="V4" s="139"/>
      <c r="W4" s="139"/>
      <c r="X4" s="139"/>
    </row>
    <row r="5">
      <c r="A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T5" s="139"/>
      <c r="U5" s="139"/>
      <c r="V5" s="139"/>
      <c r="W5" s="139"/>
      <c r="X5" s="139"/>
    </row>
    <row r="6">
      <c r="A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T6" s="139"/>
      <c r="U6" s="139"/>
      <c r="V6" s="139"/>
      <c r="W6" s="139"/>
      <c r="X6" s="139"/>
    </row>
    <row r="7">
      <c r="A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T7" s="139"/>
      <c r="U7" s="139"/>
      <c r="V7" s="139"/>
      <c r="W7" s="139"/>
      <c r="X7" s="139"/>
    </row>
    <row r="8">
      <c r="A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T8" s="139"/>
      <c r="U8" s="139"/>
      <c r="V8" s="139"/>
      <c r="W8" s="139"/>
      <c r="X8" s="139"/>
    </row>
    <row r="9">
      <c r="A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T9" s="139"/>
      <c r="U9" s="139"/>
      <c r="V9" s="139"/>
      <c r="W9" s="139"/>
      <c r="X9" s="139"/>
    </row>
    <row r="10">
      <c r="A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T10" s="139"/>
      <c r="U10" s="139"/>
      <c r="V10" s="139"/>
      <c r="W10" s="139"/>
      <c r="X10" s="139"/>
    </row>
    <row r="11">
      <c r="A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T11" s="139"/>
      <c r="U11" s="139"/>
      <c r="V11" s="139"/>
      <c r="W11" s="139"/>
      <c r="X11" s="139"/>
    </row>
    <row r="12">
      <c r="A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T12" s="139"/>
      <c r="U12" s="139"/>
      <c r="V12" s="139"/>
      <c r="W12" s="139"/>
      <c r="X12" s="139"/>
    </row>
    <row r="13">
      <c r="A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T13" s="139"/>
      <c r="U13" s="139"/>
      <c r="V13" s="139"/>
      <c r="W13" s="139"/>
      <c r="X13" s="139"/>
    </row>
    <row r="14">
      <c r="A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T14" s="139"/>
      <c r="U14" s="139"/>
      <c r="V14" s="139"/>
      <c r="W14" s="139"/>
      <c r="X14" s="139"/>
    </row>
    <row r="15">
      <c r="A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T15" s="139"/>
      <c r="U15" s="139"/>
      <c r="V15" s="139"/>
      <c r="W15" s="139"/>
      <c r="X15" s="139"/>
    </row>
    <row r="16">
      <c r="A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T16" s="139"/>
      <c r="U16" s="139"/>
      <c r="V16" s="139"/>
      <c r="W16" s="139"/>
      <c r="X16" s="139"/>
    </row>
    <row r="17">
      <c r="A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T17" s="139"/>
      <c r="U17" s="139"/>
      <c r="V17" s="139"/>
      <c r="W17" s="139"/>
      <c r="X17" s="139"/>
    </row>
    <row r="18">
      <c r="A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T18" s="139"/>
      <c r="U18" s="139"/>
      <c r="V18" s="139"/>
      <c r="W18" s="139"/>
      <c r="X18" s="139"/>
    </row>
    <row r="19">
      <c r="A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T19" s="139"/>
      <c r="U19" s="139"/>
      <c r="V19" s="139"/>
      <c r="W19" s="139"/>
      <c r="X19" s="139"/>
    </row>
    <row r="20">
      <c r="A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T20" s="139"/>
      <c r="U20" s="139"/>
      <c r="V20" s="139"/>
      <c r="W20" s="139"/>
      <c r="X20" s="139"/>
    </row>
    <row r="21">
      <c r="A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T21" s="139"/>
      <c r="U21" s="139"/>
      <c r="V21" s="139"/>
      <c r="W21" s="139"/>
      <c r="X21" s="139"/>
    </row>
    <row r="22">
      <c r="A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T22" s="139"/>
      <c r="U22" s="139"/>
      <c r="V22" s="139"/>
      <c r="W22" s="139"/>
      <c r="X22" s="139"/>
    </row>
    <row r="23">
      <c r="A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T23" s="139"/>
      <c r="U23" s="139"/>
      <c r="V23" s="139"/>
      <c r="W23" s="139"/>
      <c r="X23" s="139"/>
    </row>
    <row r="24">
      <c r="A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T24" s="139"/>
      <c r="U24" s="139"/>
      <c r="V24" s="139"/>
      <c r="W24" s="139"/>
      <c r="X24" s="139"/>
    </row>
    <row r="25">
      <c r="A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T25" s="139"/>
      <c r="U25" s="139"/>
      <c r="V25" s="139"/>
      <c r="W25" s="139"/>
      <c r="X25" s="139"/>
    </row>
    <row r="26">
      <c r="A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T26" s="139"/>
      <c r="U26" s="139"/>
      <c r="V26" s="139"/>
      <c r="W26" s="139"/>
      <c r="X26" s="139"/>
    </row>
    <row r="27">
      <c r="A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T27" s="139"/>
      <c r="U27" s="139"/>
      <c r="V27" s="139"/>
      <c r="W27" s="139"/>
      <c r="X27" s="139"/>
    </row>
    <row r="28">
      <c r="A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T28" s="139"/>
      <c r="U28" s="139"/>
      <c r="V28" s="139"/>
      <c r="W28" s="139"/>
      <c r="X28" s="139"/>
    </row>
    <row r="29">
      <c r="A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T29" s="139"/>
      <c r="U29" s="139"/>
      <c r="V29" s="139"/>
      <c r="W29" s="139"/>
      <c r="X29" s="139"/>
    </row>
    <row r="30">
      <c r="A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T30" s="139"/>
      <c r="U30" s="139"/>
      <c r="V30" s="139"/>
      <c r="W30" s="139"/>
      <c r="X30" s="139"/>
    </row>
    <row r="31">
      <c r="A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T31" s="139"/>
      <c r="U31" s="139"/>
      <c r="V31" s="139"/>
      <c r="W31" s="139"/>
      <c r="X31" s="139"/>
    </row>
    <row r="32">
      <c r="A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T32" s="139"/>
      <c r="U32" s="139"/>
      <c r="V32" s="139"/>
      <c r="W32" s="139"/>
      <c r="X32" s="139"/>
    </row>
    <row r="33">
      <c r="A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T33" s="139"/>
      <c r="U33" s="139"/>
      <c r="V33" s="139"/>
      <c r="W33" s="139"/>
      <c r="X33" s="139"/>
    </row>
    <row r="34">
      <c r="A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T34" s="139"/>
      <c r="U34" s="139"/>
      <c r="V34" s="139"/>
      <c r="W34" s="139"/>
      <c r="X34" s="139"/>
    </row>
    <row r="35">
      <c r="A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T35" s="139"/>
      <c r="U35" s="139"/>
      <c r="V35" s="139"/>
      <c r="W35" s="139"/>
      <c r="X35" s="139"/>
    </row>
    <row r="36">
      <c r="A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T36" s="139"/>
      <c r="U36" s="139"/>
      <c r="V36" s="139"/>
      <c r="W36" s="139"/>
      <c r="X36" s="139"/>
    </row>
    <row r="37">
      <c r="A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T37" s="139"/>
      <c r="U37" s="139"/>
      <c r="V37" s="139"/>
      <c r="W37" s="139"/>
      <c r="X37" s="139"/>
    </row>
    <row r="38">
      <c r="A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T38" s="139"/>
      <c r="U38" s="139"/>
      <c r="V38" s="139"/>
      <c r="W38" s="139"/>
      <c r="X38" s="139"/>
    </row>
    <row r="39">
      <c r="A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T39" s="139"/>
      <c r="U39" s="139"/>
      <c r="V39" s="139"/>
      <c r="W39" s="139"/>
      <c r="X39" s="139"/>
    </row>
    <row r="40">
      <c r="A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T40" s="139"/>
      <c r="U40" s="139"/>
      <c r="V40" s="139"/>
      <c r="W40" s="139"/>
      <c r="X40" s="139"/>
    </row>
    <row r="41">
      <c r="A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T41" s="139"/>
      <c r="U41" s="139"/>
      <c r="V41" s="139"/>
      <c r="W41" s="139"/>
      <c r="X41" s="139"/>
    </row>
    <row r="42">
      <c r="A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T42" s="139"/>
      <c r="U42" s="139"/>
      <c r="V42" s="139"/>
      <c r="W42" s="139"/>
      <c r="X42" s="139"/>
    </row>
    <row r="43">
      <c r="A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T43" s="139"/>
      <c r="U43" s="139"/>
      <c r="V43" s="139"/>
      <c r="W43" s="139"/>
      <c r="X43" s="139"/>
    </row>
    <row r="44" ht="10.5" customHeight="1">
      <c r="A44" s="139"/>
      <c r="T44" s="139"/>
      <c r="U44" s="139"/>
      <c r="V44" s="139"/>
      <c r="W44" s="139"/>
      <c r="X44" s="139"/>
    </row>
    <row r="45">
      <c r="A45" s="139"/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</row>
    <row r="46">
      <c r="A46" s="139"/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</row>
    <row r="47">
      <c r="A47" s="139"/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</row>
    <row r="48">
      <c r="A48" s="139"/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</row>
    <row r="49">
      <c r="A49" s="139"/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</row>
    <row r="50">
      <c r="A50" s="139"/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</row>
    <row r="51">
      <c r="A51" s="139"/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</row>
    <row r="52">
      <c r="A52" s="139"/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</row>
    <row r="53">
      <c r="A53" s="139"/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</row>
    <row r="54">
      <c r="A54" s="139"/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</row>
    <row r="55">
      <c r="A55" s="139"/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</row>
    <row r="56">
      <c r="A56" s="139"/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7">
      <c r="A57" s="139"/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</row>
    <row r="58">
      <c r="A58" s="139"/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</row>
    <row r="59">
      <c r="A59" s="139"/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</row>
    <row r="60">
      <c r="A60" s="139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</row>
    <row r="61">
      <c r="A61" s="139"/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</row>
    <row r="62">
      <c r="A62" s="139"/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</row>
    <row r="64">
      <c r="E64" s="140">
        <f>'Budget Figures'!D6</f>
        <v>44287</v>
      </c>
      <c r="F64" s="140">
        <f>'Budget Figures'!E6</f>
        <v>44317</v>
      </c>
      <c r="G64" s="140">
        <f>'Budget Figures'!F6</f>
        <v>44348</v>
      </c>
      <c r="H64" s="140">
        <f>'Budget Figures'!G6</f>
        <v>44378</v>
      </c>
      <c r="I64" s="140">
        <f>'Budget Figures'!H6</f>
        <v>44409</v>
      </c>
      <c r="J64" s="140">
        <f>'Budget Figures'!I6</f>
        <v>44440</v>
      </c>
      <c r="K64" s="140">
        <f>'Budget Figures'!J6</f>
        <v>44470</v>
      </c>
      <c r="L64" s="140">
        <f>'Budget Figures'!K6</f>
        <v>44501</v>
      </c>
      <c r="M64" s="140">
        <f>'Budget Figures'!L6</f>
        <v>44531</v>
      </c>
      <c r="N64" s="140">
        <f>'Budget Figures'!M6</f>
        <v>44562</v>
      </c>
      <c r="O64" s="140">
        <f>'Budget Figures'!N6</f>
        <v>44593</v>
      </c>
      <c r="P64" s="140">
        <f>'Budget Figures'!O6</f>
        <v>44621</v>
      </c>
    </row>
    <row r="65">
      <c r="D65" s="141" t="s">
        <v>80</v>
      </c>
      <c r="E65" s="142">
        <f>'Budget Figures'!D16</f>
        <v>5250</v>
      </c>
      <c r="F65" s="142">
        <f>'Budget Figures'!E16</f>
        <v>18500</v>
      </c>
      <c r="G65" s="142">
        <f>'Budget Figures'!F16</f>
        <v>32500</v>
      </c>
      <c r="H65" s="142">
        <f>'Budget Figures'!G16</f>
        <v>35250</v>
      </c>
      <c r="I65" s="142">
        <f>'Budget Figures'!H16</f>
        <v>27250</v>
      </c>
      <c r="J65" s="142">
        <f>'Budget Figures'!I16</f>
        <v>24250</v>
      </c>
      <c r="K65" s="142">
        <f>'Budget Figures'!J16</f>
        <v>24500</v>
      </c>
      <c r="L65" s="142">
        <f>'Budget Figures'!K16</f>
        <v>21125</v>
      </c>
      <c r="M65" s="142">
        <f>'Budget Figures'!L16</f>
        <v>23750</v>
      </c>
      <c r="N65" s="142">
        <f>'Budget Figures'!M16</f>
        <v>32125</v>
      </c>
      <c r="O65" s="142">
        <f>'Budget Figures'!N16</f>
        <v>35000</v>
      </c>
      <c r="P65" s="142">
        <f>'Budget Figures'!O16</f>
        <v>32410</v>
      </c>
    </row>
    <row r="66">
      <c r="D66" s="141" t="s">
        <v>81</v>
      </c>
      <c r="E66" s="142">
        <f>'Actual Figures'!D16</f>
        <v>25250</v>
      </c>
      <c r="F66" s="142">
        <f>'Actual Figures'!E16</f>
        <v>35250</v>
      </c>
      <c r="G66" s="142">
        <f>'Actual Figures'!F16</f>
        <v>45250</v>
      </c>
      <c r="H66" s="142">
        <f>'Actual Figures'!G16</f>
        <v>15250</v>
      </c>
      <c r="I66" s="142">
        <f>'Actual Figures'!H16</f>
        <v>25250</v>
      </c>
      <c r="J66" s="142">
        <f>'Actual Figures'!I16</f>
        <v>30250</v>
      </c>
      <c r="K66" s="142">
        <f>'Actual Figures'!J16</f>
        <v>12750</v>
      </c>
      <c r="L66" s="142">
        <f>'Actual Figures'!K16</f>
        <v>25250</v>
      </c>
      <c r="M66" s="142">
        <f>'Actual Figures'!L16</f>
        <v>35250</v>
      </c>
      <c r="N66" s="142">
        <f>'Actual Figures'!M16</f>
        <v>40250</v>
      </c>
      <c r="O66" s="142">
        <f>'Actual Figures'!N16</f>
        <v>25250</v>
      </c>
      <c r="P66" s="142">
        <f>'Actual Figures'!O16</f>
        <v>36050</v>
      </c>
    </row>
    <row r="70">
      <c r="E70" s="140">
        <f t="shared" ref="E70:P70" si="1">E64</f>
        <v>44287</v>
      </c>
      <c r="F70" s="140">
        <f t="shared" si="1"/>
        <v>44317</v>
      </c>
      <c r="G70" s="140">
        <f t="shared" si="1"/>
        <v>44348</v>
      </c>
      <c r="H70" s="140">
        <f t="shared" si="1"/>
        <v>44378</v>
      </c>
      <c r="I70" s="140">
        <f t="shared" si="1"/>
        <v>44409</v>
      </c>
      <c r="J70" s="140">
        <f t="shared" si="1"/>
        <v>44440</v>
      </c>
      <c r="K70" s="140">
        <f t="shared" si="1"/>
        <v>44470</v>
      </c>
      <c r="L70" s="140">
        <f t="shared" si="1"/>
        <v>44501</v>
      </c>
      <c r="M70" s="140">
        <f t="shared" si="1"/>
        <v>44531</v>
      </c>
      <c r="N70" s="140">
        <f t="shared" si="1"/>
        <v>44562</v>
      </c>
      <c r="O70" s="140">
        <f t="shared" si="1"/>
        <v>44593</v>
      </c>
      <c r="P70" s="140">
        <f t="shared" si="1"/>
        <v>44621</v>
      </c>
    </row>
    <row r="71">
      <c r="D71" s="141" t="s">
        <v>82</v>
      </c>
      <c r="E71" s="142">
        <f>'Budget Figures'!D64+'Budget Figures'!D22</f>
        <v>21400</v>
      </c>
      <c r="F71" s="142">
        <f>'Budget Figures'!E64+'Budget Figures'!E22</f>
        <v>30450</v>
      </c>
      <c r="G71" s="142">
        <f>'Budget Figures'!F64+'Budget Figures'!F22</f>
        <v>33300</v>
      </c>
      <c r="H71" s="142">
        <f>'Budget Figures'!G64+'Budget Figures'!G22</f>
        <v>33550</v>
      </c>
      <c r="I71" s="142">
        <f>'Budget Figures'!H64+'Budget Figures'!H22</f>
        <v>32200</v>
      </c>
      <c r="J71" s="142">
        <f>'Budget Figures'!I64+'Budget Figures'!I22</f>
        <v>35600</v>
      </c>
      <c r="K71" s="142">
        <f>'Budget Figures'!J64+'Budget Figures'!J22</f>
        <v>29930</v>
      </c>
      <c r="L71" s="142">
        <f>'Budget Figures'!K64+'Budget Figures'!K22</f>
        <v>25490</v>
      </c>
      <c r="M71" s="142">
        <f>'Budget Figures'!L64+'Budget Figures'!L22</f>
        <v>30080</v>
      </c>
      <c r="N71" s="142">
        <f>'Budget Figures'!M64+'Budget Figures'!M22</f>
        <v>34450</v>
      </c>
      <c r="O71" s="142">
        <f>'Budget Figures'!N64+'Budget Figures'!N22</f>
        <v>36450</v>
      </c>
      <c r="P71" s="142">
        <f>'Budget Figures'!O64+'Budget Figures'!O22</f>
        <v>33050</v>
      </c>
    </row>
    <row r="72">
      <c r="D72" s="141" t="s">
        <v>83</v>
      </c>
      <c r="E72" s="142">
        <f>'Actual Figures'!D22+'Actual Figures'!D64</f>
        <v>30500</v>
      </c>
      <c r="F72" s="142">
        <f>'Actual Figures'!E22+'Actual Figures'!E64</f>
        <v>32900</v>
      </c>
      <c r="G72" s="142">
        <f>'Actual Figures'!F22+'Actual Figures'!F64</f>
        <v>35750</v>
      </c>
      <c r="H72" s="142">
        <f>'Actual Figures'!G22+'Actual Figures'!G64</f>
        <v>29500</v>
      </c>
      <c r="I72" s="142">
        <f>'Actual Figures'!H22+'Actual Figures'!H64</f>
        <v>38600</v>
      </c>
      <c r="J72" s="142">
        <f>'Actual Figures'!I22+'Actual Figures'!I64</f>
        <v>33000</v>
      </c>
      <c r="K72" s="142">
        <f>'Actual Figures'!J22+'Actual Figures'!J64</f>
        <v>23100</v>
      </c>
      <c r="L72" s="142">
        <f>'Actual Figures'!K22+'Actual Figures'!K64</f>
        <v>29500</v>
      </c>
      <c r="M72" s="142">
        <f>'Actual Figures'!L22+'Actual Figures'!L64</f>
        <v>33150</v>
      </c>
      <c r="N72" s="142">
        <f>'Actual Figures'!M22+'Actual Figures'!M64</f>
        <v>39500</v>
      </c>
      <c r="O72" s="142">
        <f>'Actual Figures'!N22+'Actual Figures'!N64</f>
        <v>30500</v>
      </c>
      <c r="P72" s="142">
        <f>'Actual Figures'!O22+'Actual Figures'!O64</f>
        <v>37500</v>
      </c>
    </row>
  </sheetData>
  <drawing r:id="rId1"/>
</worksheet>
</file>